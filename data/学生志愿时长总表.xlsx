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doormi/Desktop/青协/时长/"/>
    </mc:Choice>
  </mc:AlternateContent>
  <xr:revisionPtr revIDLastSave="0" documentId="13_ncr:1_{0696854F-F415-D24A-8BD0-78784470B56D}" xr6:coauthVersionLast="47" xr6:coauthVersionMax="47" xr10:uidLastSave="{00000000-0000-0000-0000-000000000000}"/>
  <bookViews>
    <workbookView xWindow="6920" yWindow="660" windowWidth="22480" windowHeight="17460" tabRatio="696" xr2:uid="{00000000-000D-0000-FFFF-FFFF00000000}"/>
  </bookViews>
  <sheets>
    <sheet name="总表" sheetId="3" r:id="rId1"/>
  </sheets>
  <externalReferences>
    <externalReference r:id="rId2"/>
  </externalReferences>
  <definedNames>
    <definedName name="_xlnm._FilterDatabase" localSheetId="0" hidden="1">总表!$D$1:$D$346</definedName>
    <definedName name="Color">总表!#REF!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5" i="3" l="1"/>
  <c r="E345" i="3"/>
  <c r="F344" i="3"/>
  <c r="E344" i="3"/>
  <c r="F343" i="3"/>
  <c r="E343" i="3"/>
  <c r="F342" i="3"/>
  <c r="E342" i="3"/>
  <c r="F341" i="3"/>
  <c r="E341" i="3"/>
  <c r="F340" i="3"/>
  <c r="E340" i="3"/>
  <c r="F339" i="3"/>
  <c r="E339" i="3"/>
  <c r="F338" i="3"/>
  <c r="E338" i="3"/>
  <c r="F337" i="3"/>
  <c r="E337" i="3"/>
  <c r="F336" i="3"/>
  <c r="E336" i="3"/>
  <c r="F335" i="3"/>
  <c r="E335" i="3"/>
  <c r="F334" i="3"/>
  <c r="E334" i="3"/>
  <c r="F333" i="3"/>
  <c r="E333" i="3"/>
  <c r="F332" i="3"/>
  <c r="E332" i="3"/>
  <c r="F331" i="3"/>
  <c r="E331" i="3"/>
  <c r="F330" i="3"/>
  <c r="E330" i="3"/>
  <c r="F329" i="3"/>
  <c r="E329" i="3"/>
  <c r="F328" i="3"/>
  <c r="E328" i="3"/>
  <c r="F327" i="3"/>
  <c r="E327" i="3"/>
  <c r="F326" i="3"/>
  <c r="E326" i="3"/>
  <c r="F325" i="3"/>
  <c r="E325" i="3"/>
  <c r="F324" i="3"/>
  <c r="E324" i="3"/>
  <c r="F323" i="3"/>
  <c r="E323" i="3"/>
  <c r="F322" i="3"/>
  <c r="E322" i="3"/>
  <c r="F321" i="3"/>
  <c r="E321" i="3"/>
  <c r="F320" i="3"/>
  <c r="E320" i="3"/>
  <c r="F319" i="3"/>
  <c r="E319" i="3"/>
  <c r="F318" i="3"/>
  <c r="E318" i="3"/>
  <c r="F317" i="3"/>
  <c r="E317" i="3"/>
  <c r="F316" i="3"/>
  <c r="E316" i="3"/>
  <c r="F315" i="3"/>
  <c r="E315" i="3"/>
  <c r="F314" i="3"/>
  <c r="E314" i="3"/>
  <c r="F313" i="3"/>
  <c r="E313" i="3"/>
  <c r="F312" i="3"/>
  <c r="E312" i="3"/>
  <c r="F311" i="3"/>
  <c r="E311" i="3"/>
  <c r="F310" i="3"/>
  <c r="E310" i="3"/>
  <c r="F309" i="3"/>
  <c r="E309" i="3"/>
  <c r="F308" i="3"/>
  <c r="E308" i="3"/>
  <c r="F307" i="3"/>
  <c r="E307" i="3"/>
  <c r="F306" i="3"/>
  <c r="E306" i="3"/>
  <c r="F305" i="3"/>
  <c r="E305" i="3"/>
  <c r="F304" i="3"/>
  <c r="E304" i="3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F282" i="3"/>
  <c r="E282" i="3"/>
  <c r="F281" i="3"/>
  <c r="E281" i="3"/>
  <c r="F280" i="3"/>
  <c r="E280" i="3"/>
  <c r="F279" i="3"/>
  <c r="E279" i="3"/>
  <c r="F278" i="3"/>
  <c r="E278" i="3"/>
  <c r="F277" i="3"/>
  <c r="E277" i="3"/>
  <c r="F276" i="3"/>
  <c r="E276" i="3"/>
  <c r="F275" i="3"/>
  <c r="E275" i="3"/>
  <c r="F274" i="3"/>
  <c r="E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F226" i="3"/>
  <c r="E226" i="3"/>
  <c r="F225" i="3"/>
  <c r="E225" i="3"/>
  <c r="F224" i="3"/>
  <c r="E224" i="3"/>
  <c r="F223" i="3"/>
  <c r="E223" i="3"/>
  <c r="F222" i="3"/>
  <c r="E222" i="3"/>
  <c r="F221" i="3"/>
  <c r="E221" i="3"/>
  <c r="F220" i="3"/>
  <c r="E220" i="3"/>
  <c r="F219" i="3"/>
  <c r="E219" i="3"/>
  <c r="F218" i="3"/>
  <c r="E218" i="3"/>
  <c r="F217" i="3"/>
  <c r="E217" i="3"/>
  <c r="F216" i="3"/>
  <c r="E216" i="3"/>
  <c r="F215" i="3"/>
  <c r="E215" i="3"/>
  <c r="F214" i="3"/>
  <c r="E214" i="3"/>
  <c r="F213" i="3"/>
  <c r="E213" i="3"/>
  <c r="F212" i="3"/>
  <c r="E212" i="3"/>
  <c r="F211" i="3"/>
  <c r="E211" i="3"/>
  <c r="F210" i="3"/>
  <c r="E210" i="3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E203" i="3"/>
  <c r="F202" i="3"/>
  <c r="E202" i="3"/>
  <c r="F201" i="3"/>
  <c r="E201" i="3"/>
  <c r="F200" i="3"/>
  <c r="E200" i="3"/>
  <c r="F199" i="3"/>
  <c r="E199" i="3"/>
  <c r="F198" i="3"/>
  <c r="E198" i="3"/>
  <c r="F197" i="3"/>
  <c r="E197" i="3"/>
  <c r="F196" i="3"/>
  <c r="E196" i="3"/>
  <c r="F195" i="3"/>
  <c r="E195" i="3"/>
  <c r="F194" i="3"/>
  <c r="E194" i="3"/>
  <c r="F193" i="3"/>
  <c r="E193" i="3"/>
  <c r="F192" i="3"/>
  <c r="E192" i="3"/>
  <c r="F191" i="3"/>
  <c r="E191" i="3"/>
  <c r="F190" i="3"/>
  <c r="E190" i="3"/>
  <c r="F189" i="3"/>
  <c r="E189" i="3"/>
  <c r="F188" i="3"/>
  <c r="E188" i="3"/>
  <c r="F187" i="3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CQ8" i="3" a="1"/>
  <c r="CQ8" i="3"/>
  <c r="F8" i="3"/>
  <c r="E8" i="3"/>
  <c r="CQ7" i="3" a="1"/>
  <c r="CQ7" i="3"/>
  <c r="F7" i="3"/>
  <c r="E7" i="3"/>
  <c r="CQ6" i="3" a="1"/>
  <c r="CQ6" i="3"/>
  <c r="F6" i="3"/>
  <c r="E6" i="3"/>
  <c r="CQ5" i="3" a="1"/>
  <c r="CQ5" i="3"/>
  <c r="F5" i="3"/>
  <c r="E5" i="3"/>
  <c r="CQ4" i="3" a="1"/>
  <c r="CQ4" i="3"/>
  <c r="F4" i="3"/>
  <c r="E4" i="3"/>
  <c r="CQ3" i="3" a="1"/>
  <c r="CQ3" i="3"/>
  <c r="F3" i="3"/>
  <c r="E3" i="3"/>
  <c r="F2" i="3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<sst xmlns="http://schemas.openxmlformats.org/spreadsheetml/2006/main" count="11666" uniqueCount="423">
  <si>
    <t>序号</t>
  </si>
  <si>
    <t>姓名</t>
  </si>
  <si>
    <t>学号</t>
  </si>
  <si>
    <t>专业</t>
  </si>
  <si>
    <t>总时长</t>
  </si>
  <si>
    <t>项数</t>
  </si>
  <si>
    <t>2024.8-2025.6校外志愿</t>
  </si>
  <si>
    <t>拙政园9.0</t>
  </si>
  <si>
    <t>2024秋季蓝天救援</t>
  </si>
  <si>
    <t>环太湖马拉松</t>
  </si>
  <si>
    <t>24中欧文化论坛</t>
  </si>
  <si>
    <t>24秋模联志愿者</t>
  </si>
  <si>
    <t>善聚义卖</t>
  </si>
  <si>
    <t>趣味运动会</t>
  </si>
  <si>
    <t>24新生运动会</t>
  </si>
  <si>
    <t>图书馆</t>
  </si>
  <si>
    <t>25寒假支教</t>
  </si>
  <si>
    <t>博物馆里的大思政课</t>
  </si>
  <si>
    <t>人大组歌</t>
  </si>
  <si>
    <t>诗词活动</t>
  </si>
  <si>
    <t>慧湖之夜</t>
  </si>
  <si>
    <t>捐步植树</t>
  </si>
  <si>
    <t>25寒假宣讲</t>
  </si>
  <si>
    <t>24秋阿坝支教</t>
  </si>
  <si>
    <t>拙政园10.0</t>
  </si>
  <si>
    <t>拙政园11.0</t>
  </si>
  <si>
    <t>五月夜跑（含开幕式）</t>
  </si>
  <si>
    <t>5.25捐物</t>
  </si>
  <si>
    <t>拙政园6.2</t>
  </si>
  <si>
    <t>25春外教生活助手</t>
  </si>
  <si>
    <t>图书捐赠</t>
  </si>
  <si>
    <t>24-25秋季学期摄影协会</t>
  </si>
  <si>
    <t>大江大河支教</t>
  </si>
  <si>
    <t>8.23北京迎新</t>
  </si>
  <si>
    <t>大一班委工作</t>
  </si>
  <si>
    <t>大一学生组织工作</t>
  </si>
  <si>
    <t>调整年级前的志愿时长</t>
  </si>
  <si>
    <t>9.6-9.7 22级行李取件</t>
  </si>
  <si>
    <t>25研究生迎新</t>
  </si>
  <si>
    <t>25暑期支教</t>
  </si>
  <si>
    <t>学位授予仪式</t>
  </si>
  <si>
    <t>毕业典礼暖场</t>
  </si>
  <si>
    <t>25春季运动会</t>
  </si>
  <si>
    <t>摄影协会春季学期</t>
  </si>
  <si>
    <t>2025.7-2025.8校外志愿</t>
  </si>
  <si>
    <t>24千村百巷</t>
  </si>
  <si>
    <t>25寒假千村百巷</t>
  </si>
  <si>
    <t>大江大河</t>
  </si>
  <si>
    <t>暑期招生</t>
  </si>
  <si>
    <t>24-25学校社会实践</t>
  </si>
  <si>
    <t>25健美操比赛</t>
  </si>
  <si>
    <t>24-25学年</t>
  </si>
  <si>
    <t>25-26学年校外志愿</t>
  </si>
  <si>
    <t>25迎新</t>
  </si>
  <si>
    <t>25新生开学典礼</t>
  </si>
  <si>
    <t>百团大战</t>
  </si>
  <si>
    <t>拙政园12.0</t>
  </si>
  <si>
    <t>蓝天救援</t>
  </si>
  <si>
    <t>留园沧浪亭11.8-11.9</t>
  </si>
  <si>
    <t>留园沧浪亭11.15-11.16</t>
  </si>
  <si>
    <t>11.17捐物</t>
  </si>
  <si>
    <t>工业园区图书馆</t>
  </si>
  <si>
    <t>“一二九”合唱指导</t>
  </si>
  <si>
    <t>11月狮子林</t>
  </si>
  <si>
    <t>129合唱</t>
  </si>
  <si>
    <t>投委会+浦江金融论坛</t>
  </si>
  <si>
    <t>拙政园13.0</t>
  </si>
  <si>
    <t>12.12园区唱诵比赛</t>
  </si>
  <si>
    <t>你的江南我的心</t>
  </si>
  <si>
    <t>一分钟支教</t>
  </si>
  <si>
    <t>小红车归位</t>
  </si>
  <si>
    <t>25-26秋季学期学业辅导员</t>
  </si>
  <si>
    <t>杜行成</t>
  </si>
  <si>
    <t>数学</t>
  </si>
  <si>
    <t/>
  </si>
  <si>
    <t>陈亦舜</t>
  </si>
  <si>
    <t>刘泽玉</t>
  </si>
  <si>
    <t>董浩博</t>
  </si>
  <si>
    <t>曹祖宁</t>
  </si>
  <si>
    <t>许奚溪</t>
  </si>
  <si>
    <t>黄源飞</t>
  </si>
  <si>
    <t>冯鼎奇</t>
  </si>
  <si>
    <t>王浩冉</t>
  </si>
  <si>
    <t>刘斯懿</t>
  </si>
  <si>
    <t>魏雍基</t>
  </si>
  <si>
    <t>王珈</t>
  </si>
  <si>
    <t>邹子润</t>
  </si>
  <si>
    <t>郭跃扬</t>
  </si>
  <si>
    <t>马振越</t>
  </si>
  <si>
    <t>洪博威</t>
  </si>
  <si>
    <t>黄熙哲</t>
  </si>
  <si>
    <t>秦煜超</t>
  </si>
  <si>
    <t>佘雨霖</t>
  </si>
  <si>
    <t>许钧涵</t>
  </si>
  <si>
    <t>张思危</t>
  </si>
  <si>
    <t>赵珒涵</t>
  </si>
  <si>
    <t>李飞轩</t>
  </si>
  <si>
    <t>周舟</t>
  </si>
  <si>
    <t>雷佳欣</t>
  </si>
  <si>
    <t>刘晰元</t>
  </si>
  <si>
    <t>蔡欣言</t>
  </si>
  <si>
    <t>韩想</t>
  </si>
  <si>
    <t>崔佳雯</t>
  </si>
  <si>
    <t>陈姝梦</t>
  </si>
  <si>
    <t>姜芦珈</t>
  </si>
  <si>
    <t>胡雨阳</t>
  </si>
  <si>
    <t>张梓萌</t>
  </si>
  <si>
    <t>贾峻卓</t>
  </si>
  <si>
    <t>孙若涵</t>
  </si>
  <si>
    <t>李运</t>
  </si>
  <si>
    <t>杨谦奕</t>
  </si>
  <si>
    <t>刘树苡</t>
  </si>
  <si>
    <t>人管</t>
  </si>
  <si>
    <t>刘泽宇</t>
  </si>
  <si>
    <t>刘政锋</t>
  </si>
  <si>
    <t>王羿程</t>
  </si>
  <si>
    <t>谢铖宇</t>
  </si>
  <si>
    <t>卢云骢</t>
  </si>
  <si>
    <t>刘丞罡</t>
  </si>
  <si>
    <t>刘柏序</t>
  </si>
  <si>
    <t>孙博涵</t>
  </si>
  <si>
    <t>姚舜华</t>
  </si>
  <si>
    <t>陈静远</t>
  </si>
  <si>
    <t>应馨仪</t>
  </si>
  <si>
    <t>方俐颖</t>
  </si>
  <si>
    <t>吴湫钰</t>
  </si>
  <si>
    <t>王弋舒</t>
  </si>
  <si>
    <t>林意璐</t>
  </si>
  <si>
    <t>毛思媛</t>
  </si>
  <si>
    <t>宗相宜</t>
  </si>
  <si>
    <t>刘雨婷</t>
  </si>
  <si>
    <t>倪乐思</t>
  </si>
  <si>
    <t>张知微</t>
  </si>
  <si>
    <t>吴忠钰</t>
  </si>
  <si>
    <t>艾纯好</t>
  </si>
  <si>
    <t>金融</t>
  </si>
  <si>
    <t>曹馨月</t>
  </si>
  <si>
    <t>马璨</t>
  </si>
  <si>
    <t>唐浚中</t>
  </si>
  <si>
    <t>魏子凡</t>
  </si>
  <si>
    <t>田雨芊</t>
  </si>
  <si>
    <t>昌笑宇</t>
  </si>
  <si>
    <t>吴俊达</t>
  </si>
  <si>
    <t>李庞博</t>
  </si>
  <si>
    <t>刘展旭</t>
  </si>
  <si>
    <t>石皓宇</t>
  </si>
  <si>
    <t>蔡瑞祺</t>
  </si>
  <si>
    <t>林齐涵</t>
  </si>
  <si>
    <t>王奕凱</t>
  </si>
  <si>
    <t>徐近轩</t>
  </si>
  <si>
    <t>叶展滔</t>
  </si>
  <si>
    <t>费林栋</t>
  </si>
  <si>
    <t>邢连升</t>
  </si>
  <si>
    <t>严卺</t>
  </si>
  <si>
    <t>焦昱杰</t>
  </si>
  <si>
    <t>黄金秋</t>
  </si>
  <si>
    <t>朱格致於</t>
  </si>
  <si>
    <t>程捷赫</t>
  </si>
  <si>
    <t>王梓存</t>
  </si>
  <si>
    <t>沈彦宏</t>
  </si>
  <si>
    <t>王靖翔</t>
  </si>
  <si>
    <t>叶恺丰</t>
  </si>
  <si>
    <t>李优阳</t>
  </si>
  <si>
    <t>刘鲁依</t>
  </si>
  <si>
    <t>牛梓汀</t>
  </si>
  <si>
    <t>付洁蕾</t>
  </si>
  <si>
    <t>尹沐阳</t>
  </si>
  <si>
    <t>朱涵玥</t>
  </si>
  <si>
    <t>周琪尧</t>
  </si>
  <si>
    <t>张新荷</t>
  </si>
  <si>
    <t>郑陈一诺</t>
  </si>
  <si>
    <t>杜俊莹</t>
  </si>
  <si>
    <t>黄逸人</t>
  </si>
  <si>
    <t>曾彦儒</t>
  </si>
  <si>
    <t>尚雨潼</t>
  </si>
  <si>
    <t>吕祉毅</t>
  </si>
  <si>
    <t>崔竞文</t>
  </si>
  <si>
    <t>熊锦荟</t>
  </si>
  <si>
    <t>王宇轩</t>
  </si>
  <si>
    <t>林沛铮</t>
  </si>
  <si>
    <t>胡嘉倩</t>
  </si>
  <si>
    <t>王子蕴</t>
  </si>
  <si>
    <t>王小元</t>
  </si>
  <si>
    <t>李思阅</t>
  </si>
  <si>
    <t>郑冰煜</t>
  </si>
  <si>
    <t>闻玺晶</t>
  </si>
  <si>
    <t>龙心扬</t>
  </si>
  <si>
    <t>余昊洋</t>
  </si>
  <si>
    <t>任天一</t>
  </si>
  <si>
    <t>王秭</t>
  </si>
  <si>
    <t>王宇晨</t>
  </si>
  <si>
    <t>黄天明</t>
  </si>
  <si>
    <t>阚浩元</t>
  </si>
  <si>
    <t>聂敬知</t>
  </si>
  <si>
    <t>岑天歌</t>
  </si>
  <si>
    <t>李朗源</t>
  </si>
  <si>
    <t>王岳轩</t>
  </si>
  <si>
    <t>陈俊晔</t>
  </si>
  <si>
    <t>唐浚</t>
  </si>
  <si>
    <t>顾鸿铭</t>
  </si>
  <si>
    <t>李子非</t>
  </si>
  <si>
    <t>张钧宣</t>
  </si>
  <si>
    <t>彭品睿</t>
  </si>
  <si>
    <t>胡家赫</t>
  </si>
  <si>
    <t>任理显</t>
  </si>
  <si>
    <t>蔡卓尔</t>
  </si>
  <si>
    <t>何信锐</t>
  </si>
  <si>
    <t>谢松鸿</t>
  </si>
  <si>
    <t>孔德宸</t>
  </si>
  <si>
    <t>马小杭</t>
  </si>
  <si>
    <t>冯乐</t>
  </si>
  <si>
    <t>邓雪</t>
  </si>
  <si>
    <t>王雅馨</t>
  </si>
  <si>
    <t>汤茗欧</t>
  </si>
  <si>
    <t>毛子兮</t>
  </si>
  <si>
    <t>田雨昕</t>
  </si>
  <si>
    <t>杨蕊溪</t>
  </si>
  <si>
    <t>蔡怡萱</t>
  </si>
  <si>
    <t>曹哲熙</t>
  </si>
  <si>
    <t>陶岑</t>
  </si>
  <si>
    <t>黄雅雯</t>
  </si>
  <si>
    <t>江欣芸</t>
  </si>
  <si>
    <t>侯珺</t>
  </si>
  <si>
    <t>唐宸韵</t>
  </si>
  <si>
    <t>岑思蕊</t>
  </si>
  <si>
    <t>张雅妮</t>
  </si>
  <si>
    <t>方芷祺</t>
  </si>
  <si>
    <t>罗如水</t>
  </si>
  <si>
    <t>孙嘉岳</t>
  </si>
  <si>
    <t>万佳阳</t>
  </si>
  <si>
    <t>金元琪</t>
  </si>
  <si>
    <t>周牧楠</t>
  </si>
  <si>
    <t>张艺诺</t>
  </si>
  <si>
    <t>刘家明</t>
  </si>
  <si>
    <t>穆辰羽</t>
  </si>
  <si>
    <t>宋炳霖</t>
  </si>
  <si>
    <t>郁立丞</t>
  </si>
  <si>
    <t>吕驰</t>
  </si>
  <si>
    <t>詹颜滈</t>
  </si>
  <si>
    <t>许宝骐</t>
  </si>
  <si>
    <t>马湛循</t>
  </si>
  <si>
    <t>冷嘉辰</t>
  </si>
  <si>
    <t>张筱</t>
  </si>
  <si>
    <t>曲铄庚</t>
  </si>
  <si>
    <t>朱明远</t>
  </si>
  <si>
    <t>张辰浩</t>
  </si>
  <si>
    <t>杨轶涵</t>
  </si>
  <si>
    <t>成泓朴</t>
  </si>
  <si>
    <t>陈酉宁</t>
  </si>
  <si>
    <t>聂琮恩</t>
  </si>
  <si>
    <t>柳韵泽</t>
  </si>
  <si>
    <t>杨宗睿</t>
  </si>
  <si>
    <t>杨皓然</t>
  </si>
  <si>
    <t>钱景琛</t>
  </si>
  <si>
    <t>崔子航</t>
  </si>
  <si>
    <t>杨博宇</t>
  </si>
  <si>
    <t>荆诗然</t>
  </si>
  <si>
    <t>杨博涵</t>
  </si>
  <si>
    <t>刘诗雨</t>
  </si>
  <si>
    <t>翟航</t>
  </si>
  <si>
    <t>蔡蔚儿</t>
  </si>
  <si>
    <t>赵之媛</t>
  </si>
  <si>
    <t>祁麟</t>
  </si>
  <si>
    <t>黄家晶</t>
  </si>
  <si>
    <t>袁奕舒</t>
  </si>
  <si>
    <t>田舒宇</t>
  </si>
  <si>
    <t>刘润庭</t>
  </si>
  <si>
    <t>户淑玉</t>
  </si>
  <si>
    <t>黄馨月</t>
  </si>
  <si>
    <t>吴梦瑶</t>
  </si>
  <si>
    <t>叶晨露</t>
  </si>
  <si>
    <t>邓琨</t>
  </si>
  <si>
    <t>郑抱文</t>
  </si>
  <si>
    <t>吴韫颖</t>
  </si>
  <si>
    <t>王思菡</t>
  </si>
  <si>
    <t>李佳怡</t>
  </si>
  <si>
    <t>杨逸群</t>
  </si>
  <si>
    <t>张文心</t>
  </si>
  <si>
    <t>郑琬淇</t>
  </si>
  <si>
    <t>焦梓妍</t>
  </si>
  <si>
    <t>赵柯铭</t>
  </si>
  <si>
    <t>侯凯宁</t>
  </si>
  <si>
    <t>王维</t>
  </si>
  <si>
    <t>纪增辉</t>
  </si>
  <si>
    <t>赵致宽</t>
  </si>
  <si>
    <t>崇钊正</t>
  </si>
  <si>
    <t>王茁俨</t>
  </si>
  <si>
    <t>顾轩铭</t>
  </si>
  <si>
    <t>林航</t>
  </si>
  <si>
    <t>雷振阳</t>
  </si>
  <si>
    <t>汪开</t>
  </si>
  <si>
    <t>孙祥盛</t>
  </si>
  <si>
    <t>周阳铭</t>
  </si>
  <si>
    <t>曾麒铭</t>
  </si>
  <si>
    <t>於一鸣</t>
  </si>
  <si>
    <t>杨其航</t>
  </si>
  <si>
    <t>伍洋</t>
  </si>
  <si>
    <t>赵一州</t>
  </si>
  <si>
    <t>钟尧</t>
  </si>
  <si>
    <t>毛家宝</t>
  </si>
  <si>
    <t>曹昊泽</t>
  </si>
  <si>
    <t>王子逍</t>
  </si>
  <si>
    <t>任梓瑞</t>
  </si>
  <si>
    <t>李敏之</t>
  </si>
  <si>
    <t>魏宸怡</t>
  </si>
  <si>
    <t>班睿言</t>
  </si>
  <si>
    <t>卢君庭</t>
  </si>
  <si>
    <t>陈姝羽</t>
  </si>
  <si>
    <t>王麒皓</t>
  </si>
  <si>
    <t>侯佳锷</t>
  </si>
  <si>
    <t>陈慧冰</t>
  </si>
  <si>
    <t>吴沄硕</t>
  </si>
  <si>
    <t>王艺璇</t>
  </si>
  <si>
    <t>俞亦琦</t>
  </si>
  <si>
    <t>王一晴</t>
  </si>
  <si>
    <t>许潇予</t>
  </si>
  <si>
    <t>陈筱霖</t>
  </si>
  <si>
    <t>包怡诺</t>
  </si>
  <si>
    <t>何昱霖</t>
  </si>
  <si>
    <t>赵凡尔</t>
  </si>
  <si>
    <t>邓潇羽</t>
  </si>
  <si>
    <t>何沐阳</t>
  </si>
  <si>
    <t>姚欢迅</t>
  </si>
  <si>
    <t>陈玺羽</t>
  </si>
  <si>
    <t>廖木溶</t>
  </si>
  <si>
    <t>黄玥辰</t>
  </si>
  <si>
    <t>马维一</t>
  </si>
  <si>
    <t>张雪琴</t>
  </si>
  <si>
    <t>张朔</t>
  </si>
  <si>
    <t>李黎辉</t>
  </si>
  <si>
    <t>国管</t>
  </si>
  <si>
    <t>李文昊</t>
  </si>
  <si>
    <t>庞昊然</t>
  </si>
  <si>
    <t>王一丁</t>
  </si>
  <si>
    <t>张博涵</t>
  </si>
  <si>
    <t>宋泽阳</t>
  </si>
  <si>
    <t>张熙忠</t>
  </si>
  <si>
    <t>刘霖</t>
  </si>
  <si>
    <t>杨抱朴</t>
  </si>
  <si>
    <t>康一凡</t>
  </si>
  <si>
    <t>刘政达</t>
  </si>
  <si>
    <t>熊天宇</t>
  </si>
  <si>
    <t>李逸凡</t>
  </si>
  <si>
    <t>穆雯琦</t>
  </si>
  <si>
    <t>马思涵</t>
  </si>
  <si>
    <t>陈婧涵</t>
  </si>
  <si>
    <t>庄茗婧</t>
  </si>
  <si>
    <t>马庭</t>
  </si>
  <si>
    <t>曾静澜</t>
  </si>
  <si>
    <t>陈雨萱</t>
  </si>
  <si>
    <t>张嘉轩</t>
  </si>
  <si>
    <t>熊俊奕</t>
  </si>
  <si>
    <t>陈怡冰</t>
  </si>
  <si>
    <t>曾梓蓝</t>
  </si>
  <si>
    <t>毛汪兰淇</t>
  </si>
  <si>
    <t>蔡静茹</t>
  </si>
  <si>
    <t>夏凡</t>
  </si>
  <si>
    <t>张浩伟</t>
  </si>
  <si>
    <t>法语</t>
  </si>
  <si>
    <t>涂志翔</t>
  </si>
  <si>
    <t>孙正阳</t>
  </si>
  <si>
    <t>刘铭杨</t>
  </si>
  <si>
    <t>向奕帆</t>
  </si>
  <si>
    <t>刘小睿</t>
  </si>
  <si>
    <t>李嘉豫</t>
  </si>
  <si>
    <t>刘倩妤</t>
  </si>
  <si>
    <t>张馨瑞</t>
  </si>
  <si>
    <t>孙家祺</t>
  </si>
  <si>
    <t>吴睿涵</t>
  </si>
  <si>
    <t>姚姝同</t>
  </si>
  <si>
    <t>赵彬茜</t>
  </si>
  <si>
    <t>赵一霖</t>
  </si>
  <si>
    <t>王译晨</t>
  </si>
  <si>
    <t>唐雨涵</t>
  </si>
  <si>
    <t>茹奕</t>
  </si>
  <si>
    <t>于鸿洋</t>
  </si>
  <si>
    <t>魏良辰</t>
  </si>
  <si>
    <t>张一诺</t>
  </si>
  <si>
    <t>孙佳雯</t>
  </si>
  <si>
    <t>宋少榕</t>
  </si>
  <si>
    <t>曹诗雨</t>
  </si>
  <si>
    <t>谷悦</t>
  </si>
  <si>
    <t>陈馨仪</t>
  </si>
  <si>
    <t>黄湘沂</t>
  </si>
  <si>
    <t>吴雨珂</t>
  </si>
  <si>
    <t>李博悦</t>
  </si>
  <si>
    <t>谢雅晴</t>
  </si>
  <si>
    <t>刘俏</t>
  </si>
  <si>
    <t>杨雅惠</t>
  </si>
  <si>
    <t>龙琪</t>
  </si>
  <si>
    <t>尹可祯</t>
  </si>
  <si>
    <t>陈凯洋</t>
  </si>
  <si>
    <t>常芮堃</t>
  </si>
  <si>
    <t>传播</t>
  </si>
  <si>
    <t>罗嘉祈</t>
  </si>
  <si>
    <t>季宇翔</t>
  </si>
  <si>
    <t>白子谦</t>
  </si>
  <si>
    <t>万旭鹏</t>
  </si>
  <si>
    <t>潘泽凯</t>
  </si>
  <si>
    <t>唐慕尧</t>
  </si>
  <si>
    <t>于昊杨</t>
  </si>
  <si>
    <t>刘薇琪</t>
  </si>
  <si>
    <t>温照青</t>
  </si>
  <si>
    <t>郭裕敏</t>
  </si>
  <si>
    <t>李董姝</t>
  </si>
  <si>
    <t>乔一格</t>
  </si>
  <si>
    <t>王弋嘉</t>
  </si>
  <si>
    <t>袁铭鸿</t>
  </si>
  <si>
    <t>赵芯语</t>
  </si>
  <si>
    <t>冯思米</t>
  </si>
  <si>
    <t>张益菲</t>
  </si>
  <si>
    <t>张雯叶</t>
  </si>
  <si>
    <t>彭子淇</t>
  </si>
  <si>
    <t>刘梦蝶</t>
  </si>
  <si>
    <t>曹颖航</t>
  </si>
  <si>
    <t>余悦</t>
  </si>
  <si>
    <t>易颖佩</t>
  </si>
  <si>
    <t>费燕</t>
  </si>
  <si>
    <t>张馨尹</t>
  </si>
  <si>
    <t>李娅霖</t>
  </si>
  <si>
    <t>张馨予</t>
  </si>
  <si>
    <t>楚子越</t>
  </si>
  <si>
    <t>王子悦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</si>
</sst>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46287423322249"/>
        <bgColor indexed="64"/>
      </patternFill>
    </fill>
    <fill>
      <patternFill patternType="solid">
        <fgColor theme="8" tint="0.7994933927426984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49" fontId="0" fillId="0" borderId="1" xfId="0" applyNumberForma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ogram%20Files/Tencent/xwechat_files/wxid_ywv1xdrfbrgz12_108a/msg/file/2026-02/25-26&#23398;&#24180;&#31532;&#19968;&#23398;&#26399;&#23398;&#19994;&#36741;&#23548;&#21592;&#24535;&#24895;&#26102;&#38271;&#65288;&#24453;&#24405;&#20837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>
        <row r="1">
          <cell r="A1" t="str">
            <v>姓名</v>
          </cell>
          <cell r="B1" t="str">
            <v>志愿时长</v>
          </cell>
        </row>
        <row r="2">
          <cell r="A2" t="str">
            <v>田舒宇</v>
          </cell>
          <cell r="B2">
            <v>4</v>
          </cell>
        </row>
        <row r="3">
          <cell r="A3" t="str">
            <v>焦梓妍</v>
          </cell>
          <cell r="B3">
            <v>4</v>
          </cell>
        </row>
        <row r="4">
          <cell r="A4" t="str">
            <v>李子非</v>
          </cell>
          <cell r="B4">
            <v>4</v>
          </cell>
        </row>
        <row r="5">
          <cell r="A5" t="str">
            <v>杨逸群</v>
          </cell>
          <cell r="B5">
            <v>4</v>
          </cell>
        </row>
        <row r="6">
          <cell r="A6" t="str">
            <v>韩想</v>
          </cell>
          <cell r="B6">
            <v>4</v>
          </cell>
        </row>
        <row r="7">
          <cell r="A7" t="str">
            <v>陈雨萱</v>
          </cell>
          <cell r="B7">
            <v>4</v>
          </cell>
        </row>
        <row r="8">
          <cell r="A8" t="str">
            <v>倪乐思</v>
          </cell>
          <cell r="B8">
            <v>4</v>
          </cell>
        </row>
        <row r="9">
          <cell r="A9" t="str">
            <v>刘小睿</v>
          </cell>
          <cell r="B9">
            <v>4</v>
          </cell>
        </row>
        <row r="10">
          <cell r="A10" t="str">
            <v>易颖佩</v>
          </cell>
          <cell r="B10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688"/>
  <sheetViews>
    <sheetView tabSelected="1" zoomScale="78" zoomScaleNormal="78" workbookViewId="0">
      <pane xSplit="6" ySplit="1" topLeftCell="BT234" activePane="bottomRight" state="frozen"/>
      <selection pane="topRight"/>
      <selection pane="bottomLeft"/>
      <selection pane="bottomRight" activeCell="E237" sqref="E237"/>
    </sheetView>
  </sheetViews>
  <sheetFormatPr baseColWidth="10" defaultColWidth="9" defaultRowHeight="14"/>
  <cols>
    <col min="1" max="1" width="7.1640625" style="1" customWidth="1"/>
    <col min="2" max="2" width="9" style="1"/>
    <col min="3" max="3" width="13.6640625" style="1" customWidth="1"/>
    <col min="4" max="6" width="9.1640625" style="1" customWidth="1"/>
    <col min="7" max="7" width="23.1640625" style="1" customWidth="1"/>
    <col min="8" max="8" width="3.5" style="1" hidden="1" customWidth="1"/>
    <col min="9" max="32" width="23.1640625" style="1" customWidth="1"/>
    <col min="33" max="33" width="25.1640625" customWidth="1"/>
    <col min="34" max="37" width="23.1640625" style="1" customWidth="1"/>
    <col min="38" max="38" width="26.6640625" style="1" customWidth="1"/>
    <col min="39" max="39" width="0.6640625" style="1" hidden="1" customWidth="1"/>
    <col min="40" max="40" width="1.1640625" style="1" hidden="1" customWidth="1"/>
    <col min="41" max="41" width="0.83203125" style="1" hidden="1" customWidth="1"/>
    <col min="42" max="42" width="1.1640625" style="1" hidden="1" customWidth="1"/>
    <col min="43" max="43" width="0.83203125" style="1" hidden="1" customWidth="1"/>
    <col min="44" max="50" width="23.1640625" style="1" customWidth="1"/>
    <col min="51" max="51" width="23.6640625" style="1" customWidth="1"/>
    <col min="52" max="52" width="0.83203125" style="1" hidden="1" customWidth="1"/>
    <col min="53" max="55" width="0.5" style="1" hidden="1" customWidth="1"/>
    <col min="56" max="56" width="0.6640625" style="1" hidden="1" customWidth="1"/>
    <col min="57" max="57" width="0.5" style="1" hidden="1" customWidth="1"/>
    <col min="58" max="58" width="0.33203125" style="1" hidden="1" customWidth="1"/>
    <col min="59" max="59" width="0.5" style="1" hidden="1" customWidth="1"/>
    <col min="60" max="61" width="0.33203125" style="1" hidden="1" customWidth="1"/>
    <col min="62" max="62" width="0.5" style="1" hidden="1" customWidth="1"/>
    <col min="63" max="63" width="0.33203125" style="1" hidden="1" customWidth="1"/>
    <col min="64" max="64" width="0.1640625" style="1" hidden="1" customWidth="1"/>
    <col min="65" max="65" width="0.5" style="1" hidden="1" customWidth="1"/>
    <col min="66" max="66" width="0.1640625" style="1" hidden="1" customWidth="1"/>
    <col min="67" max="67" width="14.6640625" style="1" customWidth="1"/>
    <col min="68" max="68" width="17.6640625" style="1" customWidth="1"/>
    <col min="69" max="69" width="10.1640625" style="1" customWidth="1"/>
    <col min="70" max="70" width="11.1640625" style="1" customWidth="1"/>
    <col min="71" max="71" width="17.83203125" style="1" customWidth="1"/>
    <col min="72" max="72" width="13.33203125" style="1" customWidth="1"/>
    <col min="73" max="73" width="11.33203125" style="1" customWidth="1"/>
    <col min="74" max="74" width="21.6640625" style="1" customWidth="1"/>
    <col min="75" max="75" width="1.83203125" style="1" hidden="1" customWidth="1"/>
    <col min="76" max="76" width="10.83203125" style="1" customWidth="1"/>
    <col min="77" max="77" width="18.33203125" style="1" customWidth="1"/>
    <col min="78" max="79" width="11.1640625" style="1" customWidth="1"/>
    <col min="80" max="80" width="11.33203125" style="1" customWidth="1"/>
    <col min="81" max="81" width="22" style="2" customWidth="1"/>
    <col min="82" max="82" width="23.6640625" style="2" customWidth="1"/>
    <col min="83" max="83" width="13.33203125" style="2" customWidth="1"/>
    <col min="84" max="84" width="16.83203125" style="2" customWidth="1"/>
    <col min="85" max="85" width="20" style="2" customWidth="1"/>
    <col min="86" max="86" width="13.6640625" style="2" customWidth="1"/>
    <col min="87" max="87" width="8.33203125" style="2" customWidth="1"/>
    <col min="88" max="88" width="21.33203125" style="2" customWidth="1"/>
    <col min="89" max="89" width="15.1640625" style="2" customWidth="1"/>
    <col min="90" max="90" width="21.33203125" style="2" customWidth="1"/>
    <col min="91" max="91" width="18.83203125" style="2" customWidth="1"/>
    <col min="92" max="92" width="14.5" style="2" customWidth="1"/>
    <col min="93" max="93" width="15.6640625" style="2" customWidth="1"/>
    <col min="94" max="94" width="24.1640625" style="2" customWidth="1"/>
    <col min="95" max="16384" width="9" style="2"/>
  </cols>
  <sheetData>
    <row r="1" spans="1:95" ht="1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/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/>
      <c r="AN1" s="5"/>
      <c r="AO1" s="5"/>
      <c r="AP1" s="5"/>
      <c r="AQ1" s="5"/>
      <c r="AR1" s="5" t="s">
        <v>37</v>
      </c>
      <c r="AS1" s="5" t="s">
        <v>38</v>
      </c>
      <c r="AT1" s="5" t="s">
        <v>39</v>
      </c>
      <c r="AU1" s="5" t="s">
        <v>40</v>
      </c>
      <c r="AV1" s="5" t="s">
        <v>41</v>
      </c>
      <c r="AW1" s="5" t="s">
        <v>42</v>
      </c>
      <c r="AX1" s="5" t="s">
        <v>43</v>
      </c>
      <c r="AY1" s="5" t="s">
        <v>44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 t="s">
        <v>45</v>
      </c>
      <c r="BP1" s="5" t="s">
        <v>46</v>
      </c>
      <c r="BQ1" s="5" t="s">
        <v>47</v>
      </c>
      <c r="BR1" s="5" t="s">
        <v>48</v>
      </c>
      <c r="BS1" s="2" t="s">
        <v>49</v>
      </c>
      <c r="BT1" s="5" t="s">
        <v>50</v>
      </c>
      <c r="BU1" s="6" t="s">
        <v>51</v>
      </c>
      <c r="BV1" s="7" t="s">
        <v>52</v>
      </c>
      <c r="BW1" s="5"/>
      <c r="BX1" s="5" t="s">
        <v>53</v>
      </c>
      <c r="BY1" s="5" t="s">
        <v>54</v>
      </c>
      <c r="BZ1" s="5" t="s">
        <v>55</v>
      </c>
      <c r="CA1" s="5" t="s">
        <v>56</v>
      </c>
      <c r="CB1" s="5" t="s">
        <v>57</v>
      </c>
      <c r="CC1" s="14" t="s">
        <v>58</v>
      </c>
      <c r="CD1" s="14" t="s">
        <v>59</v>
      </c>
      <c r="CE1" s="15" t="s">
        <v>60</v>
      </c>
      <c r="CF1" s="8" t="s">
        <v>61</v>
      </c>
      <c r="CG1" s="5" t="s">
        <v>62</v>
      </c>
      <c r="CH1" s="5" t="s">
        <v>63</v>
      </c>
      <c r="CI1" s="2" t="s">
        <v>64</v>
      </c>
      <c r="CJ1" s="2" t="s">
        <v>65</v>
      </c>
      <c r="CK1" s="5" t="s">
        <v>66</v>
      </c>
      <c r="CL1" s="2" t="s">
        <v>67</v>
      </c>
      <c r="CM1" s="2" t="s">
        <v>68</v>
      </c>
      <c r="CN1" s="2" t="s">
        <v>69</v>
      </c>
      <c r="CO1" s="2" t="s">
        <v>70</v>
      </c>
      <c r="CP1" s="2" t="s">
        <v>71</v>
      </c>
    </row>
    <row r="2" spans="1:95" ht="25.25" customHeight="1">
      <c r="A2" s="5">
        <v>1</v>
      </c>
      <c r="B2" s="9" t="s">
        <v>72</v>
      </c>
      <c r="C2" s="9">
        <v>2024202057</v>
      </c>
      <c r="D2" s="5" t="s">
        <v>73</v>
      </c>
      <c r="E2" s="5">
        <f>SUM(G2:$XER2)</f>
        <v>0</v>
      </c>
      <c r="F2" s="5">
        <f>COUNT(G2:$XFD2)</f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 t="s">
        <v>74</v>
      </c>
      <c r="AH2" s="5" t="s">
        <v>74</v>
      </c>
      <c r="AI2" s="5" t="s">
        <v>74</v>
      </c>
      <c r="AJ2" s="5" t="s">
        <v>74</v>
      </c>
      <c r="AK2" s="5" t="s">
        <v>74</v>
      </c>
      <c r="AL2" s="5"/>
      <c r="AM2" s="5"/>
      <c r="AN2" s="5"/>
      <c r="AO2" s="5"/>
      <c r="AP2" s="5"/>
      <c r="AQ2" s="5"/>
      <c r="AR2" s="5" t="s">
        <v>74</v>
      </c>
      <c r="AS2" s="5" t="s">
        <v>74</v>
      </c>
      <c r="AT2" s="5" t="s">
        <v>74</v>
      </c>
      <c r="AU2" s="5" t="s">
        <v>74</v>
      </c>
      <c r="AV2" s="5" t="s">
        <v>74</v>
      </c>
      <c r="AW2" s="5" t="s">
        <v>74</v>
      </c>
      <c r="AX2" s="5" t="s">
        <v>74</v>
      </c>
      <c r="AY2" s="5" t="s">
        <v>74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 t="s">
        <v>74</v>
      </c>
      <c r="BQ2" s="5" t="s">
        <v>74</v>
      </c>
      <c r="BR2" s="5" t="s">
        <v>74</v>
      </c>
      <c r="BS2" s="5"/>
      <c r="BT2" s="5" t="s">
        <v>74</v>
      </c>
      <c r="BU2" s="6" t="s">
        <v>51</v>
      </c>
      <c r="BV2" s="5" t="s">
        <v>74</v>
      </c>
      <c r="BW2" s="5"/>
      <c r="BX2" s="5" t="s">
        <v>74</v>
      </c>
      <c r="BY2" s="5"/>
      <c r="BZ2" s="5"/>
      <c r="CA2" s="10" t="s">
        <v>74</v>
      </c>
      <c r="CB2" s="5" t="s">
        <v>74</v>
      </c>
      <c r="CC2" s="5" t="s">
        <v>74</v>
      </c>
      <c r="CD2" s="5" t="s">
        <v>74</v>
      </c>
      <c r="CE2" s="5" t="s">
        <v>74</v>
      </c>
      <c r="CF2" s="8"/>
      <c r="CG2" s="5"/>
      <c r="CH2" s="5" t="s">
        <v>74</v>
      </c>
      <c r="CI2" s="5" t="s">
        <v>74</v>
      </c>
      <c r="CJ2" s="2" t="s">
        <v>74</v>
      </c>
      <c r="CK2" s="5"/>
      <c r="CL2" s="5" t="s">
        <v>74</v>
      </c>
      <c r="CM2" s="5" t="s">
        <v>74</v>
      </c>
      <c r="CN2" s="5" t="s">
        <v>74</v>
      </c>
      <c r="CO2" s="5"/>
      <c r="CP2" s="5" t="s">
        <v>74</v>
      </c>
    </row>
    <row r="3" spans="1:95" ht="25.25" customHeight="1">
      <c r="A3" s="5">
        <v>2</v>
      </c>
      <c r="B3" s="9" t="s">
        <v>75</v>
      </c>
      <c r="C3" s="9">
        <v>2024201957</v>
      </c>
      <c r="D3" s="5" t="s">
        <v>73</v>
      </c>
      <c r="E3" s="5">
        <f>SUM(G3:$XET3)</f>
        <v>0</v>
      </c>
      <c r="F3" s="5">
        <f>COUNT(G3:$XFD3)</f>
        <v>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 t="s">
        <v>74</v>
      </c>
      <c r="AC3" s="5" t="s">
        <v>74</v>
      </c>
      <c r="AD3" s="5"/>
      <c r="AE3" s="5"/>
      <c r="AF3" s="5"/>
      <c r="AG3" s="5" t="s">
        <v>74</v>
      </c>
      <c r="AH3" s="5" t="s">
        <v>74</v>
      </c>
      <c r="AI3" s="5" t="s">
        <v>74</v>
      </c>
      <c r="AJ3" s="5" t="s">
        <v>74</v>
      </c>
      <c r="AK3" s="5" t="s">
        <v>74</v>
      </c>
      <c r="AL3" s="5"/>
      <c r="AM3" s="5"/>
      <c r="AN3" s="5"/>
      <c r="AO3" s="5"/>
      <c r="AP3" s="5"/>
      <c r="AQ3" s="5"/>
      <c r="AR3" s="5" t="s">
        <v>74</v>
      </c>
      <c r="AS3" s="5" t="s">
        <v>74</v>
      </c>
      <c r="AT3" s="5" t="s">
        <v>74</v>
      </c>
      <c r="AU3" s="5" t="s">
        <v>74</v>
      </c>
      <c r="AV3" s="5" t="s">
        <v>74</v>
      </c>
      <c r="AW3" s="5" t="s">
        <v>74</v>
      </c>
      <c r="AX3" s="5" t="s">
        <v>74</v>
      </c>
      <c r="AY3" s="5" t="s">
        <v>74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 t="s">
        <v>74</v>
      </c>
      <c r="BQ3" s="5" t="s">
        <v>74</v>
      </c>
      <c r="BR3" s="5" t="s">
        <v>74</v>
      </c>
      <c r="BS3" s="5"/>
      <c r="BT3" s="5" t="s">
        <v>74</v>
      </c>
      <c r="BU3" s="6" t="s">
        <v>51</v>
      </c>
      <c r="BV3" s="5" t="s">
        <v>74</v>
      </c>
      <c r="BW3" s="5"/>
      <c r="BX3" s="5" t="s">
        <v>74</v>
      </c>
      <c r="BY3" s="5"/>
      <c r="BZ3" s="5"/>
      <c r="CA3" s="10" t="s">
        <v>74</v>
      </c>
      <c r="CB3" s="5" t="s">
        <v>74</v>
      </c>
      <c r="CC3" s="5" t="s">
        <v>74</v>
      </c>
      <c r="CD3" s="5" t="s">
        <v>74</v>
      </c>
      <c r="CE3" s="5" t="s">
        <v>74</v>
      </c>
      <c r="CF3" s="8"/>
      <c r="CG3" s="5"/>
      <c r="CH3" s="5" t="s">
        <v>74</v>
      </c>
      <c r="CI3" s="5" t="s">
        <v>74</v>
      </c>
      <c r="CJ3" s="8" t="s">
        <v>74</v>
      </c>
      <c r="CK3" s="5"/>
      <c r="CL3" s="5"/>
      <c r="CM3" s="5" t="s">
        <v>74</v>
      </c>
      <c r="CN3" s="5" t="s">
        <v>74</v>
      </c>
      <c r="CO3" s="5"/>
      <c r="CP3" s="5" t="s">
        <v>74</v>
      </c>
      <c r="CQ3" s="2" t="str" cm="1">
        <f t="array" ref="CQ3">IFERROR(VLOOKUP(B3,[1]Feuil1!$A:$A,[1]Feuil1!$B:$B,FALSE),"")</f>
        <v/>
      </c>
    </row>
    <row r="4" spans="1:95" ht="25.25" customHeight="1">
      <c r="A4" s="5">
        <v>3</v>
      </c>
      <c r="B4" s="9" t="s">
        <v>76</v>
      </c>
      <c r="C4" s="9">
        <v>2024201986</v>
      </c>
      <c r="D4" s="5" t="s">
        <v>73</v>
      </c>
      <c r="E4" s="5">
        <f>SUM(G4:$XET4)</f>
        <v>47.5</v>
      </c>
      <c r="F4" s="5">
        <f>COUNT(G4:$XFD4)</f>
        <v>3</v>
      </c>
      <c r="G4" s="5">
        <v>30</v>
      </c>
      <c r="H4" s="5"/>
      <c r="I4" s="5"/>
      <c r="J4" s="5"/>
      <c r="K4" s="5"/>
      <c r="L4" s="5"/>
      <c r="M4" s="5"/>
      <c r="N4" s="5">
        <v>1</v>
      </c>
      <c r="O4" s="5"/>
      <c r="P4" s="5"/>
      <c r="Q4" s="5"/>
      <c r="R4" s="5">
        <v>16.5</v>
      </c>
      <c r="S4" s="5"/>
      <c r="T4" s="5"/>
      <c r="U4" s="5"/>
      <c r="V4" s="5"/>
      <c r="W4" s="5"/>
      <c r="X4" s="5"/>
      <c r="Y4" s="5"/>
      <c r="Z4" s="5"/>
      <c r="AA4" s="5"/>
      <c r="AB4" s="5" t="s">
        <v>74</v>
      </c>
      <c r="AC4" s="5" t="s">
        <v>74</v>
      </c>
      <c r="AD4" s="5"/>
      <c r="AE4" s="5"/>
      <c r="AF4" s="5"/>
      <c r="AG4" s="5" t="s">
        <v>74</v>
      </c>
      <c r="AH4" s="5" t="s">
        <v>74</v>
      </c>
      <c r="AI4" s="5" t="s">
        <v>74</v>
      </c>
      <c r="AJ4" s="5" t="s">
        <v>74</v>
      </c>
      <c r="AK4" s="5" t="s">
        <v>74</v>
      </c>
      <c r="AL4" s="5"/>
      <c r="AM4" s="5"/>
      <c r="AN4" s="5"/>
      <c r="AO4" s="5"/>
      <c r="AP4" s="5"/>
      <c r="AQ4" s="5"/>
      <c r="AR4" s="5" t="s">
        <v>74</v>
      </c>
      <c r="AS4" s="5" t="s">
        <v>74</v>
      </c>
      <c r="AT4" s="5" t="s">
        <v>74</v>
      </c>
      <c r="AU4" s="5" t="s">
        <v>74</v>
      </c>
      <c r="AV4" s="5" t="s">
        <v>74</v>
      </c>
      <c r="AW4" s="5" t="s">
        <v>74</v>
      </c>
      <c r="AX4" s="5" t="s">
        <v>74</v>
      </c>
      <c r="AY4" s="5" t="s">
        <v>74</v>
      </c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 t="s">
        <v>74</v>
      </c>
      <c r="BQ4" s="5" t="s">
        <v>74</v>
      </c>
      <c r="BR4" s="5" t="s">
        <v>74</v>
      </c>
      <c r="BS4" s="5"/>
      <c r="BT4" s="5" t="s">
        <v>74</v>
      </c>
      <c r="BU4" s="6" t="s">
        <v>51</v>
      </c>
      <c r="BV4" s="5" t="s">
        <v>74</v>
      </c>
      <c r="BW4" s="5"/>
      <c r="BX4" s="5" t="s">
        <v>74</v>
      </c>
      <c r="BY4" s="5"/>
      <c r="BZ4" s="5"/>
      <c r="CA4" s="10" t="s">
        <v>74</v>
      </c>
      <c r="CB4" s="5" t="s">
        <v>74</v>
      </c>
      <c r="CC4" s="5" t="s">
        <v>74</v>
      </c>
      <c r="CD4" s="5" t="s">
        <v>74</v>
      </c>
      <c r="CE4" s="5" t="s">
        <v>74</v>
      </c>
      <c r="CF4" s="8"/>
      <c r="CG4" s="5"/>
      <c r="CH4" s="5" t="s">
        <v>74</v>
      </c>
      <c r="CI4" s="5" t="s">
        <v>74</v>
      </c>
      <c r="CJ4" s="8" t="s">
        <v>74</v>
      </c>
      <c r="CK4" s="5"/>
      <c r="CL4" s="5" t="s">
        <v>74</v>
      </c>
      <c r="CM4" s="5" t="s">
        <v>74</v>
      </c>
      <c r="CN4" s="5" t="s">
        <v>74</v>
      </c>
      <c r="CO4" s="5"/>
      <c r="CP4" s="5" t="s">
        <v>74</v>
      </c>
      <c r="CQ4" s="2" t="str" cm="1">
        <f t="array" ref="CQ4">IFERROR(VLOOKUP(B4,[1]Feuil1!$A:$A,[1]Feuil1!$B:$B,FALSE),"")</f>
        <v/>
      </c>
    </row>
    <row r="5" spans="1:95" ht="25.25" customHeight="1">
      <c r="A5" s="5">
        <v>4</v>
      </c>
      <c r="B5" s="9" t="s">
        <v>77</v>
      </c>
      <c r="C5" s="9">
        <v>2024201958</v>
      </c>
      <c r="D5" s="5" t="s">
        <v>73</v>
      </c>
      <c r="E5" s="5">
        <f>SUM(G5:$XET5)</f>
        <v>0</v>
      </c>
      <c r="F5" s="5">
        <f>COUNT(G5:$XFD5)</f>
        <v>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 t="s">
        <v>74</v>
      </c>
      <c r="AC5" s="5" t="s">
        <v>74</v>
      </c>
      <c r="AD5" s="5"/>
      <c r="AE5" s="5"/>
      <c r="AF5" s="5"/>
      <c r="AG5" s="5" t="s">
        <v>74</v>
      </c>
      <c r="AH5" s="5" t="s">
        <v>74</v>
      </c>
      <c r="AI5" s="5" t="s">
        <v>74</v>
      </c>
      <c r="AJ5" s="5" t="s">
        <v>74</v>
      </c>
      <c r="AK5" s="5" t="s">
        <v>74</v>
      </c>
      <c r="AL5" s="5"/>
      <c r="AM5" s="5"/>
      <c r="AN5" s="5"/>
      <c r="AO5" s="5"/>
      <c r="AP5" s="5"/>
      <c r="AQ5" s="5"/>
      <c r="AR5" s="5" t="s">
        <v>74</v>
      </c>
      <c r="AS5" s="5" t="s">
        <v>74</v>
      </c>
      <c r="AT5" s="5" t="s">
        <v>74</v>
      </c>
      <c r="AU5" s="5" t="s">
        <v>74</v>
      </c>
      <c r="AV5" s="5" t="s">
        <v>74</v>
      </c>
      <c r="AW5" s="5" t="s">
        <v>74</v>
      </c>
      <c r="AX5" s="5" t="s">
        <v>74</v>
      </c>
      <c r="AY5" s="5" t="s">
        <v>74</v>
      </c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 t="s">
        <v>74</v>
      </c>
      <c r="BQ5" s="5" t="s">
        <v>74</v>
      </c>
      <c r="BR5" s="5" t="s">
        <v>74</v>
      </c>
      <c r="BS5" s="5"/>
      <c r="BT5" s="5" t="s">
        <v>74</v>
      </c>
      <c r="BU5" s="6" t="s">
        <v>51</v>
      </c>
      <c r="BV5" s="5" t="s">
        <v>74</v>
      </c>
      <c r="BW5" s="5"/>
      <c r="BX5" s="5" t="s">
        <v>74</v>
      </c>
      <c r="BY5" s="5"/>
      <c r="BZ5" s="5"/>
      <c r="CA5" s="10" t="s">
        <v>74</v>
      </c>
      <c r="CB5" s="5" t="s">
        <v>74</v>
      </c>
      <c r="CC5" s="5" t="s">
        <v>74</v>
      </c>
      <c r="CD5" s="5" t="s">
        <v>74</v>
      </c>
      <c r="CE5" s="5" t="s">
        <v>74</v>
      </c>
      <c r="CF5" s="8"/>
      <c r="CG5" s="5"/>
      <c r="CH5" s="5" t="s">
        <v>74</v>
      </c>
      <c r="CI5" s="5" t="s">
        <v>74</v>
      </c>
      <c r="CJ5" s="8" t="s">
        <v>74</v>
      </c>
      <c r="CK5" s="5"/>
      <c r="CL5" s="5" t="s">
        <v>74</v>
      </c>
      <c r="CM5" s="5" t="s">
        <v>74</v>
      </c>
      <c r="CN5" s="5" t="s">
        <v>74</v>
      </c>
      <c r="CO5" s="5"/>
      <c r="CP5" s="5" t="s">
        <v>74</v>
      </c>
      <c r="CQ5" s="2" t="str" cm="1">
        <f t="array" ref="CQ5">IFERROR(VLOOKUP(B5,[1]Feuil1!$A:$A,[1]Feuil1!$B:$B,FALSE),"")</f>
        <v/>
      </c>
    </row>
    <row r="6" spans="1:95" ht="25.25" customHeight="1">
      <c r="A6" s="5">
        <v>5</v>
      </c>
      <c r="B6" s="9" t="s">
        <v>78</v>
      </c>
      <c r="C6" s="9">
        <v>2024201995</v>
      </c>
      <c r="D6" s="5" t="s">
        <v>73</v>
      </c>
      <c r="E6" s="5">
        <f>SUM(G6:$XET6)</f>
        <v>0</v>
      </c>
      <c r="F6" s="5">
        <f>COUNT(G6:$XFD6)</f>
        <v>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 t="s">
        <v>74</v>
      </c>
      <c r="AC6" s="5" t="s">
        <v>74</v>
      </c>
      <c r="AD6" s="5"/>
      <c r="AE6" s="5"/>
      <c r="AF6" s="5"/>
      <c r="AG6" s="5" t="s">
        <v>74</v>
      </c>
      <c r="AH6" s="5" t="s">
        <v>74</v>
      </c>
      <c r="AI6" s="5" t="s">
        <v>74</v>
      </c>
      <c r="AJ6" s="5" t="s">
        <v>74</v>
      </c>
      <c r="AK6" s="5" t="s">
        <v>74</v>
      </c>
      <c r="AL6" s="5"/>
      <c r="AM6" s="5"/>
      <c r="AN6" s="5"/>
      <c r="AO6" s="5"/>
      <c r="AP6" s="5"/>
      <c r="AQ6" s="5"/>
      <c r="AR6" s="5" t="s">
        <v>74</v>
      </c>
      <c r="AS6" s="5" t="s">
        <v>74</v>
      </c>
      <c r="AT6" s="5" t="s">
        <v>74</v>
      </c>
      <c r="AU6" s="5" t="s">
        <v>74</v>
      </c>
      <c r="AV6" s="5" t="s">
        <v>74</v>
      </c>
      <c r="AW6" s="5" t="s">
        <v>74</v>
      </c>
      <c r="AX6" s="5" t="s">
        <v>74</v>
      </c>
      <c r="AY6" s="5" t="s">
        <v>74</v>
      </c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 t="s">
        <v>74</v>
      </c>
      <c r="BQ6" s="5" t="s">
        <v>74</v>
      </c>
      <c r="BR6" s="5" t="s">
        <v>74</v>
      </c>
      <c r="BS6" s="5"/>
      <c r="BT6" s="5" t="s">
        <v>74</v>
      </c>
      <c r="BU6" s="6" t="s">
        <v>51</v>
      </c>
      <c r="BV6" s="5" t="s">
        <v>74</v>
      </c>
      <c r="BW6" s="5"/>
      <c r="BX6" s="5" t="s">
        <v>74</v>
      </c>
      <c r="BY6" s="5"/>
      <c r="BZ6" s="5"/>
      <c r="CA6" s="10" t="s">
        <v>74</v>
      </c>
      <c r="CB6" s="5" t="s">
        <v>74</v>
      </c>
      <c r="CC6" s="5" t="s">
        <v>74</v>
      </c>
      <c r="CD6" s="5" t="s">
        <v>74</v>
      </c>
      <c r="CE6" s="5" t="s">
        <v>74</v>
      </c>
      <c r="CF6" s="8"/>
      <c r="CG6" s="5"/>
      <c r="CH6" s="5" t="s">
        <v>74</v>
      </c>
      <c r="CI6" s="5" t="s">
        <v>74</v>
      </c>
      <c r="CJ6" s="8" t="s">
        <v>74</v>
      </c>
      <c r="CK6" s="5"/>
      <c r="CL6" s="5" t="s">
        <v>74</v>
      </c>
      <c r="CM6" s="5" t="s">
        <v>74</v>
      </c>
      <c r="CN6" s="5" t="s">
        <v>74</v>
      </c>
      <c r="CO6" s="5"/>
      <c r="CP6" s="5" t="s">
        <v>74</v>
      </c>
      <c r="CQ6" s="2" t="str" cm="1">
        <f t="array" ref="CQ6">IFERROR(VLOOKUP(B6,[1]Feuil1!$A:$A,[1]Feuil1!$B:$B,FALSE),"")</f>
        <v/>
      </c>
    </row>
    <row r="7" spans="1:95" ht="25.25" customHeight="1">
      <c r="A7" s="5">
        <v>6</v>
      </c>
      <c r="B7" s="9" t="s">
        <v>79</v>
      </c>
      <c r="C7" s="9">
        <v>2024202031</v>
      </c>
      <c r="D7" s="5" t="s">
        <v>73</v>
      </c>
      <c r="E7" s="5">
        <f>SUM(G7:$XET7)</f>
        <v>6</v>
      </c>
      <c r="F7" s="5">
        <f>COUNT(G7:$XFD7)</f>
        <v>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 t="s">
        <v>74</v>
      </c>
      <c r="AC7" s="5" t="s">
        <v>74</v>
      </c>
      <c r="AD7" s="5"/>
      <c r="AE7" s="5"/>
      <c r="AF7" s="5"/>
      <c r="AG7" s="5" t="s">
        <v>74</v>
      </c>
      <c r="AH7" s="5" t="s">
        <v>74</v>
      </c>
      <c r="AI7" s="5" t="s">
        <v>74</v>
      </c>
      <c r="AJ7" s="5">
        <v>2</v>
      </c>
      <c r="AK7" s="5">
        <v>4</v>
      </c>
      <c r="AL7" s="5"/>
      <c r="AM7" s="5"/>
      <c r="AN7" s="5"/>
      <c r="AO7" s="5"/>
      <c r="AP7" s="5"/>
      <c r="AQ7" s="5"/>
      <c r="AR7" s="5" t="s">
        <v>74</v>
      </c>
      <c r="AS7" s="5" t="s">
        <v>74</v>
      </c>
      <c r="AT7" s="5" t="s">
        <v>74</v>
      </c>
      <c r="AU7" s="5" t="s">
        <v>74</v>
      </c>
      <c r="AV7" s="5" t="s">
        <v>74</v>
      </c>
      <c r="AW7" s="5" t="s">
        <v>74</v>
      </c>
      <c r="AX7" s="5" t="s">
        <v>74</v>
      </c>
      <c r="AY7" s="5" t="s">
        <v>74</v>
      </c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 t="s">
        <v>74</v>
      </c>
      <c r="BQ7" s="5" t="s">
        <v>74</v>
      </c>
      <c r="BR7" s="5" t="s">
        <v>74</v>
      </c>
      <c r="BS7" s="5"/>
      <c r="BT7" s="5" t="s">
        <v>74</v>
      </c>
      <c r="BU7" s="6" t="s">
        <v>51</v>
      </c>
      <c r="BV7" s="5" t="s">
        <v>74</v>
      </c>
      <c r="BW7" s="5"/>
      <c r="BX7" s="5" t="s">
        <v>74</v>
      </c>
      <c r="BY7" s="5"/>
      <c r="BZ7" s="5"/>
      <c r="CA7" s="10" t="s">
        <v>74</v>
      </c>
      <c r="CB7" s="5" t="s">
        <v>74</v>
      </c>
      <c r="CC7" s="5" t="s">
        <v>74</v>
      </c>
      <c r="CD7" s="5" t="s">
        <v>74</v>
      </c>
      <c r="CE7" s="5" t="s">
        <v>74</v>
      </c>
      <c r="CF7" s="8"/>
      <c r="CG7" s="5"/>
      <c r="CH7" s="5" t="s">
        <v>74</v>
      </c>
      <c r="CI7" s="5" t="s">
        <v>74</v>
      </c>
      <c r="CJ7" s="8" t="s">
        <v>74</v>
      </c>
      <c r="CK7" s="5"/>
      <c r="CL7" s="5" t="s">
        <v>74</v>
      </c>
      <c r="CM7" s="5" t="s">
        <v>74</v>
      </c>
      <c r="CN7" s="5" t="s">
        <v>74</v>
      </c>
      <c r="CO7" s="5"/>
      <c r="CP7" s="5" t="s">
        <v>74</v>
      </c>
      <c r="CQ7" s="2" t="str" cm="1">
        <f t="array" ref="CQ7">IFERROR(VLOOKUP(B7,[1]Feuil1!$A:$A,[1]Feuil1!$B:$B,FALSE),"")</f>
        <v/>
      </c>
    </row>
    <row r="8" spans="1:95" ht="25.25" customHeight="1">
      <c r="A8" s="5">
        <v>7</v>
      </c>
      <c r="B8" s="9" t="s">
        <v>80</v>
      </c>
      <c r="C8" s="9">
        <v>2024202038</v>
      </c>
      <c r="D8" s="5" t="s">
        <v>73</v>
      </c>
      <c r="E8" s="5">
        <f>SUM(G8:$XET8)</f>
        <v>0</v>
      </c>
      <c r="F8" s="5">
        <f>COUNT(G8:$XFD8)</f>
        <v>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 t="s">
        <v>74</v>
      </c>
      <c r="AC8" s="5" t="s">
        <v>74</v>
      </c>
      <c r="AD8" s="5"/>
      <c r="AE8" s="5"/>
      <c r="AF8" s="5"/>
      <c r="AG8" s="5" t="s">
        <v>74</v>
      </c>
      <c r="AH8" s="5" t="s">
        <v>74</v>
      </c>
      <c r="AI8" s="5" t="s">
        <v>74</v>
      </c>
      <c r="AJ8" s="5" t="s">
        <v>74</v>
      </c>
      <c r="AK8" s="5" t="s">
        <v>74</v>
      </c>
      <c r="AL8" s="5"/>
      <c r="AM8" s="5"/>
      <c r="AN8" s="5"/>
      <c r="AO8" s="5"/>
      <c r="AP8" s="5"/>
      <c r="AQ8" s="5"/>
      <c r="AR8" s="5" t="s">
        <v>74</v>
      </c>
      <c r="AS8" s="5" t="s">
        <v>74</v>
      </c>
      <c r="AT8" s="5" t="s">
        <v>74</v>
      </c>
      <c r="AU8" s="5" t="s">
        <v>74</v>
      </c>
      <c r="AV8" s="5" t="s">
        <v>74</v>
      </c>
      <c r="AW8" s="5" t="s">
        <v>74</v>
      </c>
      <c r="AX8" s="5" t="s">
        <v>74</v>
      </c>
      <c r="AY8" s="5" t="s">
        <v>74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 t="s">
        <v>74</v>
      </c>
      <c r="BQ8" s="5" t="s">
        <v>74</v>
      </c>
      <c r="BR8" s="5" t="s">
        <v>74</v>
      </c>
      <c r="BS8" s="5"/>
      <c r="BT8" s="5" t="s">
        <v>74</v>
      </c>
      <c r="BU8" s="6" t="s">
        <v>51</v>
      </c>
      <c r="BV8" s="5" t="s">
        <v>74</v>
      </c>
      <c r="BW8" s="5"/>
      <c r="BX8" s="5" t="s">
        <v>74</v>
      </c>
      <c r="BY8" s="5"/>
      <c r="BZ8" s="5"/>
      <c r="CA8" s="10" t="s">
        <v>74</v>
      </c>
      <c r="CB8" s="5" t="s">
        <v>74</v>
      </c>
      <c r="CC8" s="5" t="s">
        <v>74</v>
      </c>
      <c r="CD8" s="5" t="s">
        <v>74</v>
      </c>
      <c r="CE8" s="5" t="s">
        <v>74</v>
      </c>
      <c r="CF8" s="8"/>
      <c r="CG8" s="5"/>
      <c r="CH8" s="5" t="s">
        <v>74</v>
      </c>
      <c r="CI8" s="5" t="s">
        <v>74</v>
      </c>
      <c r="CJ8" s="8" t="s">
        <v>74</v>
      </c>
      <c r="CK8" s="5"/>
      <c r="CL8" s="5" t="s">
        <v>74</v>
      </c>
      <c r="CM8" s="5" t="s">
        <v>74</v>
      </c>
      <c r="CN8" s="5" t="s">
        <v>74</v>
      </c>
      <c r="CO8" s="5"/>
      <c r="CP8" s="5" t="s">
        <v>74</v>
      </c>
      <c r="CQ8" s="2" t="str" cm="1">
        <f t="array" ref="CQ8">IFERROR(VLOOKUP(B8,[1]Feuil1!$A:$A,[1]Feuil1!$B:$B,FALSE),"")</f>
        <v/>
      </c>
    </row>
    <row r="9" spans="1:95" ht="25.25" customHeight="1">
      <c r="A9" s="5">
        <v>8</v>
      </c>
      <c r="B9" s="9" t="s">
        <v>81</v>
      </c>
      <c r="C9" s="9">
        <v>2024201959</v>
      </c>
      <c r="D9" s="5" t="s">
        <v>73</v>
      </c>
      <c r="E9" s="5">
        <f>SUM(G9:$XET9)</f>
        <v>378</v>
      </c>
      <c r="F9" s="5">
        <f>COUNT(G9:$XFD9)</f>
        <v>14</v>
      </c>
      <c r="G9" s="5">
        <v>150</v>
      </c>
      <c r="H9" s="5"/>
      <c r="I9" s="5"/>
      <c r="J9" s="5"/>
      <c r="K9" s="5"/>
      <c r="L9" s="5"/>
      <c r="M9" s="5"/>
      <c r="N9" s="5">
        <v>2</v>
      </c>
      <c r="O9" s="5"/>
      <c r="P9" s="5"/>
      <c r="Q9" s="5"/>
      <c r="R9" s="5"/>
      <c r="S9" s="5"/>
      <c r="T9" s="5"/>
      <c r="U9" s="5"/>
      <c r="V9" s="5"/>
      <c r="W9" s="5">
        <v>3</v>
      </c>
      <c r="X9" s="5">
        <v>7</v>
      </c>
      <c r="Y9" s="5"/>
      <c r="Z9" s="5"/>
      <c r="AA9" s="5"/>
      <c r="AB9" s="5">
        <v>5.5</v>
      </c>
      <c r="AC9" s="5" t="s">
        <v>74</v>
      </c>
      <c r="AD9" s="5"/>
      <c r="AE9" s="5"/>
      <c r="AF9" s="5"/>
      <c r="AG9" s="5" t="s">
        <v>74</v>
      </c>
      <c r="AH9" s="5" t="s">
        <v>74</v>
      </c>
      <c r="AI9" s="5">
        <v>12</v>
      </c>
      <c r="AJ9" s="5" t="s">
        <v>74</v>
      </c>
      <c r="AK9" s="5">
        <v>4</v>
      </c>
      <c r="AL9" s="5"/>
      <c r="AM9" s="5"/>
      <c r="AN9" s="5"/>
      <c r="AO9" s="5"/>
      <c r="AP9" s="5"/>
      <c r="AQ9" s="5"/>
      <c r="AR9" s="5" t="s">
        <v>74</v>
      </c>
      <c r="AS9" s="5" t="s">
        <v>74</v>
      </c>
      <c r="AT9" s="5">
        <v>72</v>
      </c>
      <c r="AU9" s="5" t="s">
        <v>74</v>
      </c>
      <c r="AV9" s="5" t="s">
        <v>74</v>
      </c>
      <c r="AW9" s="5" t="s">
        <v>74</v>
      </c>
      <c r="AX9" s="5" t="s">
        <v>74</v>
      </c>
      <c r="AY9" s="5" t="s">
        <v>74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 t="s">
        <v>74</v>
      </c>
      <c r="BQ9" s="5" t="s">
        <v>74</v>
      </c>
      <c r="BR9" s="5">
        <v>84</v>
      </c>
      <c r="BS9" s="5"/>
      <c r="BT9" s="5" t="s">
        <v>74</v>
      </c>
      <c r="BU9" s="6" t="s">
        <v>51</v>
      </c>
      <c r="BV9" s="5" t="s">
        <v>74</v>
      </c>
      <c r="BW9" s="5"/>
      <c r="BX9" s="5">
        <v>12</v>
      </c>
      <c r="BY9" s="5"/>
      <c r="BZ9" s="5"/>
      <c r="CA9" s="10" t="s">
        <v>74</v>
      </c>
      <c r="CB9" s="5" t="s">
        <v>74</v>
      </c>
      <c r="CC9" s="5" t="s">
        <v>74</v>
      </c>
      <c r="CD9" s="5" t="s">
        <v>74</v>
      </c>
      <c r="CE9" s="5">
        <v>4</v>
      </c>
      <c r="CF9" s="8"/>
      <c r="CG9" s="5"/>
      <c r="CH9" s="5" t="s">
        <v>74</v>
      </c>
      <c r="CI9" s="5">
        <v>16</v>
      </c>
      <c r="CJ9" s="8" t="s">
        <v>74</v>
      </c>
      <c r="CK9" s="5"/>
      <c r="CL9" s="5">
        <v>4</v>
      </c>
      <c r="CM9" s="5" t="s">
        <v>74</v>
      </c>
      <c r="CN9" s="5" t="s">
        <v>74</v>
      </c>
      <c r="CO9" s="5">
        <v>2.5</v>
      </c>
      <c r="CP9" s="5" t="s">
        <v>74</v>
      </c>
    </row>
    <row r="10" spans="1:95" ht="25.25" customHeight="1">
      <c r="A10" s="5">
        <v>9</v>
      </c>
      <c r="B10" s="9" t="s">
        <v>82</v>
      </c>
      <c r="C10" s="9">
        <v>2024202005</v>
      </c>
      <c r="D10" s="5" t="s">
        <v>73</v>
      </c>
      <c r="E10" s="5">
        <f>SUM(G10:$XET10)</f>
        <v>7</v>
      </c>
      <c r="F10" s="5">
        <f>COUNT(G10:$XFD10)</f>
        <v>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3</v>
      </c>
      <c r="AC10" s="5">
        <v>2</v>
      </c>
      <c r="AD10" s="5"/>
      <c r="AE10" s="5"/>
      <c r="AF10" s="5"/>
      <c r="AG10" s="5" t="s">
        <v>74</v>
      </c>
      <c r="AH10" s="5" t="s">
        <v>74</v>
      </c>
      <c r="AI10" s="5" t="s">
        <v>74</v>
      </c>
      <c r="AJ10" s="5" t="s">
        <v>74</v>
      </c>
      <c r="AK10" s="5" t="s">
        <v>74</v>
      </c>
      <c r="AL10" s="5"/>
      <c r="AM10" s="5"/>
      <c r="AN10" s="5"/>
      <c r="AO10" s="5"/>
      <c r="AP10" s="5"/>
      <c r="AQ10" s="5"/>
      <c r="AR10" s="5" t="s">
        <v>74</v>
      </c>
      <c r="AS10" s="5" t="s">
        <v>74</v>
      </c>
      <c r="AT10" s="5" t="s">
        <v>74</v>
      </c>
      <c r="AU10" s="5" t="s">
        <v>74</v>
      </c>
      <c r="AV10" s="5" t="s">
        <v>74</v>
      </c>
      <c r="AW10" s="5" t="s">
        <v>74</v>
      </c>
      <c r="AX10" s="5" t="s">
        <v>74</v>
      </c>
      <c r="AY10" s="5" t="s">
        <v>74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 t="s">
        <v>74</v>
      </c>
      <c r="BQ10" s="5" t="s">
        <v>74</v>
      </c>
      <c r="BR10" s="5" t="s">
        <v>74</v>
      </c>
      <c r="BS10" s="5"/>
      <c r="BT10" s="5" t="s">
        <v>74</v>
      </c>
      <c r="BU10" s="6" t="s">
        <v>51</v>
      </c>
      <c r="BV10" s="5" t="s">
        <v>74</v>
      </c>
      <c r="BW10" s="5"/>
      <c r="BX10" s="5" t="s">
        <v>74</v>
      </c>
      <c r="BY10" s="5"/>
      <c r="BZ10" s="5"/>
      <c r="CA10" s="10" t="s">
        <v>74</v>
      </c>
      <c r="CB10" s="5" t="s">
        <v>74</v>
      </c>
      <c r="CC10" s="5" t="s">
        <v>74</v>
      </c>
      <c r="CD10" s="5" t="s">
        <v>74</v>
      </c>
      <c r="CE10" s="5">
        <v>2</v>
      </c>
      <c r="CF10" s="8"/>
      <c r="CG10" s="5"/>
      <c r="CH10" s="5" t="s">
        <v>74</v>
      </c>
      <c r="CI10" s="5" t="s">
        <v>74</v>
      </c>
      <c r="CJ10" s="8" t="s">
        <v>74</v>
      </c>
      <c r="CK10" s="5"/>
      <c r="CL10" s="5" t="s">
        <v>74</v>
      </c>
      <c r="CM10" s="5" t="s">
        <v>74</v>
      </c>
      <c r="CN10" s="5" t="s">
        <v>74</v>
      </c>
      <c r="CO10" s="5"/>
      <c r="CP10" s="5" t="s">
        <v>74</v>
      </c>
    </row>
    <row r="11" spans="1:95" ht="25.25" customHeight="1">
      <c r="A11" s="5">
        <v>10</v>
      </c>
      <c r="B11" s="9" t="s">
        <v>83</v>
      </c>
      <c r="C11" s="9">
        <v>2024202061</v>
      </c>
      <c r="D11" s="5" t="s">
        <v>73</v>
      </c>
      <c r="E11" s="5">
        <f>SUM(G11:$XET11)</f>
        <v>16</v>
      </c>
      <c r="F11" s="5">
        <f>COUNT(G11:$XFD11)</f>
        <v>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 t="s">
        <v>74</v>
      </c>
      <c r="AC11" s="5" t="s">
        <v>74</v>
      </c>
      <c r="AD11" s="5"/>
      <c r="AE11" s="5"/>
      <c r="AF11" s="5"/>
      <c r="AG11" s="5" t="s">
        <v>74</v>
      </c>
      <c r="AH11" s="5" t="s">
        <v>74</v>
      </c>
      <c r="AI11" s="5" t="s">
        <v>74</v>
      </c>
      <c r="AJ11" s="5" t="s">
        <v>74</v>
      </c>
      <c r="AK11" s="5" t="s">
        <v>74</v>
      </c>
      <c r="AL11" s="5"/>
      <c r="AM11" s="5"/>
      <c r="AN11" s="5"/>
      <c r="AO11" s="5"/>
      <c r="AP11" s="5"/>
      <c r="AQ11" s="5"/>
      <c r="AR11" s="5" t="s">
        <v>74</v>
      </c>
      <c r="AS11" s="5" t="s">
        <v>74</v>
      </c>
      <c r="AT11" s="5" t="s">
        <v>74</v>
      </c>
      <c r="AU11" s="5" t="s">
        <v>74</v>
      </c>
      <c r="AV11" s="5" t="s">
        <v>74</v>
      </c>
      <c r="AW11" s="5" t="s">
        <v>74</v>
      </c>
      <c r="AX11" s="5" t="s">
        <v>74</v>
      </c>
      <c r="AY11" s="5" t="s">
        <v>74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 t="s">
        <v>74</v>
      </c>
      <c r="BQ11" s="5" t="s">
        <v>74</v>
      </c>
      <c r="BR11" s="5" t="s">
        <v>74</v>
      </c>
      <c r="BS11" s="5"/>
      <c r="BT11" s="5" t="s">
        <v>74</v>
      </c>
      <c r="BU11" s="6" t="s">
        <v>51</v>
      </c>
      <c r="BV11" s="5" t="s">
        <v>74</v>
      </c>
      <c r="BW11" s="5"/>
      <c r="BX11" s="5" t="s">
        <v>74</v>
      </c>
      <c r="BY11" s="5"/>
      <c r="BZ11" s="5"/>
      <c r="CA11" s="10" t="s">
        <v>74</v>
      </c>
      <c r="CB11" s="5" t="s">
        <v>74</v>
      </c>
      <c r="CC11" s="5" t="s">
        <v>74</v>
      </c>
      <c r="CD11" s="5" t="s">
        <v>74</v>
      </c>
      <c r="CE11" s="5" t="s">
        <v>74</v>
      </c>
      <c r="CF11" s="8"/>
      <c r="CG11" s="5"/>
      <c r="CH11" s="5" t="s">
        <v>74</v>
      </c>
      <c r="CI11" s="5">
        <v>16</v>
      </c>
      <c r="CJ11" s="8" t="s">
        <v>74</v>
      </c>
      <c r="CK11" s="5"/>
      <c r="CL11" s="5" t="s">
        <v>74</v>
      </c>
      <c r="CM11" s="5" t="s">
        <v>74</v>
      </c>
      <c r="CN11" s="5" t="s">
        <v>74</v>
      </c>
      <c r="CO11" s="5"/>
      <c r="CP11" s="5" t="s">
        <v>74</v>
      </c>
    </row>
    <row r="12" spans="1:95" ht="25.25" customHeight="1">
      <c r="A12" s="5">
        <v>11</v>
      </c>
      <c r="B12" s="9" t="s">
        <v>84</v>
      </c>
      <c r="C12" s="9">
        <v>2024202093</v>
      </c>
      <c r="D12" s="5" t="s">
        <v>73</v>
      </c>
      <c r="E12" s="5">
        <f>SUM(G12:$XET12)</f>
        <v>4.5</v>
      </c>
      <c r="F12" s="5">
        <f>COUNT(G12:$XFD12)</f>
        <v>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 t="s">
        <v>74</v>
      </c>
      <c r="AC12" s="5" t="s">
        <v>74</v>
      </c>
      <c r="AD12" s="5"/>
      <c r="AE12" s="5"/>
      <c r="AF12" s="5"/>
      <c r="AG12" s="5" t="s">
        <v>74</v>
      </c>
      <c r="AH12" s="5" t="s">
        <v>74</v>
      </c>
      <c r="AI12" s="5" t="s">
        <v>74</v>
      </c>
      <c r="AJ12" s="5" t="s">
        <v>74</v>
      </c>
      <c r="AK12" s="5" t="s">
        <v>74</v>
      </c>
      <c r="AL12" s="5"/>
      <c r="AM12" s="5"/>
      <c r="AN12" s="5"/>
      <c r="AO12" s="5"/>
      <c r="AP12" s="5"/>
      <c r="AQ12" s="5"/>
      <c r="AR12" s="5" t="s">
        <v>74</v>
      </c>
      <c r="AS12" s="5" t="s">
        <v>74</v>
      </c>
      <c r="AT12" s="5" t="s">
        <v>74</v>
      </c>
      <c r="AU12" s="5" t="s">
        <v>74</v>
      </c>
      <c r="AV12" s="5" t="s">
        <v>74</v>
      </c>
      <c r="AW12" s="5" t="s">
        <v>74</v>
      </c>
      <c r="AX12" s="5" t="s">
        <v>74</v>
      </c>
      <c r="AY12" s="5" t="s">
        <v>74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 t="s">
        <v>74</v>
      </c>
      <c r="BQ12" s="5" t="s">
        <v>74</v>
      </c>
      <c r="BR12" s="5" t="s">
        <v>74</v>
      </c>
      <c r="BS12" s="5"/>
      <c r="BT12" s="5" t="s">
        <v>74</v>
      </c>
      <c r="BU12" s="6" t="s">
        <v>51</v>
      </c>
      <c r="BV12" s="5" t="s">
        <v>74</v>
      </c>
      <c r="BW12" s="5"/>
      <c r="BX12" s="5" t="s">
        <v>74</v>
      </c>
      <c r="BY12" s="5"/>
      <c r="BZ12" s="5"/>
      <c r="CA12" s="10" t="s">
        <v>74</v>
      </c>
      <c r="CB12" s="5" t="s">
        <v>74</v>
      </c>
      <c r="CC12" s="5" t="s">
        <v>74</v>
      </c>
      <c r="CD12" s="5" t="s">
        <v>74</v>
      </c>
      <c r="CE12" s="5">
        <v>2</v>
      </c>
      <c r="CF12" s="8"/>
      <c r="CG12" s="5"/>
      <c r="CH12" s="5" t="s">
        <v>74</v>
      </c>
      <c r="CI12" s="5" t="s">
        <v>74</v>
      </c>
      <c r="CJ12" s="8" t="s">
        <v>74</v>
      </c>
      <c r="CK12" s="5"/>
      <c r="CL12" s="5" t="s">
        <v>74</v>
      </c>
      <c r="CM12" s="5" t="s">
        <v>74</v>
      </c>
      <c r="CN12" s="5" t="s">
        <v>74</v>
      </c>
      <c r="CO12" s="5">
        <v>2.5</v>
      </c>
      <c r="CP12" s="5" t="s">
        <v>74</v>
      </c>
    </row>
    <row r="13" spans="1:95" ht="25.25" customHeight="1">
      <c r="A13" s="5">
        <v>12</v>
      </c>
      <c r="B13" s="9" t="s">
        <v>85</v>
      </c>
      <c r="C13" s="9">
        <v>2024202065</v>
      </c>
      <c r="D13" s="5" t="s">
        <v>73</v>
      </c>
      <c r="E13" s="5">
        <f>SUM(G13:$XET13)</f>
        <v>26.5</v>
      </c>
      <c r="F13" s="5">
        <f>COUNT(G13:$XFD13)</f>
        <v>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14.5</v>
      </c>
      <c r="S13" s="5"/>
      <c r="T13" s="5"/>
      <c r="U13" s="5"/>
      <c r="V13" s="5"/>
      <c r="W13" s="5">
        <v>6</v>
      </c>
      <c r="X13" s="5"/>
      <c r="Y13" s="5"/>
      <c r="Z13" s="5"/>
      <c r="AA13" s="5"/>
      <c r="AB13" s="5" t="s">
        <v>74</v>
      </c>
      <c r="AC13" s="5" t="s">
        <v>74</v>
      </c>
      <c r="AD13" s="5"/>
      <c r="AE13" s="5"/>
      <c r="AF13" s="5"/>
      <c r="AG13" s="5" t="s">
        <v>74</v>
      </c>
      <c r="AH13" s="5" t="s">
        <v>74</v>
      </c>
      <c r="AI13" s="5" t="s">
        <v>74</v>
      </c>
      <c r="AJ13" s="5">
        <v>2</v>
      </c>
      <c r="AK13" s="5">
        <v>4</v>
      </c>
      <c r="AL13" s="5"/>
      <c r="AM13" s="5"/>
      <c r="AN13" s="5"/>
      <c r="AO13" s="5"/>
      <c r="AP13" s="5"/>
      <c r="AQ13" s="5"/>
      <c r="AR13" s="5" t="s">
        <v>74</v>
      </c>
      <c r="AS13" s="5" t="s">
        <v>74</v>
      </c>
      <c r="AT13" s="5" t="s">
        <v>74</v>
      </c>
      <c r="AU13" s="5" t="s">
        <v>74</v>
      </c>
      <c r="AV13" s="5" t="s">
        <v>74</v>
      </c>
      <c r="AW13" s="5" t="s">
        <v>74</v>
      </c>
      <c r="AX13" s="5" t="s">
        <v>74</v>
      </c>
      <c r="AY13" s="5" t="s">
        <v>74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 t="s">
        <v>74</v>
      </c>
      <c r="BQ13" s="5" t="s">
        <v>74</v>
      </c>
      <c r="BR13" s="5" t="s">
        <v>74</v>
      </c>
      <c r="BS13" s="5"/>
      <c r="BT13" s="5" t="s">
        <v>74</v>
      </c>
      <c r="BU13" s="6" t="s">
        <v>51</v>
      </c>
      <c r="BV13" s="5" t="s">
        <v>74</v>
      </c>
      <c r="BW13" s="5"/>
      <c r="BX13" s="5" t="s">
        <v>74</v>
      </c>
      <c r="BY13" s="5"/>
      <c r="BZ13" s="5"/>
      <c r="CA13" s="10" t="s">
        <v>74</v>
      </c>
      <c r="CB13" s="5" t="s">
        <v>74</v>
      </c>
      <c r="CC13" s="5" t="s">
        <v>74</v>
      </c>
      <c r="CD13" s="5" t="s">
        <v>74</v>
      </c>
      <c r="CE13" s="5" t="s">
        <v>74</v>
      </c>
      <c r="CF13" s="8"/>
      <c r="CG13" s="5"/>
      <c r="CH13" s="5" t="s">
        <v>74</v>
      </c>
      <c r="CI13" s="5" t="s">
        <v>74</v>
      </c>
      <c r="CJ13" s="8" t="s">
        <v>74</v>
      </c>
      <c r="CK13" s="5"/>
      <c r="CL13" s="5" t="s">
        <v>74</v>
      </c>
      <c r="CM13" s="5" t="s">
        <v>74</v>
      </c>
      <c r="CN13" s="5" t="s">
        <v>74</v>
      </c>
      <c r="CO13" s="5"/>
      <c r="CP13" s="5" t="s">
        <v>74</v>
      </c>
    </row>
    <row r="14" spans="1:95" ht="25.25" customHeight="1">
      <c r="A14" s="5">
        <v>13</v>
      </c>
      <c r="B14" s="9" t="s">
        <v>86</v>
      </c>
      <c r="C14" s="9">
        <v>2024202105</v>
      </c>
      <c r="D14" s="5" t="s">
        <v>73</v>
      </c>
      <c r="E14" s="5">
        <f>SUM(G14:$XET14)</f>
        <v>0</v>
      </c>
      <c r="F14" s="5">
        <f>COUNT(G14:$XFD14)</f>
        <v>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 t="s">
        <v>74</v>
      </c>
      <c r="AC14" s="5" t="s">
        <v>74</v>
      </c>
      <c r="AD14" s="5"/>
      <c r="AE14" s="5"/>
      <c r="AF14" s="5"/>
      <c r="AG14" s="5" t="s">
        <v>74</v>
      </c>
      <c r="AH14" s="5" t="s">
        <v>74</v>
      </c>
      <c r="AI14" s="5" t="s">
        <v>74</v>
      </c>
      <c r="AJ14" s="5" t="s">
        <v>74</v>
      </c>
      <c r="AK14" s="5" t="s">
        <v>74</v>
      </c>
      <c r="AL14" s="5"/>
      <c r="AM14" s="5"/>
      <c r="AN14" s="5"/>
      <c r="AO14" s="5"/>
      <c r="AP14" s="5"/>
      <c r="AQ14" s="5"/>
      <c r="AR14" s="5" t="s">
        <v>74</v>
      </c>
      <c r="AS14" s="5" t="s">
        <v>74</v>
      </c>
      <c r="AT14" s="5" t="s">
        <v>74</v>
      </c>
      <c r="AU14" s="5" t="s">
        <v>74</v>
      </c>
      <c r="AV14" s="5" t="s">
        <v>74</v>
      </c>
      <c r="AW14" s="5" t="s">
        <v>74</v>
      </c>
      <c r="AX14" s="5" t="s">
        <v>74</v>
      </c>
      <c r="AY14" s="5" t="s">
        <v>74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 t="s">
        <v>74</v>
      </c>
      <c r="BQ14" s="5" t="s">
        <v>74</v>
      </c>
      <c r="BR14" s="5" t="s">
        <v>74</v>
      </c>
      <c r="BS14" s="5"/>
      <c r="BT14" s="5" t="s">
        <v>74</v>
      </c>
      <c r="BU14" s="6" t="s">
        <v>51</v>
      </c>
      <c r="BV14" s="5" t="s">
        <v>74</v>
      </c>
      <c r="BW14" s="5"/>
      <c r="BX14" s="5" t="s">
        <v>74</v>
      </c>
      <c r="BY14" s="5"/>
      <c r="BZ14" s="5"/>
      <c r="CA14" s="10" t="s">
        <v>74</v>
      </c>
      <c r="CB14" s="5" t="s">
        <v>74</v>
      </c>
      <c r="CC14" s="5" t="s">
        <v>74</v>
      </c>
      <c r="CD14" s="5" t="s">
        <v>74</v>
      </c>
      <c r="CE14" s="5" t="s">
        <v>74</v>
      </c>
      <c r="CF14" s="8"/>
      <c r="CG14" s="5"/>
      <c r="CH14" s="5" t="s">
        <v>74</v>
      </c>
      <c r="CI14" s="5" t="s">
        <v>74</v>
      </c>
      <c r="CJ14" s="8" t="s">
        <v>74</v>
      </c>
      <c r="CK14" s="5"/>
      <c r="CL14" s="5" t="s">
        <v>74</v>
      </c>
      <c r="CM14" s="5" t="s">
        <v>74</v>
      </c>
      <c r="CN14" s="5" t="s">
        <v>74</v>
      </c>
      <c r="CO14" s="5"/>
      <c r="CP14" s="5" t="s">
        <v>74</v>
      </c>
    </row>
    <row r="15" spans="1:95" ht="25.25" customHeight="1">
      <c r="A15" s="5">
        <v>14</v>
      </c>
      <c r="B15" s="9" t="s">
        <v>87</v>
      </c>
      <c r="C15" s="9">
        <v>2024202114</v>
      </c>
      <c r="D15" s="5" t="s">
        <v>73</v>
      </c>
      <c r="E15" s="5">
        <f>SUM(G15:$XET15)</f>
        <v>123.5</v>
      </c>
      <c r="F15" s="5">
        <f>COUNT(G15:$XFD15)</f>
        <v>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20</v>
      </c>
      <c r="T15" s="5"/>
      <c r="U15" s="5"/>
      <c r="V15" s="5"/>
      <c r="W15" s="5"/>
      <c r="X15" s="5">
        <v>6</v>
      </c>
      <c r="Y15" s="5"/>
      <c r="Z15" s="5"/>
      <c r="AA15" s="5"/>
      <c r="AB15" s="5" t="s">
        <v>74</v>
      </c>
      <c r="AC15" s="5" t="s">
        <v>74</v>
      </c>
      <c r="AD15" s="5"/>
      <c r="AE15" s="5"/>
      <c r="AF15" s="5"/>
      <c r="AG15" s="5" t="s">
        <v>74</v>
      </c>
      <c r="AH15" s="5" t="s">
        <v>74</v>
      </c>
      <c r="AI15" s="5" t="s">
        <v>74</v>
      </c>
      <c r="AJ15" s="5">
        <v>4</v>
      </c>
      <c r="AK15" s="5">
        <v>4</v>
      </c>
      <c r="AL15" s="5"/>
      <c r="AM15" s="5"/>
      <c r="AN15" s="5"/>
      <c r="AO15" s="5"/>
      <c r="AP15" s="5"/>
      <c r="AQ15" s="5"/>
      <c r="AR15" s="5" t="s">
        <v>74</v>
      </c>
      <c r="AS15" s="5">
        <v>12</v>
      </c>
      <c r="AT15" s="5">
        <v>72</v>
      </c>
      <c r="AU15" s="5" t="s">
        <v>74</v>
      </c>
      <c r="AV15" s="5" t="s">
        <v>74</v>
      </c>
      <c r="AW15" s="5" t="s">
        <v>74</v>
      </c>
      <c r="AX15" s="5" t="s">
        <v>74</v>
      </c>
      <c r="AY15" s="5" t="s">
        <v>74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 t="s">
        <v>74</v>
      </c>
      <c r="BQ15" s="5" t="s">
        <v>74</v>
      </c>
      <c r="BR15" s="5" t="s">
        <v>74</v>
      </c>
      <c r="BS15" s="5"/>
      <c r="BT15" s="5" t="s">
        <v>74</v>
      </c>
      <c r="BU15" s="6" t="s">
        <v>51</v>
      </c>
      <c r="BV15" s="5" t="s">
        <v>74</v>
      </c>
      <c r="BW15" s="5"/>
      <c r="BX15" s="5" t="s">
        <v>74</v>
      </c>
      <c r="BY15" s="5"/>
      <c r="BZ15" s="5"/>
      <c r="CA15" s="10" t="s">
        <v>74</v>
      </c>
      <c r="CB15" s="5" t="s">
        <v>74</v>
      </c>
      <c r="CC15" s="5" t="s">
        <v>74</v>
      </c>
      <c r="CD15" s="5" t="s">
        <v>74</v>
      </c>
      <c r="CE15" s="5">
        <v>0.5</v>
      </c>
      <c r="CF15" s="8"/>
      <c r="CG15" s="5"/>
      <c r="CH15" s="5" t="s">
        <v>74</v>
      </c>
      <c r="CI15" s="5" t="s">
        <v>74</v>
      </c>
      <c r="CJ15" s="8">
        <v>5</v>
      </c>
      <c r="CK15" s="5"/>
      <c r="CL15" s="5" t="s">
        <v>74</v>
      </c>
      <c r="CM15" s="5" t="s">
        <v>74</v>
      </c>
      <c r="CN15" s="5" t="s">
        <v>74</v>
      </c>
      <c r="CO15" s="5"/>
      <c r="CP15" s="5" t="s">
        <v>74</v>
      </c>
    </row>
    <row r="16" spans="1:95" ht="25.25" customHeight="1">
      <c r="A16" s="5">
        <v>15</v>
      </c>
      <c r="B16" s="9" t="s">
        <v>88</v>
      </c>
      <c r="C16" s="9">
        <v>2024202166</v>
      </c>
      <c r="D16" s="5" t="s">
        <v>73</v>
      </c>
      <c r="E16" s="5">
        <f>SUM(G16:$XET16)</f>
        <v>4</v>
      </c>
      <c r="F16" s="5">
        <f>COUNT(G16:$XFD16)</f>
        <v>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 t="s">
        <v>74</v>
      </c>
      <c r="AC16" s="5" t="s">
        <v>74</v>
      </c>
      <c r="AD16" s="5"/>
      <c r="AE16" s="5"/>
      <c r="AF16" s="5"/>
      <c r="AG16" s="5" t="s">
        <v>74</v>
      </c>
      <c r="AH16" s="5" t="s">
        <v>74</v>
      </c>
      <c r="AI16" s="5" t="s">
        <v>74</v>
      </c>
      <c r="AJ16" s="5" t="s">
        <v>74</v>
      </c>
      <c r="AK16" s="5">
        <v>4</v>
      </c>
      <c r="AL16" s="5"/>
      <c r="AM16" s="5"/>
      <c r="AN16" s="5"/>
      <c r="AO16" s="5"/>
      <c r="AP16" s="5"/>
      <c r="AQ16" s="5"/>
      <c r="AR16" s="5" t="s">
        <v>74</v>
      </c>
      <c r="AS16" s="5" t="s">
        <v>74</v>
      </c>
      <c r="AT16" s="5" t="s">
        <v>74</v>
      </c>
      <c r="AU16" s="5" t="s">
        <v>74</v>
      </c>
      <c r="AV16" s="5" t="s">
        <v>74</v>
      </c>
      <c r="AW16" s="5" t="s">
        <v>74</v>
      </c>
      <c r="AX16" s="5" t="s">
        <v>74</v>
      </c>
      <c r="AY16" s="5" t="s">
        <v>74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 t="s">
        <v>74</v>
      </c>
      <c r="BQ16" s="5" t="s">
        <v>74</v>
      </c>
      <c r="BR16" s="5" t="s">
        <v>74</v>
      </c>
      <c r="BS16" s="5"/>
      <c r="BT16" s="5" t="s">
        <v>74</v>
      </c>
      <c r="BU16" s="6" t="s">
        <v>51</v>
      </c>
      <c r="BV16" s="5" t="s">
        <v>74</v>
      </c>
      <c r="BW16" s="5"/>
      <c r="BX16" s="5" t="s">
        <v>74</v>
      </c>
      <c r="BY16" s="5"/>
      <c r="BZ16" s="5"/>
      <c r="CA16" s="10" t="s">
        <v>74</v>
      </c>
      <c r="CB16" s="5" t="s">
        <v>74</v>
      </c>
      <c r="CC16" s="5" t="s">
        <v>74</v>
      </c>
      <c r="CD16" s="5" t="s">
        <v>74</v>
      </c>
      <c r="CE16" s="5" t="s">
        <v>74</v>
      </c>
      <c r="CF16" s="8"/>
      <c r="CG16" s="5"/>
      <c r="CH16" s="5" t="s">
        <v>74</v>
      </c>
      <c r="CI16" s="5" t="s">
        <v>74</v>
      </c>
      <c r="CJ16" s="8" t="s">
        <v>74</v>
      </c>
      <c r="CK16" s="5"/>
      <c r="CL16" s="5" t="s">
        <v>74</v>
      </c>
      <c r="CM16" s="5" t="s">
        <v>74</v>
      </c>
      <c r="CN16" s="5" t="s">
        <v>74</v>
      </c>
      <c r="CO16" s="5"/>
      <c r="CP16" s="5" t="s">
        <v>74</v>
      </c>
    </row>
    <row r="17" spans="1:94" ht="25.25" customHeight="1">
      <c r="A17" s="5">
        <v>16</v>
      </c>
      <c r="B17" s="9" t="s">
        <v>89</v>
      </c>
      <c r="C17" s="9">
        <v>2024202115</v>
      </c>
      <c r="D17" s="5" t="s">
        <v>73</v>
      </c>
      <c r="E17" s="5">
        <f>SUM(G17:$XET17)</f>
        <v>34.5</v>
      </c>
      <c r="F17" s="5">
        <f>COUNT(G17:$XFD17)</f>
        <v>5</v>
      </c>
      <c r="G17" s="5"/>
      <c r="H17" s="5"/>
      <c r="I17" s="5"/>
      <c r="J17" s="5"/>
      <c r="K17" s="5"/>
      <c r="L17" s="5"/>
      <c r="M17" s="5"/>
      <c r="N17" s="5"/>
      <c r="O17" s="5"/>
      <c r="P17" s="5">
        <v>6</v>
      </c>
      <c r="Q17" s="5"/>
      <c r="R17" s="5"/>
      <c r="S17" s="5"/>
      <c r="T17" s="5"/>
      <c r="U17" s="5"/>
      <c r="V17" s="5"/>
      <c r="W17" s="5">
        <v>5</v>
      </c>
      <c r="X17" s="5"/>
      <c r="Y17" s="5"/>
      <c r="Z17" s="5"/>
      <c r="AA17" s="5"/>
      <c r="AB17" s="5">
        <v>6.5</v>
      </c>
      <c r="AC17" s="5" t="s">
        <v>74</v>
      </c>
      <c r="AD17" s="5"/>
      <c r="AE17" s="5"/>
      <c r="AF17" s="5"/>
      <c r="AG17" s="5" t="s">
        <v>74</v>
      </c>
      <c r="AH17" s="5" t="s">
        <v>74</v>
      </c>
      <c r="AI17" s="5" t="s">
        <v>74</v>
      </c>
      <c r="AJ17" s="5">
        <v>2</v>
      </c>
      <c r="AK17" s="5" t="s">
        <v>74</v>
      </c>
      <c r="AL17" s="5"/>
      <c r="AM17" s="5"/>
      <c r="AN17" s="5"/>
      <c r="AO17" s="5"/>
      <c r="AP17" s="5"/>
      <c r="AQ17" s="5"/>
      <c r="AR17" s="5" t="s">
        <v>74</v>
      </c>
      <c r="AS17" s="5">
        <v>15</v>
      </c>
      <c r="AT17" s="5" t="s">
        <v>74</v>
      </c>
      <c r="AU17" s="5" t="s">
        <v>74</v>
      </c>
      <c r="AV17" s="5" t="s">
        <v>74</v>
      </c>
      <c r="AW17" s="5" t="s">
        <v>74</v>
      </c>
      <c r="AX17" s="5" t="s">
        <v>74</v>
      </c>
      <c r="AY17" s="5" t="s">
        <v>74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 t="s">
        <v>74</v>
      </c>
      <c r="BQ17" s="5" t="s">
        <v>74</v>
      </c>
      <c r="BR17" s="5" t="s">
        <v>74</v>
      </c>
      <c r="BS17" s="5"/>
      <c r="BT17" s="5" t="s">
        <v>74</v>
      </c>
      <c r="BU17" s="6" t="s">
        <v>51</v>
      </c>
      <c r="BV17" s="5" t="s">
        <v>74</v>
      </c>
      <c r="BW17" s="5"/>
      <c r="BX17" s="5" t="s">
        <v>74</v>
      </c>
      <c r="BY17" s="5"/>
      <c r="BZ17" s="5"/>
      <c r="CA17" s="10" t="s">
        <v>74</v>
      </c>
      <c r="CB17" s="5" t="s">
        <v>74</v>
      </c>
      <c r="CC17" s="5" t="s">
        <v>74</v>
      </c>
      <c r="CD17" s="5" t="s">
        <v>74</v>
      </c>
      <c r="CE17" s="5" t="s">
        <v>74</v>
      </c>
      <c r="CF17" s="8"/>
      <c r="CG17" s="5"/>
      <c r="CH17" s="5" t="s">
        <v>74</v>
      </c>
      <c r="CI17" s="5" t="s">
        <v>74</v>
      </c>
      <c r="CJ17" s="8" t="s">
        <v>74</v>
      </c>
      <c r="CK17" s="5"/>
      <c r="CL17" s="5" t="s">
        <v>74</v>
      </c>
      <c r="CM17" s="5" t="s">
        <v>74</v>
      </c>
      <c r="CN17" s="5" t="s">
        <v>74</v>
      </c>
      <c r="CO17" s="5"/>
      <c r="CP17" s="5" t="s">
        <v>74</v>
      </c>
    </row>
    <row r="18" spans="1:94" ht="25.25" customHeight="1">
      <c r="A18" s="5">
        <v>17</v>
      </c>
      <c r="B18" s="9" t="s">
        <v>90</v>
      </c>
      <c r="C18" s="9">
        <v>2024202181</v>
      </c>
      <c r="D18" s="5" t="s">
        <v>73</v>
      </c>
      <c r="E18" s="5">
        <f>SUM(G18:$XET18)</f>
        <v>7</v>
      </c>
      <c r="F18" s="5">
        <f>COUNT(G18:$XFD18)</f>
        <v>2</v>
      </c>
      <c r="G18" s="5"/>
      <c r="H18" s="5"/>
      <c r="I18" s="5"/>
      <c r="J18" s="5"/>
      <c r="K18" s="5"/>
      <c r="L18" s="5">
        <v>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 t="s">
        <v>74</v>
      </c>
      <c r="AC18" s="5" t="s">
        <v>74</v>
      </c>
      <c r="AD18" s="5"/>
      <c r="AE18" s="5"/>
      <c r="AF18" s="5"/>
      <c r="AG18" s="5" t="s">
        <v>74</v>
      </c>
      <c r="AH18" s="5" t="s">
        <v>74</v>
      </c>
      <c r="AI18" s="5" t="s">
        <v>74</v>
      </c>
      <c r="AJ18" s="5" t="s">
        <v>74</v>
      </c>
      <c r="AK18" s="5">
        <v>4</v>
      </c>
      <c r="AL18" s="5"/>
      <c r="AM18" s="5"/>
      <c r="AN18" s="5"/>
      <c r="AO18" s="5"/>
      <c r="AP18" s="5"/>
      <c r="AQ18" s="5"/>
      <c r="AR18" s="5" t="s">
        <v>74</v>
      </c>
      <c r="AS18" s="5" t="s">
        <v>74</v>
      </c>
      <c r="AT18" s="5" t="s">
        <v>74</v>
      </c>
      <c r="AU18" s="5" t="s">
        <v>74</v>
      </c>
      <c r="AV18" s="5" t="s">
        <v>74</v>
      </c>
      <c r="AW18" s="5" t="s">
        <v>74</v>
      </c>
      <c r="AX18" s="5" t="s">
        <v>74</v>
      </c>
      <c r="AY18" s="5" t="s">
        <v>74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 t="s">
        <v>74</v>
      </c>
      <c r="BQ18" s="5" t="s">
        <v>74</v>
      </c>
      <c r="BR18" s="5" t="s">
        <v>74</v>
      </c>
      <c r="BS18" s="5"/>
      <c r="BT18" s="5" t="s">
        <v>74</v>
      </c>
      <c r="BU18" s="6" t="s">
        <v>51</v>
      </c>
      <c r="BV18" s="5" t="s">
        <v>74</v>
      </c>
      <c r="BW18" s="5"/>
      <c r="BX18" s="5" t="s">
        <v>74</v>
      </c>
      <c r="BY18" s="5"/>
      <c r="BZ18" s="11"/>
      <c r="CA18" s="10" t="s">
        <v>74</v>
      </c>
      <c r="CB18" s="5" t="s">
        <v>74</v>
      </c>
      <c r="CC18" s="5" t="s">
        <v>74</v>
      </c>
      <c r="CD18" s="5" t="s">
        <v>74</v>
      </c>
      <c r="CE18" s="5" t="s">
        <v>74</v>
      </c>
      <c r="CF18" s="8"/>
      <c r="CG18" s="5"/>
      <c r="CH18" s="5" t="s">
        <v>74</v>
      </c>
      <c r="CI18" s="5" t="s">
        <v>74</v>
      </c>
      <c r="CJ18" s="8" t="s">
        <v>74</v>
      </c>
      <c r="CK18" s="5"/>
      <c r="CL18" s="5" t="s">
        <v>74</v>
      </c>
      <c r="CM18" s="5" t="s">
        <v>74</v>
      </c>
      <c r="CN18" s="5" t="s">
        <v>74</v>
      </c>
      <c r="CO18" s="5"/>
      <c r="CP18" s="5" t="s">
        <v>74</v>
      </c>
    </row>
    <row r="19" spans="1:94" ht="25.25" customHeight="1">
      <c r="A19" s="5">
        <v>18</v>
      </c>
      <c r="B19" s="9" t="s">
        <v>91</v>
      </c>
      <c r="C19" s="9">
        <v>2024202194</v>
      </c>
      <c r="D19" s="5" t="s">
        <v>73</v>
      </c>
      <c r="E19" s="5">
        <f>SUM(G19:$XET19)</f>
        <v>0</v>
      </c>
      <c r="F19" s="5">
        <f>COUNT(G19:$XFD19)</f>
        <v>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 t="s">
        <v>74</v>
      </c>
      <c r="AC19" s="5" t="s">
        <v>74</v>
      </c>
      <c r="AD19" s="5"/>
      <c r="AE19" s="5"/>
      <c r="AF19" s="5"/>
      <c r="AG19" s="5" t="s">
        <v>74</v>
      </c>
      <c r="AH19" s="5" t="s">
        <v>74</v>
      </c>
      <c r="AI19" s="5" t="s">
        <v>74</v>
      </c>
      <c r="AJ19" s="5" t="s">
        <v>74</v>
      </c>
      <c r="AK19" s="5" t="s">
        <v>74</v>
      </c>
      <c r="AL19" s="5"/>
      <c r="AM19" s="5"/>
      <c r="AN19" s="5"/>
      <c r="AO19" s="5"/>
      <c r="AP19" s="5"/>
      <c r="AQ19" s="5"/>
      <c r="AR19" s="5" t="s">
        <v>74</v>
      </c>
      <c r="AS19" s="5" t="s">
        <v>74</v>
      </c>
      <c r="AT19" s="5" t="s">
        <v>74</v>
      </c>
      <c r="AU19" s="5" t="s">
        <v>74</v>
      </c>
      <c r="AV19" s="5" t="s">
        <v>74</v>
      </c>
      <c r="AW19" s="5" t="s">
        <v>74</v>
      </c>
      <c r="AX19" s="5" t="s">
        <v>74</v>
      </c>
      <c r="AY19" s="5" t="s">
        <v>74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 t="s">
        <v>74</v>
      </c>
      <c r="BQ19" s="5" t="s">
        <v>74</v>
      </c>
      <c r="BR19" s="5" t="s">
        <v>74</v>
      </c>
      <c r="BS19" s="5"/>
      <c r="BT19" s="5" t="s">
        <v>74</v>
      </c>
      <c r="BU19" s="6" t="s">
        <v>51</v>
      </c>
      <c r="BV19" s="5" t="s">
        <v>74</v>
      </c>
      <c r="BW19" s="5"/>
      <c r="BX19" s="5" t="s">
        <v>74</v>
      </c>
      <c r="BY19" s="5"/>
      <c r="BZ19" s="5"/>
      <c r="CA19" s="10" t="s">
        <v>74</v>
      </c>
      <c r="CB19" s="5" t="s">
        <v>74</v>
      </c>
      <c r="CC19" s="5" t="s">
        <v>74</v>
      </c>
      <c r="CD19" s="5" t="s">
        <v>74</v>
      </c>
      <c r="CE19" s="5" t="s">
        <v>74</v>
      </c>
      <c r="CF19" s="8"/>
      <c r="CG19" s="5"/>
      <c r="CH19" s="5" t="s">
        <v>74</v>
      </c>
      <c r="CI19" s="5" t="s">
        <v>74</v>
      </c>
      <c r="CJ19" s="8" t="s">
        <v>74</v>
      </c>
      <c r="CK19" s="5"/>
      <c r="CL19" s="5" t="s">
        <v>74</v>
      </c>
      <c r="CM19" s="5" t="s">
        <v>74</v>
      </c>
      <c r="CN19" s="5" t="s">
        <v>74</v>
      </c>
      <c r="CO19" s="5"/>
      <c r="CP19" s="5" t="s">
        <v>74</v>
      </c>
    </row>
    <row r="20" spans="1:94" ht="25.25" customHeight="1">
      <c r="A20" s="5">
        <v>19</v>
      </c>
      <c r="B20" s="9" t="s">
        <v>92</v>
      </c>
      <c r="C20" s="9">
        <v>2024202205</v>
      </c>
      <c r="D20" s="5" t="s">
        <v>73</v>
      </c>
      <c r="E20" s="5">
        <f>SUM(G20:$XET20)</f>
        <v>0</v>
      </c>
      <c r="F20" s="5">
        <f>COUNT(G20:$XFD20)</f>
        <v>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 t="s">
        <v>74</v>
      </c>
      <c r="AC20" s="5" t="s">
        <v>74</v>
      </c>
      <c r="AD20" s="5"/>
      <c r="AE20" s="5"/>
      <c r="AF20" s="5"/>
      <c r="AG20" s="5" t="s">
        <v>74</v>
      </c>
      <c r="AH20" s="5" t="s">
        <v>74</v>
      </c>
      <c r="AI20" s="5" t="s">
        <v>74</v>
      </c>
      <c r="AJ20" s="5" t="s">
        <v>74</v>
      </c>
      <c r="AK20" s="5" t="s">
        <v>74</v>
      </c>
      <c r="AL20" s="5"/>
      <c r="AM20" s="5"/>
      <c r="AN20" s="5"/>
      <c r="AO20" s="5"/>
      <c r="AP20" s="5"/>
      <c r="AQ20" s="5"/>
      <c r="AR20" s="5" t="s">
        <v>74</v>
      </c>
      <c r="AS20" s="5" t="s">
        <v>74</v>
      </c>
      <c r="AT20" s="5" t="s">
        <v>74</v>
      </c>
      <c r="AU20" s="5" t="s">
        <v>74</v>
      </c>
      <c r="AV20" s="5" t="s">
        <v>74</v>
      </c>
      <c r="AW20" s="5" t="s">
        <v>74</v>
      </c>
      <c r="AX20" s="5" t="s">
        <v>74</v>
      </c>
      <c r="AY20" s="5" t="s">
        <v>74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 t="s">
        <v>74</v>
      </c>
      <c r="BQ20" s="5" t="s">
        <v>74</v>
      </c>
      <c r="BR20" s="5" t="s">
        <v>74</v>
      </c>
      <c r="BS20" s="5"/>
      <c r="BT20" s="5" t="s">
        <v>74</v>
      </c>
      <c r="BU20" s="6" t="s">
        <v>51</v>
      </c>
      <c r="BV20" s="5" t="s">
        <v>74</v>
      </c>
      <c r="BW20" s="5"/>
      <c r="BX20" s="5" t="s">
        <v>74</v>
      </c>
      <c r="BY20" s="5"/>
      <c r="BZ20" s="5"/>
      <c r="CA20" s="10" t="s">
        <v>74</v>
      </c>
      <c r="CB20" s="5" t="s">
        <v>74</v>
      </c>
      <c r="CC20" s="5" t="s">
        <v>74</v>
      </c>
      <c r="CD20" s="5" t="s">
        <v>74</v>
      </c>
      <c r="CE20" s="5" t="s">
        <v>74</v>
      </c>
      <c r="CF20" s="8"/>
      <c r="CG20" s="5"/>
      <c r="CH20" s="5" t="s">
        <v>74</v>
      </c>
      <c r="CI20" s="5" t="s">
        <v>74</v>
      </c>
      <c r="CJ20" s="8" t="s">
        <v>74</v>
      </c>
      <c r="CK20" s="5"/>
      <c r="CL20" s="5" t="s">
        <v>74</v>
      </c>
      <c r="CM20" s="5" t="s">
        <v>74</v>
      </c>
      <c r="CN20" s="5" t="s">
        <v>74</v>
      </c>
      <c r="CO20" s="5"/>
      <c r="CP20" s="5" t="s">
        <v>74</v>
      </c>
    </row>
    <row r="21" spans="1:94" ht="25.25" customHeight="1">
      <c r="A21" s="5">
        <v>20</v>
      </c>
      <c r="B21" s="9" t="s">
        <v>93</v>
      </c>
      <c r="C21" s="9">
        <v>2024202126</v>
      </c>
      <c r="D21" s="5" t="s">
        <v>73</v>
      </c>
      <c r="E21" s="5">
        <f>SUM(G21:$XET21)</f>
        <v>22</v>
      </c>
      <c r="F21" s="5">
        <f>COUNT(G21:$XFD21)</f>
        <v>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5</v>
      </c>
      <c r="X21" s="5">
        <v>15</v>
      </c>
      <c r="Y21" s="5"/>
      <c r="Z21" s="5"/>
      <c r="AA21" s="5"/>
      <c r="AB21" s="5" t="s">
        <v>74</v>
      </c>
      <c r="AC21" s="5" t="s">
        <v>74</v>
      </c>
      <c r="AD21" s="5"/>
      <c r="AE21" s="5"/>
      <c r="AF21" s="5"/>
      <c r="AG21" s="5" t="s">
        <v>74</v>
      </c>
      <c r="AH21" s="5" t="s">
        <v>74</v>
      </c>
      <c r="AI21" s="5" t="s">
        <v>74</v>
      </c>
      <c r="AJ21" s="5" t="s">
        <v>74</v>
      </c>
      <c r="AK21" s="5" t="s">
        <v>74</v>
      </c>
      <c r="AL21" s="5"/>
      <c r="AM21" s="5"/>
      <c r="AN21" s="5"/>
      <c r="AO21" s="5"/>
      <c r="AP21" s="5"/>
      <c r="AQ21" s="5"/>
      <c r="AR21" s="5" t="s">
        <v>74</v>
      </c>
      <c r="AS21" s="5" t="s">
        <v>74</v>
      </c>
      <c r="AT21" s="5" t="s">
        <v>74</v>
      </c>
      <c r="AU21" s="5" t="s">
        <v>74</v>
      </c>
      <c r="AV21" s="5" t="s">
        <v>74</v>
      </c>
      <c r="AW21" s="5" t="s">
        <v>74</v>
      </c>
      <c r="AX21" s="5" t="s">
        <v>74</v>
      </c>
      <c r="AY21" s="5" t="s">
        <v>74</v>
      </c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 t="s">
        <v>74</v>
      </c>
      <c r="BQ21" s="5" t="s">
        <v>74</v>
      </c>
      <c r="BR21" s="5" t="s">
        <v>74</v>
      </c>
      <c r="BS21" s="5"/>
      <c r="BT21" s="5" t="s">
        <v>74</v>
      </c>
      <c r="BU21" s="6" t="s">
        <v>51</v>
      </c>
      <c r="BV21" s="5" t="s">
        <v>74</v>
      </c>
      <c r="BW21" s="5"/>
      <c r="BX21" s="5" t="s">
        <v>74</v>
      </c>
      <c r="BY21" s="5"/>
      <c r="BZ21" s="5"/>
      <c r="CA21" s="10" t="s">
        <v>74</v>
      </c>
      <c r="CB21" s="5" t="s">
        <v>74</v>
      </c>
      <c r="CC21" s="5" t="s">
        <v>74</v>
      </c>
      <c r="CD21" s="5" t="s">
        <v>74</v>
      </c>
      <c r="CE21" s="5">
        <v>2</v>
      </c>
      <c r="CF21" s="8"/>
      <c r="CG21" s="5"/>
      <c r="CH21" s="5" t="s">
        <v>74</v>
      </c>
      <c r="CI21" s="5" t="s">
        <v>74</v>
      </c>
      <c r="CJ21" s="8" t="s">
        <v>74</v>
      </c>
      <c r="CK21" s="5"/>
      <c r="CL21" s="5" t="s">
        <v>74</v>
      </c>
      <c r="CM21" s="5" t="s">
        <v>74</v>
      </c>
      <c r="CN21" s="5" t="s">
        <v>74</v>
      </c>
      <c r="CO21" s="5"/>
      <c r="CP21" s="5" t="s">
        <v>74</v>
      </c>
    </row>
    <row r="22" spans="1:94" ht="25.25" customHeight="1">
      <c r="A22" s="5">
        <v>21</v>
      </c>
      <c r="B22" s="9" t="s">
        <v>94</v>
      </c>
      <c r="C22" s="9">
        <v>2024202223</v>
      </c>
      <c r="D22" s="5" t="s">
        <v>73</v>
      </c>
      <c r="E22" s="5">
        <f>SUM(G22:$XET22)</f>
        <v>31.5</v>
      </c>
      <c r="F22" s="5">
        <f>COUNT(G22:$XFD22)</f>
        <v>7</v>
      </c>
      <c r="G22" s="5"/>
      <c r="H22" s="5"/>
      <c r="I22" s="5"/>
      <c r="J22" s="5"/>
      <c r="K22" s="5">
        <v>10</v>
      </c>
      <c r="L22" s="5"/>
      <c r="M22" s="5"/>
      <c r="N22" s="5">
        <v>1.5</v>
      </c>
      <c r="O22" s="5"/>
      <c r="P22" s="5"/>
      <c r="Q22" s="5">
        <v>3</v>
      </c>
      <c r="R22" s="5">
        <v>6</v>
      </c>
      <c r="S22" s="5"/>
      <c r="T22" s="5"/>
      <c r="U22" s="5"/>
      <c r="V22" s="5"/>
      <c r="W22" s="5">
        <v>4</v>
      </c>
      <c r="X22" s="5"/>
      <c r="Y22" s="5"/>
      <c r="Z22" s="5"/>
      <c r="AA22" s="5"/>
      <c r="AB22" s="5">
        <v>3</v>
      </c>
      <c r="AC22" s="5" t="s">
        <v>74</v>
      </c>
      <c r="AD22" s="5"/>
      <c r="AE22" s="5"/>
      <c r="AF22" s="5"/>
      <c r="AG22" s="5" t="s">
        <v>74</v>
      </c>
      <c r="AH22" s="5" t="s">
        <v>74</v>
      </c>
      <c r="AI22" s="5" t="s">
        <v>74</v>
      </c>
      <c r="AJ22" s="5" t="s">
        <v>74</v>
      </c>
      <c r="AK22" s="5">
        <v>4</v>
      </c>
      <c r="AL22" s="5"/>
      <c r="AM22" s="5"/>
      <c r="AN22" s="5"/>
      <c r="AO22" s="5"/>
      <c r="AP22" s="5"/>
      <c r="AQ22" s="5"/>
      <c r="AR22" s="5" t="s">
        <v>74</v>
      </c>
      <c r="AS22" s="5" t="s">
        <v>74</v>
      </c>
      <c r="AT22" s="5" t="s">
        <v>74</v>
      </c>
      <c r="AU22" s="5" t="s">
        <v>74</v>
      </c>
      <c r="AV22" s="5" t="s">
        <v>74</v>
      </c>
      <c r="AW22" s="5" t="s">
        <v>74</v>
      </c>
      <c r="AX22" s="5" t="s">
        <v>74</v>
      </c>
      <c r="AY22" s="5" t="s">
        <v>74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 t="s">
        <v>74</v>
      </c>
      <c r="BQ22" s="5" t="s">
        <v>74</v>
      </c>
      <c r="BR22" s="5" t="s">
        <v>74</v>
      </c>
      <c r="BS22" s="5"/>
      <c r="BT22" s="5" t="s">
        <v>74</v>
      </c>
      <c r="BU22" s="6" t="s">
        <v>51</v>
      </c>
      <c r="BV22" s="5" t="s">
        <v>74</v>
      </c>
      <c r="BW22" s="5"/>
      <c r="BX22" s="5" t="s">
        <v>74</v>
      </c>
      <c r="BY22" s="5"/>
      <c r="BZ22" s="5"/>
      <c r="CA22" s="10" t="s">
        <v>74</v>
      </c>
      <c r="CB22" s="5" t="s">
        <v>74</v>
      </c>
      <c r="CC22" s="5" t="s">
        <v>74</v>
      </c>
      <c r="CD22" s="5" t="s">
        <v>74</v>
      </c>
      <c r="CE22" s="5" t="s">
        <v>74</v>
      </c>
      <c r="CF22" s="8"/>
      <c r="CG22" s="5"/>
      <c r="CH22" s="5" t="s">
        <v>74</v>
      </c>
      <c r="CI22" s="5" t="s">
        <v>74</v>
      </c>
      <c r="CJ22" s="8" t="s">
        <v>74</v>
      </c>
      <c r="CK22" s="5"/>
      <c r="CL22" s="5" t="s">
        <v>74</v>
      </c>
      <c r="CM22" s="5" t="s">
        <v>74</v>
      </c>
      <c r="CN22" s="5" t="s">
        <v>74</v>
      </c>
      <c r="CO22" s="5"/>
      <c r="CP22" s="5" t="s">
        <v>74</v>
      </c>
    </row>
    <row r="23" spans="1:94" ht="25.25" customHeight="1">
      <c r="A23" s="5">
        <v>22</v>
      </c>
      <c r="B23" s="9" t="s">
        <v>95</v>
      </c>
      <c r="C23" s="9">
        <v>2024202234</v>
      </c>
      <c r="D23" s="5" t="s">
        <v>73</v>
      </c>
      <c r="E23" s="5">
        <f>SUM(G23:$XET23)</f>
        <v>40</v>
      </c>
      <c r="F23" s="5">
        <f>COUNT(G23:$XFD23)</f>
        <v>7</v>
      </c>
      <c r="G23" s="5"/>
      <c r="H23" s="5"/>
      <c r="I23" s="5"/>
      <c r="J23" s="5"/>
      <c r="K23" s="5">
        <v>15</v>
      </c>
      <c r="L23" s="5"/>
      <c r="M23" s="5"/>
      <c r="N23" s="5">
        <v>1</v>
      </c>
      <c r="O23" s="5"/>
      <c r="P23" s="5"/>
      <c r="Q23" s="5"/>
      <c r="R23" s="5"/>
      <c r="S23" s="5"/>
      <c r="T23" s="5"/>
      <c r="U23" s="5"/>
      <c r="V23" s="5"/>
      <c r="W23" s="5">
        <v>6</v>
      </c>
      <c r="X23" s="5"/>
      <c r="Y23" s="5"/>
      <c r="Z23" s="5"/>
      <c r="AA23" s="5"/>
      <c r="AB23" s="5">
        <v>6</v>
      </c>
      <c r="AC23" s="5" t="s">
        <v>74</v>
      </c>
      <c r="AD23" s="5"/>
      <c r="AE23" s="5"/>
      <c r="AF23" s="5"/>
      <c r="AG23" s="5" t="s">
        <v>74</v>
      </c>
      <c r="AH23" s="5" t="s">
        <v>74</v>
      </c>
      <c r="AI23" s="5" t="s">
        <v>74</v>
      </c>
      <c r="AJ23" s="5" t="s">
        <v>74</v>
      </c>
      <c r="AK23" s="5">
        <v>4</v>
      </c>
      <c r="AL23" s="5"/>
      <c r="AM23" s="5"/>
      <c r="AN23" s="5"/>
      <c r="AO23" s="5"/>
      <c r="AP23" s="5"/>
      <c r="AQ23" s="5"/>
      <c r="AR23" s="5">
        <v>6</v>
      </c>
      <c r="AS23" s="5" t="s">
        <v>74</v>
      </c>
      <c r="AT23" s="5" t="s">
        <v>74</v>
      </c>
      <c r="AU23" s="5" t="s">
        <v>74</v>
      </c>
      <c r="AV23" s="5" t="s">
        <v>74</v>
      </c>
      <c r="AW23" s="5" t="s">
        <v>74</v>
      </c>
      <c r="AX23" s="5" t="s">
        <v>74</v>
      </c>
      <c r="AY23" s="5" t="s">
        <v>74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 t="s">
        <v>74</v>
      </c>
      <c r="BQ23" s="5" t="s">
        <v>74</v>
      </c>
      <c r="BR23" s="5" t="s">
        <v>74</v>
      </c>
      <c r="BS23" s="5"/>
      <c r="BT23" s="5" t="s">
        <v>74</v>
      </c>
      <c r="BU23" s="6" t="s">
        <v>51</v>
      </c>
      <c r="BV23" s="5" t="s">
        <v>74</v>
      </c>
      <c r="BW23" s="5"/>
      <c r="BX23" s="5" t="s">
        <v>74</v>
      </c>
      <c r="BY23" s="5"/>
      <c r="BZ23" s="5"/>
      <c r="CA23" s="10" t="s">
        <v>74</v>
      </c>
      <c r="CB23" s="5" t="s">
        <v>74</v>
      </c>
      <c r="CC23" s="5" t="s">
        <v>74</v>
      </c>
      <c r="CD23" s="5" t="s">
        <v>74</v>
      </c>
      <c r="CE23" s="5">
        <v>2</v>
      </c>
      <c r="CF23" s="8"/>
      <c r="CG23" s="5"/>
      <c r="CH23" s="5" t="s">
        <v>74</v>
      </c>
      <c r="CI23" s="5" t="s">
        <v>74</v>
      </c>
      <c r="CJ23" s="8" t="s">
        <v>74</v>
      </c>
      <c r="CK23" s="5"/>
      <c r="CL23" s="5" t="s">
        <v>74</v>
      </c>
      <c r="CM23" s="5" t="s">
        <v>74</v>
      </c>
      <c r="CN23" s="5" t="s">
        <v>74</v>
      </c>
      <c r="CO23" s="5"/>
      <c r="CP23" s="5" t="s">
        <v>74</v>
      </c>
    </row>
    <row r="24" spans="1:94" ht="25.25" customHeight="1">
      <c r="A24" s="5">
        <v>23</v>
      </c>
      <c r="B24" s="9" t="s">
        <v>96</v>
      </c>
      <c r="C24" s="9">
        <v>2024202242</v>
      </c>
      <c r="D24" s="5" t="s">
        <v>73</v>
      </c>
      <c r="E24" s="5">
        <f>SUM(G24:$XET24)</f>
        <v>22.5</v>
      </c>
      <c r="F24" s="5">
        <f>COUNT(G24:$XFD24)</f>
        <v>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5</v>
      </c>
      <c r="X24" s="5">
        <v>14</v>
      </c>
      <c r="Y24" s="5"/>
      <c r="Z24" s="5"/>
      <c r="AA24" s="5"/>
      <c r="AB24" s="5">
        <v>3.5</v>
      </c>
      <c r="AC24" s="5" t="s">
        <v>74</v>
      </c>
      <c r="AD24" s="5"/>
      <c r="AE24" s="5"/>
      <c r="AF24" s="5"/>
      <c r="AG24" s="5" t="s">
        <v>74</v>
      </c>
      <c r="AH24" s="5" t="s">
        <v>74</v>
      </c>
      <c r="AI24" s="5" t="s">
        <v>74</v>
      </c>
      <c r="AJ24" s="5" t="s">
        <v>74</v>
      </c>
      <c r="AK24" s="5" t="s">
        <v>74</v>
      </c>
      <c r="AL24" s="5"/>
      <c r="AM24" s="5"/>
      <c r="AN24" s="5"/>
      <c r="AO24" s="5"/>
      <c r="AP24" s="5"/>
      <c r="AQ24" s="5"/>
      <c r="AR24" s="5" t="s">
        <v>74</v>
      </c>
      <c r="AS24" s="5" t="s">
        <v>74</v>
      </c>
      <c r="AT24" s="5" t="s">
        <v>74</v>
      </c>
      <c r="AU24" s="5" t="s">
        <v>74</v>
      </c>
      <c r="AV24" s="5" t="s">
        <v>74</v>
      </c>
      <c r="AW24" s="5" t="s">
        <v>74</v>
      </c>
      <c r="AX24" s="5" t="s">
        <v>74</v>
      </c>
      <c r="AY24" s="5" t="s">
        <v>74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 t="s">
        <v>74</v>
      </c>
      <c r="BQ24" s="5" t="s">
        <v>74</v>
      </c>
      <c r="BR24" s="5" t="s">
        <v>74</v>
      </c>
      <c r="BS24" s="5"/>
      <c r="BT24" s="5" t="s">
        <v>74</v>
      </c>
      <c r="BU24" s="6" t="s">
        <v>51</v>
      </c>
      <c r="BV24" s="5" t="s">
        <v>74</v>
      </c>
      <c r="BW24" s="5"/>
      <c r="BX24" s="5" t="s">
        <v>74</v>
      </c>
      <c r="BY24" s="5"/>
      <c r="BZ24" s="5"/>
      <c r="CA24" s="10" t="s">
        <v>74</v>
      </c>
      <c r="CB24" s="5" t="s">
        <v>74</v>
      </c>
      <c r="CC24" s="5" t="s">
        <v>74</v>
      </c>
      <c r="CD24" s="5" t="s">
        <v>74</v>
      </c>
      <c r="CE24" s="5" t="s">
        <v>74</v>
      </c>
      <c r="CF24" s="8"/>
      <c r="CG24" s="5"/>
      <c r="CH24" s="5" t="s">
        <v>74</v>
      </c>
      <c r="CI24" s="5" t="s">
        <v>74</v>
      </c>
      <c r="CJ24" s="8" t="s">
        <v>74</v>
      </c>
      <c r="CK24" s="5"/>
      <c r="CL24" s="5" t="s">
        <v>74</v>
      </c>
      <c r="CM24" s="5" t="s">
        <v>74</v>
      </c>
      <c r="CN24" s="5" t="s">
        <v>74</v>
      </c>
      <c r="CO24" s="5"/>
      <c r="CP24" s="5" t="s">
        <v>74</v>
      </c>
    </row>
    <row r="25" spans="1:94" ht="25.25" customHeight="1">
      <c r="A25" s="5">
        <v>24</v>
      </c>
      <c r="B25" s="9" t="s">
        <v>97</v>
      </c>
      <c r="C25" s="9">
        <v>2024202131</v>
      </c>
      <c r="D25" s="5" t="s">
        <v>73</v>
      </c>
      <c r="E25" s="5">
        <f>SUM(G25:$XET25)</f>
        <v>0</v>
      </c>
      <c r="F25" s="5">
        <f>COUNT(G25:$XFD25)</f>
        <v>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 t="s">
        <v>74</v>
      </c>
      <c r="AC25" s="5" t="s">
        <v>74</v>
      </c>
      <c r="AD25" s="5"/>
      <c r="AE25" s="5"/>
      <c r="AF25" s="5"/>
      <c r="AG25" s="5" t="s">
        <v>74</v>
      </c>
      <c r="AH25" s="5" t="s">
        <v>74</v>
      </c>
      <c r="AI25" s="5" t="s">
        <v>74</v>
      </c>
      <c r="AJ25" s="5" t="s">
        <v>74</v>
      </c>
      <c r="AK25" s="5" t="s">
        <v>74</v>
      </c>
      <c r="AL25" s="5"/>
      <c r="AM25" s="5"/>
      <c r="AN25" s="5"/>
      <c r="AO25" s="5"/>
      <c r="AP25" s="5"/>
      <c r="AQ25" s="5"/>
      <c r="AR25" s="5" t="s">
        <v>74</v>
      </c>
      <c r="AS25" s="5" t="s">
        <v>74</v>
      </c>
      <c r="AT25" s="5" t="s">
        <v>74</v>
      </c>
      <c r="AU25" s="5" t="s">
        <v>74</v>
      </c>
      <c r="AV25" s="5" t="s">
        <v>74</v>
      </c>
      <c r="AW25" s="5" t="s">
        <v>74</v>
      </c>
      <c r="AX25" s="5" t="s">
        <v>74</v>
      </c>
      <c r="AY25" s="5" t="s">
        <v>74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 t="s">
        <v>74</v>
      </c>
      <c r="BQ25" s="5" t="s">
        <v>74</v>
      </c>
      <c r="BR25" s="5" t="s">
        <v>74</v>
      </c>
      <c r="BS25" s="5"/>
      <c r="BT25" s="5" t="s">
        <v>74</v>
      </c>
      <c r="BU25" s="6" t="s">
        <v>51</v>
      </c>
      <c r="BV25" s="5" t="s">
        <v>74</v>
      </c>
      <c r="BW25" s="5"/>
      <c r="BX25" s="5" t="s">
        <v>74</v>
      </c>
      <c r="BY25" s="5"/>
      <c r="BZ25" s="5"/>
      <c r="CA25" s="10"/>
      <c r="CB25" s="5" t="s">
        <v>74</v>
      </c>
      <c r="CC25" s="5" t="s">
        <v>74</v>
      </c>
      <c r="CD25" s="5" t="s">
        <v>74</v>
      </c>
      <c r="CE25" s="5" t="s">
        <v>74</v>
      </c>
      <c r="CF25" s="8"/>
      <c r="CG25" s="5"/>
      <c r="CH25" s="5" t="s">
        <v>74</v>
      </c>
      <c r="CI25" s="5" t="s">
        <v>74</v>
      </c>
      <c r="CJ25" s="8" t="s">
        <v>74</v>
      </c>
      <c r="CK25" s="5"/>
      <c r="CL25" s="5" t="s">
        <v>74</v>
      </c>
      <c r="CM25" s="5" t="s">
        <v>74</v>
      </c>
      <c r="CN25" s="5" t="s">
        <v>74</v>
      </c>
      <c r="CO25" s="5"/>
      <c r="CP25" s="5" t="s">
        <v>74</v>
      </c>
    </row>
    <row r="26" spans="1:94" ht="25.25" customHeight="1">
      <c r="A26" s="5">
        <v>25</v>
      </c>
      <c r="B26" s="9" t="s">
        <v>98</v>
      </c>
      <c r="C26" s="9">
        <v>2024202021</v>
      </c>
      <c r="D26" s="5" t="s">
        <v>73</v>
      </c>
      <c r="E26" s="5">
        <f>SUM(G26:$XET26)</f>
        <v>77</v>
      </c>
      <c r="F26" s="5">
        <f>COUNT(G26:$XFD26)</f>
        <v>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 t="s">
        <v>74</v>
      </c>
      <c r="AC26" s="5">
        <v>1</v>
      </c>
      <c r="AD26" s="5">
        <v>4</v>
      </c>
      <c r="AE26" s="5"/>
      <c r="AF26" s="5"/>
      <c r="AG26" s="5" t="s">
        <v>74</v>
      </c>
      <c r="AH26" s="5" t="s">
        <v>74</v>
      </c>
      <c r="AI26" s="5" t="s">
        <v>74</v>
      </c>
      <c r="AJ26" s="5" t="s">
        <v>74</v>
      </c>
      <c r="AK26" s="5" t="s">
        <v>74</v>
      </c>
      <c r="AL26" s="5"/>
      <c r="AM26" s="5"/>
      <c r="AN26" s="5"/>
      <c r="AO26" s="5"/>
      <c r="AP26" s="5"/>
      <c r="AQ26" s="5"/>
      <c r="AR26" s="5" t="s">
        <v>74</v>
      </c>
      <c r="AS26" s="5" t="s">
        <v>74</v>
      </c>
      <c r="AT26" s="5">
        <v>72</v>
      </c>
      <c r="AU26" s="5" t="s">
        <v>74</v>
      </c>
      <c r="AV26" s="5" t="s">
        <v>74</v>
      </c>
      <c r="AW26" s="5" t="s">
        <v>74</v>
      </c>
      <c r="AX26" s="5" t="s">
        <v>74</v>
      </c>
      <c r="AY26" s="5" t="s">
        <v>74</v>
      </c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 t="s">
        <v>74</v>
      </c>
      <c r="BQ26" s="5" t="s">
        <v>74</v>
      </c>
      <c r="BR26" s="5" t="s">
        <v>74</v>
      </c>
      <c r="BS26" s="5"/>
      <c r="BT26" s="5" t="s">
        <v>74</v>
      </c>
      <c r="BU26" s="6" t="s">
        <v>51</v>
      </c>
      <c r="BV26" s="5" t="s">
        <v>74</v>
      </c>
      <c r="BW26" s="5"/>
      <c r="BX26" s="5" t="s">
        <v>74</v>
      </c>
      <c r="BY26" s="5"/>
      <c r="BZ26" s="5"/>
      <c r="CA26" s="10" t="s">
        <v>74</v>
      </c>
      <c r="CB26" s="5" t="s">
        <v>74</v>
      </c>
      <c r="CC26" s="5" t="s">
        <v>74</v>
      </c>
      <c r="CD26" s="5" t="s">
        <v>74</v>
      </c>
      <c r="CE26" s="5" t="s">
        <v>74</v>
      </c>
      <c r="CF26" s="8"/>
      <c r="CG26" s="5"/>
      <c r="CH26" s="5" t="s">
        <v>74</v>
      </c>
      <c r="CI26" s="5" t="s">
        <v>74</v>
      </c>
      <c r="CJ26" s="8" t="s">
        <v>74</v>
      </c>
      <c r="CK26" s="5"/>
      <c r="CL26" s="5" t="s">
        <v>74</v>
      </c>
      <c r="CM26" s="5" t="s">
        <v>74</v>
      </c>
      <c r="CN26" s="5" t="s">
        <v>74</v>
      </c>
      <c r="CO26" s="5"/>
      <c r="CP26" s="5" t="s">
        <v>74</v>
      </c>
    </row>
    <row r="27" spans="1:94" ht="25.25" customHeight="1">
      <c r="A27" s="5">
        <v>26</v>
      </c>
      <c r="B27" s="9" t="s">
        <v>99</v>
      </c>
      <c r="C27" s="9">
        <v>2024202041</v>
      </c>
      <c r="D27" s="5" t="s">
        <v>73</v>
      </c>
      <c r="E27" s="5">
        <f>SUM(G27:$XET27)</f>
        <v>5</v>
      </c>
      <c r="F27" s="5">
        <f>COUNT(G27:$XFD27)</f>
        <v>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 t="s">
        <v>74</v>
      </c>
      <c r="AC27" s="5">
        <v>0.5</v>
      </c>
      <c r="AD27" s="5"/>
      <c r="AE27" s="5"/>
      <c r="AF27" s="5"/>
      <c r="AG27" s="5" t="s">
        <v>74</v>
      </c>
      <c r="AH27" s="5" t="s">
        <v>74</v>
      </c>
      <c r="AI27" s="5" t="s">
        <v>74</v>
      </c>
      <c r="AJ27" s="5" t="s">
        <v>74</v>
      </c>
      <c r="AK27" s="5">
        <v>4</v>
      </c>
      <c r="AL27" s="5"/>
      <c r="AM27" s="5"/>
      <c r="AN27" s="5"/>
      <c r="AO27" s="5"/>
      <c r="AP27" s="5"/>
      <c r="AQ27" s="5"/>
      <c r="AR27" s="5" t="s">
        <v>74</v>
      </c>
      <c r="AS27" s="5" t="s">
        <v>74</v>
      </c>
      <c r="AT27" s="5" t="s">
        <v>74</v>
      </c>
      <c r="AU27" s="5" t="s">
        <v>74</v>
      </c>
      <c r="AV27" s="5" t="s">
        <v>74</v>
      </c>
      <c r="AW27" s="5" t="s">
        <v>74</v>
      </c>
      <c r="AX27" s="5" t="s">
        <v>74</v>
      </c>
      <c r="AY27" s="5" t="s">
        <v>74</v>
      </c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 t="s">
        <v>74</v>
      </c>
      <c r="BQ27" s="5" t="s">
        <v>74</v>
      </c>
      <c r="BR27" s="5" t="s">
        <v>74</v>
      </c>
      <c r="BS27" s="5"/>
      <c r="BT27" s="5" t="s">
        <v>74</v>
      </c>
      <c r="BU27" s="6" t="s">
        <v>51</v>
      </c>
      <c r="BV27" s="5" t="s">
        <v>74</v>
      </c>
      <c r="BW27" s="5"/>
      <c r="BX27" s="5" t="s">
        <v>74</v>
      </c>
      <c r="BY27" s="5"/>
      <c r="BZ27" s="5"/>
      <c r="CA27" s="10" t="s">
        <v>74</v>
      </c>
      <c r="CB27" s="5" t="s">
        <v>74</v>
      </c>
      <c r="CC27" s="5" t="s">
        <v>74</v>
      </c>
      <c r="CD27" s="5" t="s">
        <v>74</v>
      </c>
      <c r="CE27" s="5" t="s">
        <v>74</v>
      </c>
      <c r="CF27" s="8"/>
      <c r="CG27" s="5"/>
      <c r="CH27" s="5" t="s">
        <v>74</v>
      </c>
      <c r="CI27" s="5" t="s">
        <v>74</v>
      </c>
      <c r="CJ27" s="8" t="s">
        <v>74</v>
      </c>
      <c r="CK27" s="5"/>
      <c r="CL27" s="5" t="s">
        <v>74</v>
      </c>
      <c r="CM27" s="5">
        <v>0.5</v>
      </c>
      <c r="CN27" s="5" t="s">
        <v>74</v>
      </c>
      <c r="CO27" s="5"/>
      <c r="CP27" s="5" t="s">
        <v>74</v>
      </c>
    </row>
    <row r="28" spans="1:94" ht="25.25" customHeight="1">
      <c r="A28" s="5">
        <v>27</v>
      </c>
      <c r="B28" s="9" t="s">
        <v>100</v>
      </c>
      <c r="C28" s="9">
        <v>2024202070</v>
      </c>
      <c r="D28" s="5" t="s">
        <v>73</v>
      </c>
      <c r="E28" s="5">
        <f>SUM(G28:$XET28)</f>
        <v>191</v>
      </c>
      <c r="F28" s="5">
        <f>COUNT(G28:$XFD28)</f>
        <v>7</v>
      </c>
      <c r="G28" s="5"/>
      <c r="H28" s="5"/>
      <c r="I28" s="5"/>
      <c r="J28" s="5"/>
      <c r="K28" s="5"/>
      <c r="L28" s="5">
        <v>2</v>
      </c>
      <c r="M28" s="5">
        <v>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27.5</v>
      </c>
      <c r="Z28" s="5"/>
      <c r="AA28" s="5"/>
      <c r="AB28" s="5" t="s">
        <v>74</v>
      </c>
      <c r="AC28" s="5">
        <v>0.5</v>
      </c>
      <c r="AD28" s="5"/>
      <c r="AE28" s="5"/>
      <c r="AF28" s="5"/>
      <c r="AG28" s="5" t="s">
        <v>74</v>
      </c>
      <c r="AH28" s="5" t="s">
        <v>74</v>
      </c>
      <c r="AI28" s="5" t="s">
        <v>74</v>
      </c>
      <c r="AJ28" s="5">
        <v>2</v>
      </c>
      <c r="AK28" s="5">
        <v>4</v>
      </c>
      <c r="AL28" s="5"/>
      <c r="AM28" s="5"/>
      <c r="AN28" s="5"/>
      <c r="AO28" s="5"/>
      <c r="AP28" s="5"/>
      <c r="AQ28" s="5"/>
      <c r="AR28" s="5" t="s">
        <v>74</v>
      </c>
      <c r="AS28" s="5" t="s">
        <v>74</v>
      </c>
      <c r="AT28" s="5" t="s">
        <v>74</v>
      </c>
      <c r="AU28" s="5" t="s">
        <v>74</v>
      </c>
      <c r="AV28" s="5" t="s">
        <v>74</v>
      </c>
      <c r="AW28" s="5" t="s">
        <v>74</v>
      </c>
      <c r="AX28" s="5" t="s">
        <v>74</v>
      </c>
      <c r="AY28" s="5">
        <v>147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 t="s">
        <v>74</v>
      </c>
      <c r="BQ28" s="5" t="s">
        <v>74</v>
      </c>
      <c r="BR28" s="5" t="s">
        <v>74</v>
      </c>
      <c r="BS28" s="5"/>
      <c r="BT28" s="5" t="s">
        <v>74</v>
      </c>
      <c r="BU28" s="6" t="s">
        <v>51</v>
      </c>
      <c r="BV28" s="5" t="s">
        <v>74</v>
      </c>
      <c r="BW28" s="5"/>
      <c r="BX28" s="5" t="s">
        <v>74</v>
      </c>
      <c r="BY28" s="5"/>
      <c r="BZ28" s="5"/>
      <c r="CA28" s="10" t="s">
        <v>74</v>
      </c>
      <c r="CB28" s="5" t="s">
        <v>74</v>
      </c>
      <c r="CC28" s="5" t="s">
        <v>74</v>
      </c>
      <c r="CD28" s="5" t="s">
        <v>74</v>
      </c>
      <c r="CE28" s="5" t="s">
        <v>74</v>
      </c>
      <c r="CF28" s="8"/>
      <c r="CG28" s="5"/>
      <c r="CH28" s="5" t="s">
        <v>74</v>
      </c>
      <c r="CI28" s="5" t="s">
        <v>74</v>
      </c>
      <c r="CJ28" s="8" t="s">
        <v>74</v>
      </c>
      <c r="CK28" s="5"/>
      <c r="CL28" s="5" t="s">
        <v>74</v>
      </c>
      <c r="CM28" s="5" t="s">
        <v>74</v>
      </c>
      <c r="CN28" s="5" t="s">
        <v>74</v>
      </c>
      <c r="CO28" s="5"/>
      <c r="CP28" s="5" t="s">
        <v>74</v>
      </c>
    </row>
    <row r="29" spans="1:94" ht="25.25" customHeight="1">
      <c r="A29" s="5">
        <v>28</v>
      </c>
      <c r="B29" s="9" t="s">
        <v>101</v>
      </c>
      <c r="C29" s="9">
        <v>2024202079</v>
      </c>
      <c r="D29" s="5" t="s">
        <v>73</v>
      </c>
      <c r="E29" s="5">
        <f>SUM(G29:$XET29)</f>
        <v>69.5</v>
      </c>
      <c r="F29" s="5">
        <f>COUNT(G29:$XFD29)</f>
        <v>14</v>
      </c>
      <c r="G29" s="5">
        <v>7</v>
      </c>
      <c r="H29" s="5"/>
      <c r="I29" s="5"/>
      <c r="J29" s="5"/>
      <c r="K29" s="5">
        <v>9</v>
      </c>
      <c r="L29" s="5"/>
      <c r="M29" s="5"/>
      <c r="N29" s="5">
        <v>2</v>
      </c>
      <c r="O29" s="5"/>
      <c r="P29" s="5"/>
      <c r="Q29" s="5"/>
      <c r="R29" s="5">
        <v>16.5</v>
      </c>
      <c r="S29" s="5"/>
      <c r="T29" s="5"/>
      <c r="U29" s="5">
        <v>4</v>
      </c>
      <c r="V29" s="5"/>
      <c r="W29" s="5"/>
      <c r="X29" s="5"/>
      <c r="Y29" s="5"/>
      <c r="Z29" s="5"/>
      <c r="AA29" s="5"/>
      <c r="AB29" s="5">
        <v>3</v>
      </c>
      <c r="AC29" s="5">
        <v>2</v>
      </c>
      <c r="AD29" s="5"/>
      <c r="AE29" s="5"/>
      <c r="AF29" s="5"/>
      <c r="AG29" s="5" t="s">
        <v>74</v>
      </c>
      <c r="AH29" s="5" t="s">
        <v>74</v>
      </c>
      <c r="AI29" s="5" t="s">
        <v>74</v>
      </c>
      <c r="AJ29" s="5">
        <v>2</v>
      </c>
      <c r="AK29" s="5">
        <v>4</v>
      </c>
      <c r="AL29" s="5"/>
      <c r="AM29" s="5"/>
      <c r="AN29" s="5"/>
      <c r="AO29" s="5"/>
      <c r="AP29" s="5"/>
      <c r="AQ29" s="5"/>
      <c r="AR29" s="5" t="s">
        <v>74</v>
      </c>
      <c r="AS29" s="5" t="s">
        <v>74</v>
      </c>
      <c r="AT29" s="5" t="s">
        <v>74</v>
      </c>
      <c r="AU29" s="5" t="s">
        <v>74</v>
      </c>
      <c r="AV29" s="5" t="s">
        <v>74</v>
      </c>
      <c r="AW29" s="5" t="s">
        <v>74</v>
      </c>
      <c r="AX29" s="5" t="s">
        <v>74</v>
      </c>
      <c r="AY29" s="5" t="s">
        <v>74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 t="s">
        <v>74</v>
      </c>
      <c r="BQ29" s="5" t="s">
        <v>74</v>
      </c>
      <c r="BR29" s="5" t="s">
        <v>74</v>
      </c>
      <c r="BS29" s="5"/>
      <c r="BT29" s="5" t="s">
        <v>74</v>
      </c>
      <c r="BU29" s="6" t="s">
        <v>51</v>
      </c>
      <c r="BV29" s="5" t="s">
        <v>74</v>
      </c>
      <c r="BW29" s="5"/>
      <c r="BX29" s="5" t="s">
        <v>74</v>
      </c>
      <c r="BY29" s="5"/>
      <c r="BZ29" s="5"/>
      <c r="CA29" s="10" t="s">
        <v>74</v>
      </c>
      <c r="CB29" s="5">
        <v>3</v>
      </c>
      <c r="CC29" s="5" t="s">
        <v>74</v>
      </c>
      <c r="CD29" s="5">
        <v>5</v>
      </c>
      <c r="CE29" s="5">
        <v>2</v>
      </c>
      <c r="CF29" s="8"/>
      <c r="CG29" s="5"/>
      <c r="CH29" s="5" t="s">
        <v>74</v>
      </c>
      <c r="CI29" s="5" t="s">
        <v>74</v>
      </c>
      <c r="CJ29" s="8">
        <v>6</v>
      </c>
      <c r="CK29" s="5"/>
      <c r="CL29" s="5" t="s">
        <v>74</v>
      </c>
      <c r="CM29" s="5" t="s">
        <v>74</v>
      </c>
      <c r="CN29" s="5" t="s">
        <v>74</v>
      </c>
      <c r="CO29" s="5"/>
      <c r="CP29" s="5">
        <v>4</v>
      </c>
    </row>
    <row r="30" spans="1:94" ht="25.25" customHeight="1">
      <c r="A30" s="5">
        <v>29</v>
      </c>
      <c r="B30" s="9" t="s">
        <v>102</v>
      </c>
      <c r="C30" s="9">
        <v>2024202110</v>
      </c>
      <c r="D30" s="5" t="s">
        <v>73</v>
      </c>
      <c r="E30" s="5">
        <f>SUM(G30:$XET30)</f>
        <v>61</v>
      </c>
      <c r="F30" s="5">
        <f>COUNT(G30:$XFD30)</f>
        <v>7</v>
      </c>
      <c r="G30" s="5"/>
      <c r="H30" s="5"/>
      <c r="I30" s="5"/>
      <c r="J30" s="5"/>
      <c r="K30" s="5"/>
      <c r="L30" s="5"/>
      <c r="M30" s="5"/>
      <c r="N30" s="5"/>
      <c r="O30" s="5"/>
      <c r="P30" s="5">
        <v>6</v>
      </c>
      <c r="Q30" s="5"/>
      <c r="R30" s="5"/>
      <c r="S30" s="5"/>
      <c r="T30" s="5"/>
      <c r="U30" s="5"/>
      <c r="V30" s="5"/>
      <c r="W30" s="5">
        <v>8</v>
      </c>
      <c r="X30" s="5"/>
      <c r="Y30" s="5"/>
      <c r="Z30" s="5"/>
      <c r="AA30" s="5"/>
      <c r="AB30" s="5" t="s">
        <v>74</v>
      </c>
      <c r="AC30" s="5">
        <v>2</v>
      </c>
      <c r="AD30" s="5"/>
      <c r="AE30" s="5"/>
      <c r="AF30" s="5"/>
      <c r="AG30" s="5" t="s">
        <v>74</v>
      </c>
      <c r="AH30" s="5" t="s">
        <v>74</v>
      </c>
      <c r="AI30" s="5" t="s">
        <v>74</v>
      </c>
      <c r="AJ30" s="5">
        <v>2</v>
      </c>
      <c r="AK30" s="5" t="s">
        <v>74</v>
      </c>
      <c r="AL30" s="5"/>
      <c r="AM30" s="5"/>
      <c r="AN30" s="5"/>
      <c r="AO30" s="5"/>
      <c r="AP30" s="5"/>
      <c r="AQ30" s="5"/>
      <c r="AR30" s="5" t="s">
        <v>74</v>
      </c>
      <c r="AS30" s="5" t="s">
        <v>74</v>
      </c>
      <c r="AT30" s="5" t="s">
        <v>74</v>
      </c>
      <c r="AU30" s="5" t="s">
        <v>74</v>
      </c>
      <c r="AV30" s="5" t="s">
        <v>74</v>
      </c>
      <c r="AW30" s="5" t="s">
        <v>74</v>
      </c>
      <c r="AX30" s="5" t="s">
        <v>74</v>
      </c>
      <c r="AY30" s="5" t="s">
        <v>74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 t="s">
        <v>74</v>
      </c>
      <c r="BQ30" s="5" t="s">
        <v>74</v>
      </c>
      <c r="BR30" s="5" t="s">
        <v>74</v>
      </c>
      <c r="BS30" s="5"/>
      <c r="BT30" s="5">
        <v>40</v>
      </c>
      <c r="BU30" s="6" t="s">
        <v>51</v>
      </c>
      <c r="BV30" s="5">
        <v>1</v>
      </c>
      <c r="BW30" s="5"/>
      <c r="BX30" s="5" t="s">
        <v>74</v>
      </c>
      <c r="BY30" s="5"/>
      <c r="BZ30" s="5"/>
      <c r="CA30" s="10" t="s">
        <v>74</v>
      </c>
      <c r="CB30" s="5" t="s">
        <v>74</v>
      </c>
      <c r="CC30" s="5" t="s">
        <v>74</v>
      </c>
      <c r="CD30" s="5" t="s">
        <v>74</v>
      </c>
      <c r="CE30" s="5">
        <v>2</v>
      </c>
      <c r="CF30" s="8"/>
      <c r="CG30" s="5"/>
      <c r="CH30" s="5" t="s">
        <v>74</v>
      </c>
      <c r="CI30" s="5" t="s">
        <v>74</v>
      </c>
      <c r="CJ30" s="8" t="s">
        <v>74</v>
      </c>
      <c r="CK30" s="5"/>
      <c r="CL30" s="5" t="s">
        <v>74</v>
      </c>
      <c r="CM30" s="5" t="s">
        <v>74</v>
      </c>
      <c r="CN30" s="5" t="s">
        <v>74</v>
      </c>
      <c r="CO30" s="5"/>
      <c r="CP30" s="5" t="s">
        <v>74</v>
      </c>
    </row>
    <row r="31" spans="1:94" ht="25.25" customHeight="1">
      <c r="A31" s="5">
        <v>30</v>
      </c>
      <c r="B31" s="9" t="s">
        <v>103</v>
      </c>
      <c r="C31" s="9">
        <v>2024202151</v>
      </c>
      <c r="D31" s="5" t="s">
        <v>73</v>
      </c>
      <c r="E31" s="5">
        <f>SUM(G31:$XET31)</f>
        <v>54</v>
      </c>
      <c r="F31" s="5">
        <f>COUNT(G31:$XFD31)</f>
        <v>3</v>
      </c>
      <c r="G31" s="5"/>
      <c r="H31" s="5"/>
      <c r="I31" s="5"/>
      <c r="J31" s="5"/>
      <c r="K31" s="5">
        <v>10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>
        <v>39</v>
      </c>
      <c r="Y31" s="5"/>
      <c r="Z31" s="5"/>
      <c r="AA31" s="5"/>
      <c r="AB31" s="5" t="s">
        <v>74</v>
      </c>
      <c r="AC31" s="5" t="s">
        <v>74</v>
      </c>
      <c r="AD31" s="5"/>
      <c r="AE31" s="5"/>
      <c r="AF31" s="5"/>
      <c r="AG31" s="5" t="s">
        <v>74</v>
      </c>
      <c r="AH31" s="5" t="s">
        <v>74</v>
      </c>
      <c r="AI31" s="5" t="s">
        <v>74</v>
      </c>
      <c r="AJ31" s="5" t="s">
        <v>74</v>
      </c>
      <c r="AK31" s="5" t="s">
        <v>74</v>
      </c>
      <c r="AL31" s="5"/>
      <c r="AM31" s="5"/>
      <c r="AN31" s="5"/>
      <c r="AO31" s="5"/>
      <c r="AP31" s="5"/>
      <c r="AQ31" s="5"/>
      <c r="AR31" s="5" t="s">
        <v>74</v>
      </c>
      <c r="AS31" s="5" t="s">
        <v>74</v>
      </c>
      <c r="AT31" s="5" t="s">
        <v>74</v>
      </c>
      <c r="AU31" s="5">
        <v>5</v>
      </c>
      <c r="AV31" s="5" t="s">
        <v>74</v>
      </c>
      <c r="AW31" s="5" t="s">
        <v>74</v>
      </c>
      <c r="AX31" s="5" t="s">
        <v>74</v>
      </c>
      <c r="AY31" s="5" t="s">
        <v>74</v>
      </c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 t="s">
        <v>74</v>
      </c>
      <c r="BQ31" s="5" t="s">
        <v>74</v>
      </c>
      <c r="BR31" s="5" t="s">
        <v>74</v>
      </c>
      <c r="BS31" s="5"/>
      <c r="BT31" s="5" t="s">
        <v>74</v>
      </c>
      <c r="BU31" s="6" t="s">
        <v>51</v>
      </c>
      <c r="BV31" s="5" t="s">
        <v>74</v>
      </c>
      <c r="BW31" s="5"/>
      <c r="BX31" s="5" t="s">
        <v>74</v>
      </c>
      <c r="BY31" s="5"/>
      <c r="BZ31" s="5"/>
      <c r="CA31" s="10" t="s">
        <v>74</v>
      </c>
      <c r="CB31" s="5" t="s">
        <v>74</v>
      </c>
      <c r="CC31" s="5" t="s">
        <v>74</v>
      </c>
      <c r="CD31" s="5" t="s">
        <v>74</v>
      </c>
      <c r="CE31" s="5" t="s">
        <v>74</v>
      </c>
      <c r="CF31" s="8"/>
      <c r="CG31" s="5"/>
      <c r="CH31" s="5" t="s">
        <v>74</v>
      </c>
      <c r="CI31" s="5" t="s">
        <v>74</v>
      </c>
      <c r="CJ31" s="8" t="s">
        <v>74</v>
      </c>
      <c r="CK31" s="5"/>
      <c r="CL31" s="5" t="s">
        <v>74</v>
      </c>
      <c r="CM31" s="5" t="s">
        <v>74</v>
      </c>
      <c r="CN31" s="5" t="s">
        <v>74</v>
      </c>
      <c r="CO31" s="5"/>
      <c r="CP31" s="5" t="s">
        <v>74</v>
      </c>
    </row>
    <row r="32" spans="1:94" ht="25.25" customHeight="1">
      <c r="A32" s="5">
        <v>31</v>
      </c>
      <c r="B32" s="9" t="s">
        <v>104</v>
      </c>
      <c r="C32" s="9">
        <v>2024202162</v>
      </c>
      <c r="D32" s="5" t="s">
        <v>73</v>
      </c>
      <c r="E32" s="5">
        <f>SUM(G32:$XET32)</f>
        <v>39</v>
      </c>
      <c r="F32" s="5">
        <f>COUNT(G32:$XFD32)</f>
        <v>9</v>
      </c>
      <c r="G32" s="5"/>
      <c r="H32" s="5"/>
      <c r="I32" s="5"/>
      <c r="J32" s="5"/>
      <c r="K32" s="5">
        <v>9</v>
      </c>
      <c r="L32" s="5"/>
      <c r="M32" s="5"/>
      <c r="N32" s="5">
        <v>2</v>
      </c>
      <c r="O32" s="5"/>
      <c r="P32" s="5"/>
      <c r="Q32" s="5"/>
      <c r="R32" s="5"/>
      <c r="S32" s="5"/>
      <c r="T32" s="5"/>
      <c r="U32" s="5"/>
      <c r="V32" s="5">
        <v>4</v>
      </c>
      <c r="W32" s="5"/>
      <c r="X32" s="5">
        <v>9</v>
      </c>
      <c r="Y32" s="5"/>
      <c r="Z32" s="5"/>
      <c r="AA32" s="5"/>
      <c r="AB32" s="5" t="s">
        <v>74</v>
      </c>
      <c r="AC32" s="5">
        <v>2</v>
      </c>
      <c r="AD32" s="5"/>
      <c r="AE32" s="5"/>
      <c r="AF32" s="5"/>
      <c r="AG32" s="5" t="s">
        <v>74</v>
      </c>
      <c r="AH32" s="5" t="s">
        <v>74</v>
      </c>
      <c r="AI32" s="5" t="s">
        <v>74</v>
      </c>
      <c r="AJ32" s="5">
        <v>2</v>
      </c>
      <c r="AK32" s="5">
        <v>4</v>
      </c>
      <c r="AL32" s="5"/>
      <c r="AM32" s="5"/>
      <c r="AN32" s="5"/>
      <c r="AO32" s="5"/>
      <c r="AP32" s="5"/>
      <c r="AQ32" s="5"/>
      <c r="AR32" s="5" t="s">
        <v>74</v>
      </c>
      <c r="AS32" s="5" t="s">
        <v>74</v>
      </c>
      <c r="AT32" s="5" t="s">
        <v>74</v>
      </c>
      <c r="AU32" s="5" t="s">
        <v>74</v>
      </c>
      <c r="AV32" s="5" t="s">
        <v>74</v>
      </c>
      <c r="AW32" s="5" t="s">
        <v>74</v>
      </c>
      <c r="AX32" s="5" t="s">
        <v>74</v>
      </c>
      <c r="AY32" s="5" t="s">
        <v>74</v>
      </c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 t="s">
        <v>74</v>
      </c>
      <c r="BQ32" s="5" t="s">
        <v>74</v>
      </c>
      <c r="BR32" s="5" t="s">
        <v>74</v>
      </c>
      <c r="BS32" s="5"/>
      <c r="BT32" s="5" t="s">
        <v>74</v>
      </c>
      <c r="BU32" s="6" t="s">
        <v>51</v>
      </c>
      <c r="BV32" s="5" t="s">
        <v>74</v>
      </c>
      <c r="BW32" s="5"/>
      <c r="BX32" s="5" t="s">
        <v>74</v>
      </c>
      <c r="BY32" s="5"/>
      <c r="BZ32" s="5"/>
      <c r="CA32" s="10" t="s">
        <v>74</v>
      </c>
      <c r="CB32" s="5" t="s">
        <v>74</v>
      </c>
      <c r="CC32" s="5" t="s">
        <v>74</v>
      </c>
      <c r="CD32" s="5" t="s">
        <v>74</v>
      </c>
      <c r="CE32" s="5">
        <v>2</v>
      </c>
      <c r="CF32" s="8"/>
      <c r="CG32" s="5"/>
      <c r="CH32" s="5">
        <v>5</v>
      </c>
      <c r="CI32" s="5" t="s">
        <v>74</v>
      </c>
      <c r="CJ32" s="8" t="s">
        <v>74</v>
      </c>
      <c r="CK32" s="5"/>
      <c r="CL32" s="5" t="s">
        <v>74</v>
      </c>
      <c r="CM32" s="5" t="s">
        <v>74</v>
      </c>
      <c r="CN32" s="5" t="s">
        <v>74</v>
      </c>
      <c r="CO32" s="5"/>
      <c r="CP32" s="5" t="s">
        <v>74</v>
      </c>
    </row>
    <row r="33" spans="1:94" ht="25.25" customHeight="1">
      <c r="A33" s="5">
        <v>32</v>
      </c>
      <c r="B33" s="9" t="s">
        <v>105</v>
      </c>
      <c r="C33" s="9">
        <v>2024202080</v>
      </c>
      <c r="D33" s="5" t="s">
        <v>73</v>
      </c>
      <c r="E33" s="5">
        <f>SUM(G33:$XET33)</f>
        <v>18.5</v>
      </c>
      <c r="F33" s="5">
        <f>COUNT(G33:$XFD33)</f>
        <v>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14.5</v>
      </c>
      <c r="S33" s="5"/>
      <c r="T33" s="5"/>
      <c r="U33" s="5"/>
      <c r="V33" s="5"/>
      <c r="W33" s="5"/>
      <c r="X33" s="5"/>
      <c r="Y33" s="5"/>
      <c r="Z33" s="5"/>
      <c r="AA33" s="5"/>
      <c r="AB33" s="5" t="s">
        <v>74</v>
      </c>
      <c r="AC33" s="5" t="s">
        <v>74</v>
      </c>
      <c r="AD33" s="5"/>
      <c r="AE33" s="5"/>
      <c r="AF33" s="5"/>
      <c r="AG33" s="5" t="s">
        <v>74</v>
      </c>
      <c r="AH33" s="5" t="s">
        <v>74</v>
      </c>
      <c r="AI33" s="5" t="s">
        <v>74</v>
      </c>
      <c r="AJ33" s="5" t="s">
        <v>74</v>
      </c>
      <c r="AK33" s="5">
        <v>4</v>
      </c>
      <c r="AL33" s="5"/>
      <c r="AM33" s="5"/>
      <c r="AN33" s="5"/>
      <c r="AO33" s="5"/>
      <c r="AP33" s="5"/>
      <c r="AQ33" s="5"/>
      <c r="AR33" s="5" t="s">
        <v>74</v>
      </c>
      <c r="AS33" s="5" t="s">
        <v>74</v>
      </c>
      <c r="AT33" s="5" t="s">
        <v>74</v>
      </c>
      <c r="AU33" s="5" t="s">
        <v>74</v>
      </c>
      <c r="AV33" s="5" t="s">
        <v>74</v>
      </c>
      <c r="AW33" s="5" t="s">
        <v>74</v>
      </c>
      <c r="AX33" s="5" t="s">
        <v>74</v>
      </c>
      <c r="AY33" s="5" t="s">
        <v>74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 t="s">
        <v>74</v>
      </c>
      <c r="BQ33" s="5" t="s">
        <v>74</v>
      </c>
      <c r="BR33" s="5" t="s">
        <v>74</v>
      </c>
      <c r="BS33" s="5"/>
      <c r="BT33" s="5" t="s">
        <v>74</v>
      </c>
      <c r="BU33" s="6" t="s">
        <v>51</v>
      </c>
      <c r="BV33" s="5" t="s">
        <v>74</v>
      </c>
      <c r="BW33" s="5"/>
      <c r="BX33" s="5" t="s">
        <v>74</v>
      </c>
      <c r="BY33" s="5"/>
      <c r="BZ33" s="5"/>
      <c r="CA33" s="10" t="s">
        <v>74</v>
      </c>
      <c r="CB33" s="5" t="s">
        <v>74</v>
      </c>
      <c r="CC33" s="5" t="s">
        <v>74</v>
      </c>
      <c r="CD33" s="5" t="s">
        <v>74</v>
      </c>
      <c r="CE33" s="5" t="s">
        <v>74</v>
      </c>
      <c r="CF33" s="8"/>
      <c r="CG33" s="5"/>
      <c r="CH33" s="5" t="s">
        <v>74</v>
      </c>
      <c r="CI33" s="5" t="s">
        <v>74</v>
      </c>
      <c r="CJ33" s="8" t="s">
        <v>74</v>
      </c>
      <c r="CK33" s="5"/>
      <c r="CL33" s="5" t="s">
        <v>74</v>
      </c>
      <c r="CM33" s="5" t="s">
        <v>74</v>
      </c>
      <c r="CN33" s="5" t="s">
        <v>74</v>
      </c>
      <c r="CO33" s="5"/>
      <c r="CP33" s="5" t="s">
        <v>74</v>
      </c>
    </row>
    <row r="34" spans="1:94" ht="25.25" customHeight="1">
      <c r="A34" s="5">
        <v>33</v>
      </c>
      <c r="B34" s="9" t="s">
        <v>106</v>
      </c>
      <c r="C34" s="9">
        <v>2024202175</v>
      </c>
      <c r="D34" s="5" t="s">
        <v>73</v>
      </c>
      <c r="E34" s="5">
        <f>SUM(G34:$XET34)</f>
        <v>100.5</v>
      </c>
      <c r="F34" s="5">
        <f>COUNT(G34:$XFD34)</f>
        <v>12</v>
      </c>
      <c r="G34" s="5"/>
      <c r="H34" s="5"/>
      <c r="I34" s="5"/>
      <c r="J34" s="5"/>
      <c r="K34" s="5"/>
      <c r="L34" s="5">
        <v>11</v>
      </c>
      <c r="M34" s="5">
        <v>9</v>
      </c>
      <c r="N34" s="5"/>
      <c r="O34" s="5"/>
      <c r="P34" s="5"/>
      <c r="Q34" s="5"/>
      <c r="R34" s="5">
        <v>14.5</v>
      </c>
      <c r="S34" s="5"/>
      <c r="T34" s="5">
        <v>16</v>
      </c>
      <c r="U34" s="5"/>
      <c r="V34" s="5"/>
      <c r="W34" s="5"/>
      <c r="X34" s="5">
        <v>20</v>
      </c>
      <c r="Y34" s="5"/>
      <c r="Z34" s="5"/>
      <c r="AA34" s="5"/>
      <c r="AB34" s="5" t="s">
        <v>74</v>
      </c>
      <c r="AC34" s="5">
        <v>0.5</v>
      </c>
      <c r="AD34" s="5">
        <v>4</v>
      </c>
      <c r="AE34" s="5"/>
      <c r="AF34" s="5"/>
      <c r="AG34" s="5">
        <v>0.5</v>
      </c>
      <c r="AH34" s="5" t="s">
        <v>74</v>
      </c>
      <c r="AI34" s="5" t="s">
        <v>74</v>
      </c>
      <c r="AJ34" s="5">
        <v>2</v>
      </c>
      <c r="AK34" s="5">
        <v>4</v>
      </c>
      <c r="AL34" s="5"/>
      <c r="AM34" s="5"/>
      <c r="AN34" s="5"/>
      <c r="AO34" s="5"/>
      <c r="AP34" s="5"/>
      <c r="AQ34" s="5"/>
      <c r="AR34" s="5" t="s">
        <v>74</v>
      </c>
      <c r="AS34" s="5" t="s">
        <v>74</v>
      </c>
      <c r="AT34" s="5" t="s">
        <v>74</v>
      </c>
      <c r="AU34" s="5" t="s">
        <v>74</v>
      </c>
      <c r="AV34" s="5" t="s">
        <v>74</v>
      </c>
      <c r="AW34" s="5" t="s">
        <v>74</v>
      </c>
      <c r="AX34" s="5" t="s">
        <v>74</v>
      </c>
      <c r="AY34" s="5" t="s">
        <v>74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 t="s">
        <v>74</v>
      </c>
      <c r="BQ34" s="5">
        <v>9</v>
      </c>
      <c r="BR34" s="5">
        <v>10</v>
      </c>
      <c r="BS34" s="5"/>
      <c r="BT34" s="5" t="s">
        <v>74</v>
      </c>
      <c r="BU34" s="6" t="s">
        <v>51</v>
      </c>
      <c r="BV34" s="5" t="s">
        <v>74</v>
      </c>
      <c r="BW34" s="5"/>
      <c r="BX34" s="5" t="s">
        <v>74</v>
      </c>
      <c r="BY34" s="5"/>
      <c r="BZ34" s="5"/>
      <c r="CA34" s="10" t="s">
        <v>74</v>
      </c>
      <c r="CB34" s="5" t="s">
        <v>74</v>
      </c>
      <c r="CC34" s="5" t="s">
        <v>74</v>
      </c>
      <c r="CD34" s="5" t="s">
        <v>74</v>
      </c>
      <c r="CE34" s="5" t="s">
        <v>74</v>
      </c>
      <c r="CF34" s="8"/>
      <c r="CG34" s="5"/>
      <c r="CH34" s="5" t="s">
        <v>74</v>
      </c>
      <c r="CI34" s="5" t="s">
        <v>74</v>
      </c>
      <c r="CJ34" s="8" t="s">
        <v>74</v>
      </c>
      <c r="CK34" s="5"/>
      <c r="CL34" s="5" t="s">
        <v>74</v>
      </c>
      <c r="CM34" s="5" t="s">
        <v>74</v>
      </c>
      <c r="CN34" s="5" t="s">
        <v>74</v>
      </c>
      <c r="CO34" s="5"/>
      <c r="CP34" s="5" t="s">
        <v>74</v>
      </c>
    </row>
    <row r="35" spans="1:94" ht="25.25" customHeight="1">
      <c r="A35" s="5">
        <v>34</v>
      </c>
      <c r="B35" s="9" t="s">
        <v>107</v>
      </c>
      <c r="C35" s="9">
        <v>2024202261</v>
      </c>
      <c r="D35" s="5" t="s">
        <v>73</v>
      </c>
      <c r="E35" s="5">
        <f>SUM(G35:$XET35)</f>
        <v>25</v>
      </c>
      <c r="F35" s="5">
        <f>COUNT(G35:$XFD35)</f>
        <v>7</v>
      </c>
      <c r="G35" s="5"/>
      <c r="H35" s="5"/>
      <c r="I35" s="5"/>
      <c r="J35" s="5"/>
      <c r="K35" s="5"/>
      <c r="L35" s="5"/>
      <c r="M35" s="5"/>
      <c r="N35" s="5"/>
      <c r="O35" s="5">
        <v>2</v>
      </c>
      <c r="P35" s="5">
        <v>6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</v>
      </c>
      <c r="AB35" s="5" t="s">
        <v>74</v>
      </c>
      <c r="AC35" s="5">
        <v>1</v>
      </c>
      <c r="AD35" s="5"/>
      <c r="AE35" s="5"/>
      <c r="AF35" s="5"/>
      <c r="AG35" s="5" t="s">
        <v>74</v>
      </c>
      <c r="AH35" s="5" t="s">
        <v>74</v>
      </c>
      <c r="AI35" s="5" t="s">
        <v>74</v>
      </c>
      <c r="AJ35" s="5">
        <v>2</v>
      </c>
      <c r="AK35" s="5">
        <v>4</v>
      </c>
      <c r="AL35" s="5"/>
      <c r="AM35" s="5"/>
      <c r="AN35" s="5"/>
      <c r="AO35" s="5"/>
      <c r="AP35" s="5"/>
      <c r="AQ35" s="5"/>
      <c r="AR35" s="5" t="s">
        <v>74</v>
      </c>
      <c r="AS35" s="5" t="s">
        <v>74</v>
      </c>
      <c r="AT35" s="5" t="s">
        <v>74</v>
      </c>
      <c r="AU35" s="5" t="s">
        <v>74</v>
      </c>
      <c r="AV35" s="5" t="s">
        <v>74</v>
      </c>
      <c r="AW35" s="5">
        <v>6</v>
      </c>
      <c r="AX35" s="5" t="s">
        <v>74</v>
      </c>
      <c r="AY35" s="5" t="s">
        <v>74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 t="s">
        <v>74</v>
      </c>
      <c r="BQ35" s="5" t="s">
        <v>74</v>
      </c>
      <c r="BR35" s="5"/>
      <c r="BS35" s="5"/>
      <c r="BT35" s="5" t="s">
        <v>74</v>
      </c>
      <c r="BU35" s="6" t="s">
        <v>51</v>
      </c>
      <c r="BV35" s="5" t="s">
        <v>74</v>
      </c>
      <c r="BW35" s="5"/>
      <c r="BX35" s="5" t="s">
        <v>74</v>
      </c>
      <c r="BY35" s="5"/>
      <c r="BZ35" s="5"/>
      <c r="CA35" s="10" t="s">
        <v>74</v>
      </c>
      <c r="CB35" s="5" t="s">
        <v>74</v>
      </c>
      <c r="CC35" s="5" t="s">
        <v>74</v>
      </c>
      <c r="CD35" s="5" t="s">
        <v>74</v>
      </c>
      <c r="CE35" s="5" t="s">
        <v>74</v>
      </c>
      <c r="CF35" s="8"/>
      <c r="CG35" s="5"/>
      <c r="CH35" s="5" t="s">
        <v>74</v>
      </c>
      <c r="CI35" s="5" t="s">
        <v>74</v>
      </c>
      <c r="CJ35" s="8" t="s">
        <v>74</v>
      </c>
      <c r="CK35" s="5"/>
      <c r="CL35" s="5" t="s">
        <v>74</v>
      </c>
      <c r="CM35" s="5" t="s">
        <v>74</v>
      </c>
      <c r="CN35" s="5" t="s">
        <v>74</v>
      </c>
      <c r="CO35" s="5"/>
      <c r="CP35" s="5" t="s">
        <v>74</v>
      </c>
    </row>
    <row r="36" spans="1:94" ht="25.25" customHeight="1">
      <c r="A36" s="5">
        <v>35</v>
      </c>
      <c r="B36" s="9" t="s">
        <v>108</v>
      </c>
      <c r="C36" s="9">
        <v>2024202898</v>
      </c>
      <c r="D36" s="5" t="s">
        <v>73</v>
      </c>
      <c r="E36" s="5">
        <f>SUM(G36:$XET36)</f>
        <v>90</v>
      </c>
      <c r="F36" s="5">
        <f>COUNT(G36:$XFD36)</f>
        <v>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</v>
      </c>
      <c r="W36" s="5">
        <v>4</v>
      </c>
      <c r="X36" s="5"/>
      <c r="Y36" s="5"/>
      <c r="Z36" s="5"/>
      <c r="AA36" s="5"/>
      <c r="AB36" s="5" t="s">
        <v>74</v>
      </c>
      <c r="AC36" s="5"/>
      <c r="AD36" s="5"/>
      <c r="AE36" s="5"/>
      <c r="AF36" s="5"/>
      <c r="AG36" s="5" t="s">
        <v>74</v>
      </c>
      <c r="AH36" s="5" t="s">
        <v>74</v>
      </c>
      <c r="AI36" s="5" t="s">
        <v>74</v>
      </c>
      <c r="AJ36" s="5">
        <v>6</v>
      </c>
      <c r="AK36" s="5">
        <v>4</v>
      </c>
      <c r="AL36" s="5"/>
      <c r="AM36" s="5"/>
      <c r="AN36" s="5"/>
      <c r="AO36" s="5"/>
      <c r="AP36" s="5"/>
      <c r="AQ36" s="5"/>
      <c r="AR36" s="5" t="s">
        <v>74</v>
      </c>
      <c r="AS36" s="5" t="s">
        <v>74</v>
      </c>
      <c r="AT36" s="5">
        <v>72</v>
      </c>
      <c r="AU36" s="5" t="s">
        <v>74</v>
      </c>
      <c r="AV36" s="5" t="s">
        <v>74</v>
      </c>
      <c r="AW36" s="5" t="s">
        <v>74</v>
      </c>
      <c r="AX36" s="5" t="s">
        <v>74</v>
      </c>
      <c r="AY36" s="5" t="s">
        <v>74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 t="s">
        <v>74</v>
      </c>
      <c r="BQ36" s="5" t="s">
        <v>74</v>
      </c>
      <c r="BR36" s="5" t="s">
        <v>74</v>
      </c>
      <c r="BS36" s="5"/>
      <c r="BT36" s="5" t="s">
        <v>74</v>
      </c>
      <c r="BU36" s="6" t="s">
        <v>51</v>
      </c>
      <c r="BV36" s="5" t="s">
        <v>74</v>
      </c>
      <c r="BW36" s="5"/>
      <c r="BX36" s="5" t="s">
        <v>74</v>
      </c>
      <c r="BY36" s="5"/>
      <c r="BZ36" s="5"/>
      <c r="CA36" s="10" t="s">
        <v>74</v>
      </c>
      <c r="CB36" s="5" t="s">
        <v>74</v>
      </c>
      <c r="CC36" s="5" t="s">
        <v>74</v>
      </c>
      <c r="CD36" s="5" t="s">
        <v>74</v>
      </c>
      <c r="CE36" s="5" t="s">
        <v>74</v>
      </c>
      <c r="CF36" s="8"/>
      <c r="CG36" s="5"/>
      <c r="CH36" s="5" t="s">
        <v>74</v>
      </c>
      <c r="CI36" s="5" t="s">
        <v>74</v>
      </c>
      <c r="CJ36" s="8" t="s">
        <v>74</v>
      </c>
      <c r="CK36" s="5"/>
      <c r="CL36" s="5" t="s">
        <v>74</v>
      </c>
      <c r="CM36" s="5" t="s">
        <v>74</v>
      </c>
      <c r="CN36" s="5" t="s">
        <v>74</v>
      </c>
      <c r="CO36" s="5"/>
      <c r="CP36" s="5" t="s">
        <v>74</v>
      </c>
    </row>
    <row r="37" spans="1:94" ht="25.25" customHeight="1">
      <c r="A37" s="5">
        <v>36</v>
      </c>
      <c r="B37" s="9" t="s">
        <v>109</v>
      </c>
      <c r="C37" s="9">
        <v>2024202083</v>
      </c>
      <c r="D37" s="5" t="s">
        <v>73</v>
      </c>
      <c r="E37" s="5">
        <f>SUM(G37:$XET37)</f>
        <v>26.5</v>
      </c>
      <c r="F37" s="5">
        <f>COUNT(G37:$XFD37)</f>
        <v>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14.5</v>
      </c>
      <c r="S37" s="5"/>
      <c r="T37" s="5"/>
      <c r="U37" s="5"/>
      <c r="V37" s="5"/>
      <c r="W37" s="5"/>
      <c r="X37" s="5">
        <v>6</v>
      </c>
      <c r="Y37" s="5"/>
      <c r="Z37" s="5"/>
      <c r="AA37" s="5"/>
      <c r="AB37" s="5" t="s">
        <v>74</v>
      </c>
      <c r="AC37" s="5" t="s">
        <v>74</v>
      </c>
      <c r="AD37" s="5"/>
      <c r="AE37" s="5"/>
      <c r="AF37" s="5"/>
      <c r="AG37" s="5" t="s">
        <v>74</v>
      </c>
      <c r="AH37" s="5" t="s">
        <v>74</v>
      </c>
      <c r="AI37" s="5" t="s">
        <v>74</v>
      </c>
      <c r="AJ37" s="5" t="s">
        <v>74</v>
      </c>
      <c r="AK37" s="5" t="s">
        <v>74</v>
      </c>
      <c r="AL37" s="5"/>
      <c r="AM37" s="5"/>
      <c r="AN37" s="5"/>
      <c r="AO37" s="5"/>
      <c r="AP37" s="5"/>
      <c r="AQ37" s="5"/>
      <c r="AR37" s="5" t="s">
        <v>74</v>
      </c>
      <c r="AS37" s="5" t="s">
        <v>74</v>
      </c>
      <c r="AT37" s="5" t="s">
        <v>74</v>
      </c>
      <c r="AU37" s="5" t="s">
        <v>74</v>
      </c>
      <c r="AV37" s="5" t="s">
        <v>74</v>
      </c>
      <c r="AW37" s="5" t="s">
        <v>74</v>
      </c>
      <c r="AX37" s="5" t="s">
        <v>74</v>
      </c>
      <c r="AY37" s="5" t="s">
        <v>74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 t="s">
        <v>74</v>
      </c>
      <c r="BQ37" s="5" t="s">
        <v>74</v>
      </c>
      <c r="BR37" s="5" t="s">
        <v>74</v>
      </c>
      <c r="BS37" s="5"/>
      <c r="BT37" s="5" t="s">
        <v>74</v>
      </c>
      <c r="BU37" s="6" t="s">
        <v>51</v>
      </c>
      <c r="BV37" s="5" t="s">
        <v>74</v>
      </c>
      <c r="BW37" s="5"/>
      <c r="BX37" s="5">
        <v>5</v>
      </c>
      <c r="BY37" s="5"/>
      <c r="BZ37" s="5"/>
      <c r="CA37" s="10" t="s">
        <v>74</v>
      </c>
      <c r="CB37" s="5" t="s">
        <v>74</v>
      </c>
      <c r="CC37" s="5" t="s">
        <v>74</v>
      </c>
      <c r="CD37" s="5" t="s">
        <v>74</v>
      </c>
      <c r="CE37" s="5">
        <v>1</v>
      </c>
      <c r="CF37" s="8"/>
      <c r="CG37" s="5"/>
      <c r="CH37" s="5" t="s">
        <v>74</v>
      </c>
      <c r="CI37" s="5" t="s">
        <v>74</v>
      </c>
      <c r="CJ37" s="8" t="s">
        <v>74</v>
      </c>
      <c r="CK37" s="5"/>
      <c r="CL37" s="5" t="s">
        <v>74</v>
      </c>
      <c r="CM37" s="5" t="s">
        <v>74</v>
      </c>
      <c r="CN37" s="5" t="s">
        <v>74</v>
      </c>
      <c r="CO37" s="5"/>
      <c r="CP37" s="5" t="s">
        <v>74</v>
      </c>
    </row>
    <row r="38" spans="1:94" ht="25.25" customHeight="1">
      <c r="A38" s="5">
        <v>37</v>
      </c>
      <c r="B38" s="9" t="s">
        <v>110</v>
      </c>
      <c r="C38" s="9">
        <v>2024202172</v>
      </c>
      <c r="D38" s="5" t="s">
        <v>73</v>
      </c>
      <c r="E38" s="5">
        <f>SUM(G38:$XET38)</f>
        <v>0</v>
      </c>
      <c r="F38" s="5">
        <f>COUNT(G38:$XFD38)</f>
        <v>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 t="s">
        <v>74</v>
      </c>
      <c r="AC38" s="5" t="s">
        <v>74</v>
      </c>
      <c r="AD38" s="5"/>
      <c r="AE38" s="5"/>
      <c r="AF38" s="5"/>
      <c r="AG38" s="5" t="s">
        <v>74</v>
      </c>
      <c r="AH38" s="5" t="s">
        <v>74</v>
      </c>
      <c r="AI38" s="5" t="s">
        <v>74</v>
      </c>
      <c r="AJ38" s="5" t="s">
        <v>74</v>
      </c>
      <c r="AK38" s="5" t="s">
        <v>74</v>
      </c>
      <c r="AL38" s="5"/>
      <c r="AM38" s="5"/>
      <c r="AN38" s="5"/>
      <c r="AO38" s="5"/>
      <c r="AP38" s="5"/>
      <c r="AQ38" s="5"/>
      <c r="AR38" s="5" t="s">
        <v>74</v>
      </c>
      <c r="AS38" s="5" t="s">
        <v>74</v>
      </c>
      <c r="AT38" s="5" t="s">
        <v>74</v>
      </c>
      <c r="AU38" s="5" t="s">
        <v>74</v>
      </c>
      <c r="AV38" s="5" t="s">
        <v>74</v>
      </c>
      <c r="AW38" s="5" t="s">
        <v>74</v>
      </c>
      <c r="AX38" s="5" t="s">
        <v>74</v>
      </c>
      <c r="AY38" s="5" t="s">
        <v>74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 t="s">
        <v>74</v>
      </c>
      <c r="BQ38" s="5" t="s">
        <v>74</v>
      </c>
      <c r="BR38" s="5" t="s">
        <v>74</v>
      </c>
      <c r="BS38" s="5"/>
      <c r="BT38" s="5" t="s">
        <v>74</v>
      </c>
      <c r="BU38" s="6" t="s">
        <v>51</v>
      </c>
      <c r="BV38" s="5" t="s">
        <v>74</v>
      </c>
      <c r="BW38" s="5"/>
      <c r="BX38" s="5" t="s">
        <v>74</v>
      </c>
      <c r="BY38" s="5"/>
      <c r="BZ38" s="5"/>
      <c r="CA38" s="10" t="s">
        <v>74</v>
      </c>
      <c r="CB38" s="5" t="s">
        <v>74</v>
      </c>
      <c r="CC38" s="5" t="s">
        <v>74</v>
      </c>
      <c r="CD38" s="5" t="s">
        <v>74</v>
      </c>
      <c r="CE38" s="5" t="s">
        <v>74</v>
      </c>
      <c r="CF38" s="8"/>
      <c r="CG38" s="5"/>
      <c r="CH38" s="5" t="s">
        <v>74</v>
      </c>
      <c r="CI38" s="5" t="s">
        <v>74</v>
      </c>
      <c r="CJ38" s="8" t="s">
        <v>74</v>
      </c>
      <c r="CK38" s="5"/>
      <c r="CL38" s="5" t="s">
        <v>74</v>
      </c>
      <c r="CM38" s="5" t="s">
        <v>74</v>
      </c>
      <c r="CN38" s="5" t="s">
        <v>74</v>
      </c>
      <c r="CO38" s="5"/>
      <c r="CP38" s="5" t="s">
        <v>74</v>
      </c>
    </row>
    <row r="39" spans="1:94" ht="25.25" customHeight="1">
      <c r="A39" s="5">
        <v>38</v>
      </c>
      <c r="B39" s="9" t="s">
        <v>111</v>
      </c>
      <c r="C39" s="9">
        <v>2024201965</v>
      </c>
      <c r="D39" s="5" t="s">
        <v>112</v>
      </c>
      <c r="E39" s="5">
        <f>SUM(G39:$XET39)</f>
        <v>0</v>
      </c>
      <c r="F39" s="5">
        <f>COUNT(G39:$XFD39)</f>
        <v>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 t="s">
        <v>74</v>
      </c>
      <c r="AC39" s="5" t="s">
        <v>74</v>
      </c>
      <c r="AD39" s="5"/>
      <c r="AE39" s="5"/>
      <c r="AF39" s="5"/>
      <c r="AG39" s="5" t="s">
        <v>74</v>
      </c>
      <c r="AH39" s="5" t="s">
        <v>74</v>
      </c>
      <c r="AI39" s="5" t="s">
        <v>74</v>
      </c>
      <c r="AJ39" s="5" t="s">
        <v>74</v>
      </c>
      <c r="AK39" s="5" t="s">
        <v>74</v>
      </c>
      <c r="AL39" s="5"/>
      <c r="AM39" s="5"/>
      <c r="AN39" s="5"/>
      <c r="AO39" s="5"/>
      <c r="AP39" s="5"/>
      <c r="AQ39" s="5"/>
      <c r="AR39" s="5" t="s">
        <v>74</v>
      </c>
      <c r="AS39" s="5" t="s">
        <v>74</v>
      </c>
      <c r="AT39" s="5" t="s">
        <v>74</v>
      </c>
      <c r="AU39" s="5" t="s">
        <v>74</v>
      </c>
      <c r="AV39" s="5" t="s">
        <v>74</v>
      </c>
      <c r="AW39" s="5" t="s">
        <v>74</v>
      </c>
      <c r="AX39" s="5" t="s">
        <v>74</v>
      </c>
      <c r="AY39" s="5" t="s">
        <v>74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 t="s">
        <v>74</v>
      </c>
      <c r="BQ39" s="5" t="s">
        <v>74</v>
      </c>
      <c r="BR39" s="5" t="s">
        <v>74</v>
      </c>
      <c r="BS39" s="5"/>
      <c r="BT39" s="5" t="s">
        <v>74</v>
      </c>
      <c r="BU39" s="6" t="s">
        <v>51</v>
      </c>
      <c r="BV39" s="5" t="s">
        <v>74</v>
      </c>
      <c r="BW39" s="5"/>
      <c r="BX39" s="5" t="s">
        <v>74</v>
      </c>
      <c r="BY39" s="5"/>
      <c r="BZ39" s="5"/>
      <c r="CA39" s="10" t="s">
        <v>74</v>
      </c>
      <c r="CB39" s="5" t="s">
        <v>74</v>
      </c>
      <c r="CC39" s="5" t="s">
        <v>74</v>
      </c>
      <c r="CD39" s="5" t="s">
        <v>74</v>
      </c>
      <c r="CE39" s="5" t="s">
        <v>74</v>
      </c>
      <c r="CF39" s="8"/>
      <c r="CG39" s="5"/>
      <c r="CH39" s="5" t="s">
        <v>74</v>
      </c>
      <c r="CI39" s="5" t="s">
        <v>74</v>
      </c>
      <c r="CJ39" s="8" t="s">
        <v>74</v>
      </c>
      <c r="CK39" s="5"/>
      <c r="CL39" s="5" t="s">
        <v>74</v>
      </c>
      <c r="CM39" s="5" t="s">
        <v>74</v>
      </c>
      <c r="CN39" s="5" t="s">
        <v>74</v>
      </c>
      <c r="CO39" s="5"/>
      <c r="CP39" s="5" t="s">
        <v>74</v>
      </c>
    </row>
    <row r="40" spans="1:94" ht="25.25" customHeight="1">
      <c r="A40" s="5">
        <v>39</v>
      </c>
      <c r="B40" s="9" t="s">
        <v>113</v>
      </c>
      <c r="C40" s="9">
        <v>2024201985</v>
      </c>
      <c r="D40" s="5" t="s">
        <v>112</v>
      </c>
      <c r="E40" s="5">
        <f>SUM(G40:$XET40)</f>
        <v>0</v>
      </c>
      <c r="F40" s="5">
        <f>COUNT(G40:$XFD40)</f>
        <v>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 t="s">
        <v>74</v>
      </c>
      <c r="AC40" s="5" t="s">
        <v>74</v>
      </c>
      <c r="AD40" s="5"/>
      <c r="AE40" s="5"/>
      <c r="AF40" s="5"/>
      <c r="AG40" s="5" t="s">
        <v>74</v>
      </c>
      <c r="AH40" s="5" t="s">
        <v>74</v>
      </c>
      <c r="AI40" s="5" t="s">
        <v>74</v>
      </c>
      <c r="AJ40" s="5" t="s">
        <v>74</v>
      </c>
      <c r="AK40" s="5" t="s">
        <v>74</v>
      </c>
      <c r="AL40" s="5"/>
      <c r="AM40" s="5"/>
      <c r="AN40" s="5"/>
      <c r="AO40" s="5"/>
      <c r="AP40" s="5"/>
      <c r="AQ40" s="5"/>
      <c r="AR40" s="5" t="s">
        <v>74</v>
      </c>
      <c r="AS40" s="5" t="s">
        <v>74</v>
      </c>
      <c r="AT40" s="5" t="s">
        <v>74</v>
      </c>
      <c r="AU40" s="5" t="s">
        <v>74</v>
      </c>
      <c r="AV40" s="5" t="s">
        <v>74</v>
      </c>
      <c r="AW40" s="5" t="s">
        <v>74</v>
      </c>
      <c r="AX40" s="5" t="s">
        <v>74</v>
      </c>
      <c r="AY40" s="5" t="s">
        <v>74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 t="s">
        <v>74</v>
      </c>
      <c r="BQ40" s="5" t="s">
        <v>74</v>
      </c>
      <c r="BR40" s="5" t="s">
        <v>74</v>
      </c>
      <c r="BS40" s="5"/>
      <c r="BT40" s="5" t="s">
        <v>74</v>
      </c>
      <c r="BU40" s="6" t="s">
        <v>51</v>
      </c>
      <c r="BV40" s="5" t="s">
        <v>74</v>
      </c>
      <c r="BW40" s="5"/>
      <c r="BX40" s="5" t="s">
        <v>74</v>
      </c>
      <c r="BY40" s="5"/>
      <c r="BZ40" s="5"/>
      <c r="CA40" s="10" t="s">
        <v>74</v>
      </c>
      <c r="CB40" s="5" t="s">
        <v>74</v>
      </c>
      <c r="CC40" s="5" t="s">
        <v>74</v>
      </c>
      <c r="CD40" s="5" t="s">
        <v>74</v>
      </c>
      <c r="CE40" s="5" t="s">
        <v>74</v>
      </c>
      <c r="CF40" s="8"/>
      <c r="CG40" s="5"/>
      <c r="CH40" s="5" t="s">
        <v>74</v>
      </c>
      <c r="CI40" s="5" t="s">
        <v>74</v>
      </c>
      <c r="CJ40" s="8" t="s">
        <v>74</v>
      </c>
      <c r="CK40" s="5"/>
      <c r="CL40" s="5" t="s">
        <v>74</v>
      </c>
      <c r="CM40" s="5" t="s">
        <v>74</v>
      </c>
      <c r="CN40" s="5" t="s">
        <v>74</v>
      </c>
      <c r="CO40" s="5"/>
      <c r="CP40" s="5" t="s">
        <v>74</v>
      </c>
    </row>
    <row r="41" spans="1:94" ht="25.25" customHeight="1">
      <c r="A41" s="5">
        <v>40</v>
      </c>
      <c r="B41" s="9" t="s">
        <v>114</v>
      </c>
      <c r="C41" s="9">
        <v>2024202085</v>
      </c>
      <c r="D41" s="5" t="s">
        <v>112</v>
      </c>
      <c r="E41" s="5">
        <f>SUM(G41:$XET41)</f>
        <v>0</v>
      </c>
      <c r="F41" s="5">
        <f>COUNT(G41:$XFD41)</f>
        <v>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 t="s">
        <v>74</v>
      </c>
      <c r="AC41" s="5" t="s">
        <v>74</v>
      </c>
      <c r="AD41" s="5"/>
      <c r="AE41" s="5"/>
      <c r="AF41" s="5"/>
      <c r="AG41" s="5" t="s">
        <v>74</v>
      </c>
      <c r="AH41" s="5" t="s">
        <v>74</v>
      </c>
      <c r="AI41" s="5" t="s">
        <v>74</v>
      </c>
      <c r="AJ41" s="5" t="s">
        <v>74</v>
      </c>
      <c r="AK41" s="5" t="s">
        <v>74</v>
      </c>
      <c r="AL41" s="5"/>
      <c r="AM41" s="5"/>
      <c r="AN41" s="5"/>
      <c r="AO41" s="5"/>
      <c r="AP41" s="5"/>
      <c r="AQ41" s="5"/>
      <c r="AR41" s="5" t="s">
        <v>74</v>
      </c>
      <c r="AS41" s="5" t="s">
        <v>74</v>
      </c>
      <c r="AT41" s="5" t="s">
        <v>74</v>
      </c>
      <c r="AU41" s="5" t="s">
        <v>74</v>
      </c>
      <c r="AV41" s="5" t="s">
        <v>74</v>
      </c>
      <c r="AW41" s="5" t="s">
        <v>74</v>
      </c>
      <c r="AX41" s="5" t="s">
        <v>74</v>
      </c>
      <c r="AY41" s="5" t="s">
        <v>74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 t="s">
        <v>74</v>
      </c>
      <c r="BQ41" s="5" t="s">
        <v>74</v>
      </c>
      <c r="BR41" s="5" t="s">
        <v>74</v>
      </c>
      <c r="BS41" s="5"/>
      <c r="BT41" s="5" t="s">
        <v>74</v>
      </c>
      <c r="BU41" s="6" t="s">
        <v>51</v>
      </c>
      <c r="BV41" s="5" t="s">
        <v>74</v>
      </c>
      <c r="BW41" s="5"/>
      <c r="BX41" s="5" t="s">
        <v>74</v>
      </c>
      <c r="BY41" s="5"/>
      <c r="BZ41" s="5"/>
      <c r="CA41" s="10" t="s">
        <v>74</v>
      </c>
      <c r="CB41" s="5" t="s">
        <v>74</v>
      </c>
      <c r="CC41" s="5" t="s">
        <v>74</v>
      </c>
      <c r="CD41" s="5" t="s">
        <v>74</v>
      </c>
      <c r="CE41" s="5" t="s">
        <v>74</v>
      </c>
      <c r="CF41" s="8"/>
      <c r="CG41" s="5"/>
      <c r="CH41" s="5" t="s">
        <v>74</v>
      </c>
      <c r="CI41" s="5" t="s">
        <v>74</v>
      </c>
      <c r="CJ41" s="8" t="s">
        <v>74</v>
      </c>
      <c r="CK41" s="5"/>
      <c r="CL41" s="5" t="s">
        <v>74</v>
      </c>
      <c r="CM41" s="5" t="s">
        <v>74</v>
      </c>
      <c r="CN41" s="5" t="s">
        <v>74</v>
      </c>
      <c r="CO41" s="5"/>
      <c r="CP41" s="5" t="s">
        <v>74</v>
      </c>
    </row>
    <row r="42" spans="1:94" ht="25.25" customHeight="1">
      <c r="A42" s="5">
        <v>41</v>
      </c>
      <c r="B42" s="9" t="s">
        <v>115</v>
      </c>
      <c r="C42" s="9">
        <v>2024202143</v>
      </c>
      <c r="D42" s="5" t="s">
        <v>112</v>
      </c>
      <c r="E42" s="5">
        <f>SUM(G42:$XET42)</f>
        <v>81</v>
      </c>
      <c r="F42" s="5">
        <f>COUNT(G42:$XFD42)</f>
        <v>6</v>
      </c>
      <c r="G42" s="5"/>
      <c r="H42" s="5"/>
      <c r="I42" s="5"/>
      <c r="J42" s="5"/>
      <c r="K42" s="5"/>
      <c r="L42" s="5"/>
      <c r="M42" s="5"/>
      <c r="N42" s="5">
        <v>1</v>
      </c>
      <c r="O42" s="5"/>
      <c r="P42" s="5">
        <v>6</v>
      </c>
      <c r="Q42" s="5"/>
      <c r="R42" s="5"/>
      <c r="S42" s="5"/>
      <c r="T42" s="5">
        <v>16</v>
      </c>
      <c r="U42" s="5"/>
      <c r="V42" s="5"/>
      <c r="W42" s="5"/>
      <c r="X42" s="5">
        <v>6</v>
      </c>
      <c r="Y42" s="5"/>
      <c r="Z42" s="5"/>
      <c r="AA42" s="5"/>
      <c r="AB42" s="5" t="s">
        <v>74</v>
      </c>
      <c r="AC42" s="5" t="s">
        <v>74</v>
      </c>
      <c r="AD42" s="5"/>
      <c r="AE42" s="5"/>
      <c r="AF42" s="5"/>
      <c r="AG42" s="5" t="s">
        <v>74</v>
      </c>
      <c r="AH42" s="5" t="s">
        <v>74</v>
      </c>
      <c r="AI42" s="5" t="s">
        <v>74</v>
      </c>
      <c r="AJ42" s="5" t="s">
        <v>74</v>
      </c>
      <c r="AK42" s="5" t="s">
        <v>74</v>
      </c>
      <c r="AL42" s="5"/>
      <c r="AM42" s="5"/>
      <c r="AN42" s="5"/>
      <c r="AO42" s="5"/>
      <c r="AP42" s="5"/>
      <c r="AQ42" s="5"/>
      <c r="AR42" s="5" t="s">
        <v>74</v>
      </c>
      <c r="AS42" s="5" t="s">
        <v>74</v>
      </c>
      <c r="AT42" s="5" t="s">
        <v>74</v>
      </c>
      <c r="AU42" s="5" t="s">
        <v>74</v>
      </c>
      <c r="AV42" s="5">
        <v>2</v>
      </c>
      <c r="AW42" s="5" t="s">
        <v>74</v>
      </c>
      <c r="AX42" s="5" t="s">
        <v>74</v>
      </c>
      <c r="AY42" s="5">
        <v>50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 t="s">
        <v>74</v>
      </c>
      <c r="BQ42" s="5" t="s">
        <v>74</v>
      </c>
      <c r="BR42" s="5" t="s">
        <v>74</v>
      </c>
      <c r="BS42" s="5"/>
      <c r="BT42" s="5" t="s">
        <v>74</v>
      </c>
      <c r="BU42" s="6" t="s">
        <v>51</v>
      </c>
      <c r="BV42" s="5" t="s">
        <v>74</v>
      </c>
      <c r="BW42" s="5"/>
      <c r="BX42" s="5" t="s">
        <v>74</v>
      </c>
      <c r="BY42" s="5"/>
      <c r="BZ42" s="5"/>
      <c r="CA42" s="10" t="s">
        <v>74</v>
      </c>
      <c r="CB42" s="5" t="s">
        <v>74</v>
      </c>
      <c r="CC42" s="5" t="s">
        <v>74</v>
      </c>
      <c r="CD42" s="5" t="s">
        <v>74</v>
      </c>
      <c r="CE42" s="5" t="s">
        <v>74</v>
      </c>
      <c r="CF42" s="8"/>
      <c r="CG42" s="5"/>
      <c r="CH42" s="5" t="s">
        <v>74</v>
      </c>
      <c r="CI42" s="5" t="s">
        <v>74</v>
      </c>
      <c r="CJ42" s="8" t="s">
        <v>74</v>
      </c>
      <c r="CK42" s="5"/>
      <c r="CL42" s="5" t="s">
        <v>74</v>
      </c>
      <c r="CM42" s="5" t="s">
        <v>74</v>
      </c>
      <c r="CN42" s="5" t="s">
        <v>74</v>
      </c>
      <c r="CO42" s="5"/>
      <c r="CP42" s="5" t="s">
        <v>74</v>
      </c>
    </row>
    <row r="43" spans="1:94" ht="25.25" customHeight="1">
      <c r="A43" s="5">
        <v>42</v>
      </c>
      <c r="B43" s="9" t="s">
        <v>116</v>
      </c>
      <c r="C43" s="9">
        <v>2024202096</v>
      </c>
      <c r="D43" s="5" t="s">
        <v>112</v>
      </c>
      <c r="E43" s="5">
        <f>SUM(G43:$XET43)</f>
        <v>0</v>
      </c>
      <c r="F43" s="5">
        <f>COUNT(G43:$XFD43)</f>
        <v>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 t="s">
        <v>74</v>
      </c>
      <c r="AC43" s="5" t="s">
        <v>74</v>
      </c>
      <c r="AD43" s="5"/>
      <c r="AE43" s="5"/>
      <c r="AF43" s="5"/>
      <c r="AG43" s="5" t="s">
        <v>74</v>
      </c>
      <c r="AH43" s="5" t="s">
        <v>74</v>
      </c>
      <c r="AI43" s="5" t="s">
        <v>74</v>
      </c>
      <c r="AJ43" s="5" t="s">
        <v>74</v>
      </c>
      <c r="AK43" s="5" t="s">
        <v>74</v>
      </c>
      <c r="AL43" s="5"/>
      <c r="AM43" s="5"/>
      <c r="AN43" s="5"/>
      <c r="AO43" s="5"/>
      <c r="AP43" s="5"/>
      <c r="AQ43" s="5"/>
      <c r="AR43" s="5" t="s">
        <v>74</v>
      </c>
      <c r="AS43" s="5" t="s">
        <v>74</v>
      </c>
      <c r="AT43" s="5" t="s">
        <v>74</v>
      </c>
      <c r="AU43" s="5" t="s">
        <v>74</v>
      </c>
      <c r="AV43" s="5" t="s">
        <v>74</v>
      </c>
      <c r="AW43" s="5" t="s">
        <v>74</v>
      </c>
      <c r="AX43" s="5" t="s">
        <v>74</v>
      </c>
      <c r="AY43" s="5" t="s">
        <v>74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 t="s">
        <v>74</v>
      </c>
      <c r="BQ43" s="5" t="s">
        <v>74</v>
      </c>
      <c r="BR43" s="5" t="s">
        <v>74</v>
      </c>
      <c r="BS43" s="5"/>
      <c r="BT43" s="5" t="s">
        <v>74</v>
      </c>
      <c r="BU43" s="6" t="s">
        <v>51</v>
      </c>
      <c r="BV43" s="5" t="s">
        <v>74</v>
      </c>
      <c r="BW43" s="5"/>
      <c r="BX43" s="5" t="s">
        <v>74</v>
      </c>
      <c r="BY43" s="5"/>
      <c r="BZ43" s="5"/>
      <c r="CA43" s="10" t="s">
        <v>74</v>
      </c>
      <c r="CB43" s="5" t="s">
        <v>74</v>
      </c>
      <c r="CC43" s="5" t="s">
        <v>74</v>
      </c>
      <c r="CD43" s="5" t="s">
        <v>74</v>
      </c>
      <c r="CE43" s="5" t="s">
        <v>74</v>
      </c>
      <c r="CF43" s="8"/>
      <c r="CG43" s="5"/>
      <c r="CH43" s="5" t="s">
        <v>74</v>
      </c>
      <c r="CI43" s="5" t="s">
        <v>74</v>
      </c>
      <c r="CJ43" s="8" t="s">
        <v>74</v>
      </c>
      <c r="CK43" s="5"/>
      <c r="CL43" s="5" t="s">
        <v>74</v>
      </c>
      <c r="CM43" s="5" t="s">
        <v>74</v>
      </c>
      <c r="CN43" s="5" t="s">
        <v>74</v>
      </c>
      <c r="CO43" s="5"/>
      <c r="CP43" s="5" t="s">
        <v>74</v>
      </c>
    </row>
    <row r="44" spans="1:94" ht="25.25" customHeight="1">
      <c r="A44" s="5">
        <v>43</v>
      </c>
      <c r="B44" s="9" t="s">
        <v>117</v>
      </c>
      <c r="C44" s="9">
        <v>2024202184</v>
      </c>
      <c r="D44" s="5" t="s">
        <v>112</v>
      </c>
      <c r="E44" s="5">
        <f>SUM(G44:$XET44)</f>
        <v>0</v>
      </c>
      <c r="F44" s="5">
        <f>COUNT(G44:$XFD44)</f>
        <v>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 t="s">
        <v>74</v>
      </c>
      <c r="AC44" s="5" t="s">
        <v>74</v>
      </c>
      <c r="AD44" s="5"/>
      <c r="AE44" s="5"/>
      <c r="AF44" s="5"/>
      <c r="AG44" s="5" t="s">
        <v>74</v>
      </c>
      <c r="AH44" s="5" t="s">
        <v>74</v>
      </c>
      <c r="AI44" s="5" t="s">
        <v>74</v>
      </c>
      <c r="AJ44" s="5" t="s">
        <v>74</v>
      </c>
      <c r="AK44" s="5" t="s">
        <v>74</v>
      </c>
      <c r="AL44" s="5"/>
      <c r="AM44" s="5"/>
      <c r="AN44" s="5"/>
      <c r="AO44" s="5"/>
      <c r="AP44" s="5"/>
      <c r="AQ44" s="5"/>
      <c r="AR44" s="5" t="s">
        <v>74</v>
      </c>
      <c r="AS44" s="5" t="s">
        <v>74</v>
      </c>
      <c r="AT44" s="5" t="s">
        <v>74</v>
      </c>
      <c r="AU44" s="5" t="s">
        <v>74</v>
      </c>
      <c r="AV44" s="5" t="s">
        <v>74</v>
      </c>
      <c r="AW44" s="5" t="s">
        <v>74</v>
      </c>
      <c r="AX44" s="5" t="s">
        <v>74</v>
      </c>
      <c r="AY44" s="5" t="s">
        <v>74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 t="s">
        <v>74</v>
      </c>
      <c r="BQ44" s="5" t="s">
        <v>74</v>
      </c>
      <c r="BR44" s="5" t="s">
        <v>74</v>
      </c>
      <c r="BS44" s="5"/>
      <c r="BT44" s="5" t="s">
        <v>74</v>
      </c>
      <c r="BU44" s="6" t="s">
        <v>51</v>
      </c>
      <c r="BV44" s="5" t="s">
        <v>74</v>
      </c>
      <c r="BW44" s="5"/>
      <c r="BX44" s="5" t="s">
        <v>74</v>
      </c>
      <c r="BY44" s="5"/>
      <c r="BZ44" s="5"/>
      <c r="CA44" s="10" t="s">
        <v>74</v>
      </c>
      <c r="CB44" s="5" t="s">
        <v>74</v>
      </c>
      <c r="CC44" s="5" t="s">
        <v>74</v>
      </c>
      <c r="CD44" s="5" t="s">
        <v>74</v>
      </c>
      <c r="CE44" s="5" t="s">
        <v>74</v>
      </c>
      <c r="CF44" s="8"/>
      <c r="CG44" s="5"/>
      <c r="CH44" s="5" t="s">
        <v>74</v>
      </c>
      <c r="CI44" s="5" t="s">
        <v>74</v>
      </c>
      <c r="CJ44" s="8" t="s">
        <v>74</v>
      </c>
      <c r="CK44" s="5"/>
      <c r="CL44" s="5" t="s">
        <v>74</v>
      </c>
      <c r="CM44" s="5" t="s">
        <v>74</v>
      </c>
      <c r="CN44" s="5" t="s">
        <v>74</v>
      </c>
      <c r="CO44" s="5"/>
      <c r="CP44" s="5" t="s">
        <v>74</v>
      </c>
    </row>
    <row r="45" spans="1:94" ht="25.25" customHeight="1">
      <c r="A45" s="5">
        <v>44</v>
      </c>
      <c r="B45" s="9" t="s">
        <v>118</v>
      </c>
      <c r="C45" s="9">
        <v>2024202214</v>
      </c>
      <c r="D45" s="5" t="s">
        <v>112</v>
      </c>
      <c r="E45" s="5">
        <f>SUM(G45:$XET45)</f>
        <v>0</v>
      </c>
      <c r="F45" s="5">
        <f>COUNT(G45:$XFD45)</f>
        <v>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 t="s">
        <v>74</v>
      </c>
      <c r="AC45" s="5" t="s">
        <v>74</v>
      </c>
      <c r="AD45" s="5"/>
      <c r="AE45" s="5"/>
      <c r="AF45" s="5"/>
      <c r="AG45" s="5" t="s">
        <v>74</v>
      </c>
      <c r="AH45" s="5" t="s">
        <v>74</v>
      </c>
      <c r="AI45" s="5" t="s">
        <v>74</v>
      </c>
      <c r="AJ45" s="5" t="s">
        <v>74</v>
      </c>
      <c r="AK45" s="5" t="s">
        <v>74</v>
      </c>
      <c r="AL45" s="5"/>
      <c r="AM45" s="5"/>
      <c r="AN45" s="5"/>
      <c r="AO45" s="5"/>
      <c r="AP45" s="5"/>
      <c r="AQ45" s="5"/>
      <c r="AR45" s="5" t="s">
        <v>74</v>
      </c>
      <c r="AS45" s="5" t="s">
        <v>74</v>
      </c>
      <c r="AT45" s="5" t="s">
        <v>74</v>
      </c>
      <c r="AU45" s="5" t="s">
        <v>74</v>
      </c>
      <c r="AV45" s="5" t="s">
        <v>74</v>
      </c>
      <c r="AW45" s="5" t="s">
        <v>74</v>
      </c>
      <c r="AX45" s="5" t="s">
        <v>74</v>
      </c>
      <c r="AY45" s="5" t="s">
        <v>74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 t="s">
        <v>74</v>
      </c>
      <c r="BQ45" s="5" t="s">
        <v>74</v>
      </c>
      <c r="BR45" s="5" t="s">
        <v>74</v>
      </c>
      <c r="BS45" s="5"/>
      <c r="BT45" s="5" t="s">
        <v>74</v>
      </c>
      <c r="BU45" s="6" t="s">
        <v>51</v>
      </c>
      <c r="BV45" s="5" t="s">
        <v>74</v>
      </c>
      <c r="BW45" s="5"/>
      <c r="BX45" s="5" t="s">
        <v>74</v>
      </c>
      <c r="BY45" s="5"/>
      <c r="BZ45" s="5"/>
      <c r="CA45" s="10" t="s">
        <v>74</v>
      </c>
      <c r="CB45" s="5" t="s">
        <v>74</v>
      </c>
      <c r="CC45" s="5" t="s">
        <v>74</v>
      </c>
      <c r="CD45" s="5" t="s">
        <v>74</v>
      </c>
      <c r="CE45" s="5" t="s">
        <v>74</v>
      </c>
      <c r="CF45" s="8"/>
      <c r="CG45" s="5"/>
      <c r="CH45" s="5" t="s">
        <v>74</v>
      </c>
      <c r="CI45" s="5" t="s">
        <v>74</v>
      </c>
      <c r="CJ45" s="8" t="s">
        <v>74</v>
      </c>
      <c r="CK45" s="5"/>
      <c r="CL45" s="5" t="s">
        <v>74</v>
      </c>
      <c r="CM45" s="5" t="s">
        <v>74</v>
      </c>
      <c r="CN45" s="5" t="s">
        <v>74</v>
      </c>
      <c r="CO45" s="5"/>
      <c r="CP45" s="5" t="s">
        <v>74</v>
      </c>
    </row>
    <row r="46" spans="1:94" ht="25.25" customHeight="1">
      <c r="A46" s="5">
        <v>45</v>
      </c>
      <c r="B46" s="9" t="s">
        <v>119</v>
      </c>
      <c r="C46" s="9">
        <v>2024202244</v>
      </c>
      <c r="D46" s="5" t="s">
        <v>112</v>
      </c>
      <c r="E46" s="5">
        <f>SUM(G46:$XET46)</f>
        <v>174.5</v>
      </c>
      <c r="F46" s="5">
        <f>COUNT(G46:$XFD46)</f>
        <v>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16.5</v>
      </c>
      <c r="S46" s="5"/>
      <c r="T46" s="5"/>
      <c r="U46" s="5"/>
      <c r="V46" s="5"/>
      <c r="W46" s="5"/>
      <c r="X46" s="5"/>
      <c r="Y46" s="5"/>
      <c r="Z46" s="5"/>
      <c r="AA46" s="5"/>
      <c r="AB46" s="5" t="s">
        <v>74</v>
      </c>
      <c r="AC46" s="5" t="s">
        <v>74</v>
      </c>
      <c r="AD46" s="5"/>
      <c r="AE46" s="5"/>
      <c r="AF46" s="5"/>
      <c r="AG46" s="5" t="s">
        <v>74</v>
      </c>
      <c r="AH46" s="5" t="s">
        <v>74</v>
      </c>
      <c r="AI46" s="5" t="s">
        <v>74</v>
      </c>
      <c r="AJ46" s="5">
        <v>2</v>
      </c>
      <c r="AK46" s="5">
        <v>4</v>
      </c>
      <c r="AL46" s="5"/>
      <c r="AM46" s="5"/>
      <c r="AN46" s="5"/>
      <c r="AO46" s="5"/>
      <c r="AP46" s="5"/>
      <c r="AQ46" s="5"/>
      <c r="AR46" s="5" t="s">
        <v>74</v>
      </c>
      <c r="AS46" s="5" t="s">
        <v>74</v>
      </c>
      <c r="AT46" s="5">
        <v>72</v>
      </c>
      <c r="AU46" s="5" t="s">
        <v>74</v>
      </c>
      <c r="AV46" s="5" t="s">
        <v>74</v>
      </c>
      <c r="AW46" s="5" t="s">
        <v>74</v>
      </c>
      <c r="AX46" s="5" t="s">
        <v>74</v>
      </c>
      <c r="AY46" s="5" t="s">
        <v>74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 t="s">
        <v>74</v>
      </c>
      <c r="BQ46" s="5" t="s">
        <v>74</v>
      </c>
      <c r="BR46" s="5">
        <v>80</v>
      </c>
      <c r="BS46" s="5"/>
      <c r="BT46" s="5" t="s">
        <v>74</v>
      </c>
      <c r="BU46" s="6" t="s">
        <v>51</v>
      </c>
      <c r="BV46" s="5" t="s">
        <v>74</v>
      </c>
      <c r="BW46" s="5"/>
      <c r="BX46" s="5" t="s">
        <v>74</v>
      </c>
      <c r="BY46" s="5"/>
      <c r="BZ46" s="5"/>
      <c r="CA46" s="10" t="s">
        <v>74</v>
      </c>
      <c r="CB46" s="5" t="s">
        <v>74</v>
      </c>
      <c r="CC46" s="5" t="s">
        <v>74</v>
      </c>
      <c r="CD46" s="5" t="s">
        <v>74</v>
      </c>
      <c r="CE46" s="5" t="s">
        <v>74</v>
      </c>
      <c r="CF46" s="8"/>
      <c r="CG46" s="5"/>
      <c r="CH46" s="5" t="s">
        <v>74</v>
      </c>
      <c r="CI46" s="5" t="s">
        <v>74</v>
      </c>
      <c r="CJ46" s="8" t="s">
        <v>74</v>
      </c>
      <c r="CK46" s="5"/>
      <c r="CL46" s="5" t="s">
        <v>74</v>
      </c>
      <c r="CM46" s="5" t="s">
        <v>74</v>
      </c>
      <c r="CN46" s="5" t="s">
        <v>74</v>
      </c>
      <c r="CO46" s="5"/>
      <c r="CP46" s="5" t="s">
        <v>74</v>
      </c>
    </row>
    <row r="47" spans="1:94" ht="25.25" customHeight="1">
      <c r="A47" s="5">
        <v>46</v>
      </c>
      <c r="B47" s="9" t="s">
        <v>120</v>
      </c>
      <c r="C47" s="9">
        <v>2024202246</v>
      </c>
      <c r="D47" s="5" t="s">
        <v>112</v>
      </c>
      <c r="E47" s="5">
        <f>SUM(G47:$XET47)</f>
        <v>0</v>
      </c>
      <c r="F47" s="5">
        <f>COUNT(G47:$XFD47)</f>
        <v>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 t="s">
        <v>74</v>
      </c>
      <c r="AC47" s="5" t="s">
        <v>74</v>
      </c>
      <c r="AD47" s="5"/>
      <c r="AE47" s="5"/>
      <c r="AF47" s="5"/>
      <c r="AG47" s="5" t="s">
        <v>74</v>
      </c>
      <c r="AH47" s="5" t="s">
        <v>74</v>
      </c>
      <c r="AI47" s="5" t="s">
        <v>74</v>
      </c>
      <c r="AJ47" s="5" t="s">
        <v>74</v>
      </c>
      <c r="AK47" s="5" t="s">
        <v>74</v>
      </c>
      <c r="AL47" s="5"/>
      <c r="AM47" s="5"/>
      <c r="AN47" s="5"/>
      <c r="AO47" s="5"/>
      <c r="AP47" s="5"/>
      <c r="AQ47" s="5"/>
      <c r="AR47" s="5" t="s">
        <v>74</v>
      </c>
      <c r="AS47" s="5" t="s">
        <v>74</v>
      </c>
      <c r="AT47" s="5" t="s">
        <v>74</v>
      </c>
      <c r="AU47" s="5" t="s">
        <v>74</v>
      </c>
      <c r="AV47" s="5" t="s">
        <v>74</v>
      </c>
      <c r="AW47" s="5" t="s">
        <v>74</v>
      </c>
      <c r="AX47" s="5" t="s">
        <v>74</v>
      </c>
      <c r="AY47" s="5" t="s">
        <v>74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 t="s">
        <v>74</v>
      </c>
      <c r="BQ47" s="5" t="s">
        <v>74</v>
      </c>
      <c r="BR47" s="5" t="s">
        <v>74</v>
      </c>
      <c r="BS47" s="5"/>
      <c r="BT47" s="5" t="s">
        <v>74</v>
      </c>
      <c r="BU47" s="6" t="s">
        <v>51</v>
      </c>
      <c r="BV47" s="5" t="s">
        <v>74</v>
      </c>
      <c r="BW47" s="5"/>
      <c r="BX47" s="5" t="s">
        <v>74</v>
      </c>
      <c r="BY47" s="5"/>
      <c r="BZ47" s="5"/>
      <c r="CA47" s="10" t="s">
        <v>74</v>
      </c>
      <c r="CB47" s="5" t="s">
        <v>74</v>
      </c>
      <c r="CC47" s="5" t="s">
        <v>74</v>
      </c>
      <c r="CD47" s="5" t="s">
        <v>74</v>
      </c>
      <c r="CE47" s="5" t="s">
        <v>74</v>
      </c>
      <c r="CF47" s="8"/>
      <c r="CG47" s="5"/>
      <c r="CH47" s="5" t="s">
        <v>74</v>
      </c>
      <c r="CI47" s="5" t="s">
        <v>74</v>
      </c>
      <c r="CJ47" s="8" t="s">
        <v>74</v>
      </c>
      <c r="CK47" s="5"/>
      <c r="CL47" s="5" t="s">
        <v>74</v>
      </c>
      <c r="CM47" s="5" t="s">
        <v>74</v>
      </c>
      <c r="CN47" s="5" t="s">
        <v>74</v>
      </c>
      <c r="CO47" s="5"/>
      <c r="CP47" s="5" t="s">
        <v>74</v>
      </c>
    </row>
    <row r="48" spans="1:94" ht="25.25" customHeight="1">
      <c r="A48" s="5">
        <v>47</v>
      </c>
      <c r="B48" s="9" t="s">
        <v>121</v>
      </c>
      <c r="C48" s="9">
        <v>2024201971</v>
      </c>
      <c r="D48" s="5" t="s">
        <v>112</v>
      </c>
      <c r="E48" s="5">
        <f>SUM(G48:$XET48)</f>
        <v>30</v>
      </c>
      <c r="F48" s="5">
        <f>COUNT(G48:$XFD48)</f>
        <v>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3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 t="s">
        <v>74</v>
      </c>
      <c r="AC48" s="5" t="s">
        <v>74</v>
      </c>
      <c r="AD48" s="5"/>
      <c r="AE48" s="5"/>
      <c r="AF48" s="5"/>
      <c r="AG48" s="5" t="s">
        <v>74</v>
      </c>
      <c r="AH48" s="5" t="s">
        <v>74</v>
      </c>
      <c r="AI48" s="5">
        <v>12</v>
      </c>
      <c r="AJ48" s="5" t="s">
        <v>74</v>
      </c>
      <c r="AK48" s="5">
        <v>4</v>
      </c>
      <c r="AL48" s="5"/>
      <c r="AM48" s="5"/>
      <c r="AN48" s="5"/>
      <c r="AO48" s="5"/>
      <c r="AP48" s="5"/>
      <c r="AQ48" s="5"/>
      <c r="AR48" s="5" t="s">
        <v>74</v>
      </c>
      <c r="AS48" s="5" t="s">
        <v>74</v>
      </c>
      <c r="AT48" s="5" t="s">
        <v>74</v>
      </c>
      <c r="AU48" s="5" t="s">
        <v>74</v>
      </c>
      <c r="AV48" s="5" t="s">
        <v>74</v>
      </c>
      <c r="AW48" s="5" t="s">
        <v>74</v>
      </c>
      <c r="AX48" s="5" t="s">
        <v>74</v>
      </c>
      <c r="AY48" s="5" t="s">
        <v>74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 t="s">
        <v>74</v>
      </c>
      <c r="BQ48" s="5" t="s">
        <v>74</v>
      </c>
      <c r="BR48" s="5" t="s">
        <v>74</v>
      </c>
      <c r="BS48" s="5"/>
      <c r="BT48" s="5" t="s">
        <v>74</v>
      </c>
      <c r="BU48" s="6" t="s">
        <v>51</v>
      </c>
      <c r="BV48" s="5">
        <v>1</v>
      </c>
      <c r="BW48" s="5"/>
      <c r="BX48" s="5">
        <v>6.5</v>
      </c>
      <c r="BY48" s="5"/>
      <c r="BZ48" s="5"/>
      <c r="CA48" s="10" t="s">
        <v>74</v>
      </c>
      <c r="CB48" s="5">
        <v>3</v>
      </c>
      <c r="CC48" s="5" t="s">
        <v>74</v>
      </c>
      <c r="CD48" s="5" t="s">
        <v>74</v>
      </c>
      <c r="CE48" s="5" t="s">
        <v>74</v>
      </c>
      <c r="CF48" s="8"/>
      <c r="CG48" s="5"/>
      <c r="CH48" s="5" t="s">
        <v>74</v>
      </c>
      <c r="CI48" s="5" t="s">
        <v>74</v>
      </c>
      <c r="CJ48" s="8" t="s">
        <v>74</v>
      </c>
      <c r="CK48" s="5"/>
      <c r="CL48" s="5" t="s">
        <v>74</v>
      </c>
      <c r="CM48" s="5">
        <v>0.5</v>
      </c>
      <c r="CN48" s="5" t="s">
        <v>74</v>
      </c>
      <c r="CO48" s="5"/>
      <c r="CP48" s="5" t="s">
        <v>74</v>
      </c>
    </row>
    <row r="49" spans="1:94" ht="25.25" customHeight="1">
      <c r="A49" s="5">
        <v>48</v>
      </c>
      <c r="B49" s="9" t="s">
        <v>122</v>
      </c>
      <c r="C49" s="9">
        <v>2024201996</v>
      </c>
      <c r="D49" s="5" t="s">
        <v>112</v>
      </c>
      <c r="E49" s="5">
        <f>SUM(G49:$XET49)</f>
        <v>41</v>
      </c>
      <c r="F49" s="5">
        <f>COUNT(G49:$XFD49)</f>
        <v>5</v>
      </c>
      <c r="G49" s="5"/>
      <c r="H49" s="5"/>
      <c r="I49" s="5">
        <v>4</v>
      </c>
      <c r="J49" s="5"/>
      <c r="K49" s="5"/>
      <c r="L49" s="5"/>
      <c r="M49" s="5"/>
      <c r="N49" s="5">
        <v>2</v>
      </c>
      <c r="O49" s="5"/>
      <c r="P49" s="5"/>
      <c r="Q49" s="5"/>
      <c r="R49" s="5"/>
      <c r="S49" s="5"/>
      <c r="T49" s="5"/>
      <c r="U49" s="5"/>
      <c r="V49" s="5"/>
      <c r="W49" s="5">
        <v>4</v>
      </c>
      <c r="X49" s="5">
        <v>27</v>
      </c>
      <c r="Y49" s="5"/>
      <c r="Z49" s="5"/>
      <c r="AA49" s="5"/>
      <c r="AB49" s="5" t="s">
        <v>74</v>
      </c>
      <c r="AC49" s="5" t="s">
        <v>74</v>
      </c>
      <c r="AD49" s="5"/>
      <c r="AE49" s="5"/>
      <c r="AF49" s="5"/>
      <c r="AG49" s="5" t="s">
        <v>74</v>
      </c>
      <c r="AH49" s="5" t="s">
        <v>74</v>
      </c>
      <c r="AI49" s="5" t="s">
        <v>74</v>
      </c>
      <c r="AJ49" s="5" t="s">
        <v>74</v>
      </c>
      <c r="AK49" s="5">
        <v>4</v>
      </c>
      <c r="AL49" s="5"/>
      <c r="AM49" s="5"/>
      <c r="AN49" s="5"/>
      <c r="AO49" s="5"/>
      <c r="AP49" s="5"/>
      <c r="AQ49" s="5"/>
      <c r="AR49" s="5" t="s">
        <v>74</v>
      </c>
      <c r="AS49" s="5" t="s">
        <v>74</v>
      </c>
      <c r="AT49" s="5" t="s">
        <v>74</v>
      </c>
      <c r="AU49" s="5" t="s">
        <v>74</v>
      </c>
      <c r="AV49" s="5" t="s">
        <v>74</v>
      </c>
      <c r="AW49" s="5" t="s">
        <v>74</v>
      </c>
      <c r="AX49" s="5" t="s">
        <v>74</v>
      </c>
      <c r="AY49" s="5" t="s">
        <v>74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 t="s">
        <v>74</v>
      </c>
      <c r="BQ49" s="5" t="s">
        <v>74</v>
      </c>
      <c r="BR49" s="5" t="s">
        <v>74</v>
      </c>
      <c r="BS49" s="5"/>
      <c r="BT49" s="5" t="s">
        <v>74</v>
      </c>
      <c r="BU49" s="6" t="s">
        <v>51</v>
      </c>
      <c r="BV49" s="5" t="s">
        <v>74</v>
      </c>
      <c r="BW49" s="5"/>
      <c r="BX49" s="5" t="s">
        <v>74</v>
      </c>
      <c r="BY49" s="5"/>
      <c r="BZ49" s="5"/>
      <c r="CA49" s="10" t="s">
        <v>74</v>
      </c>
      <c r="CB49" s="5" t="s">
        <v>74</v>
      </c>
      <c r="CC49" s="5" t="s">
        <v>74</v>
      </c>
      <c r="CD49" s="5" t="s">
        <v>74</v>
      </c>
      <c r="CE49" s="5" t="s">
        <v>74</v>
      </c>
      <c r="CF49" s="8"/>
      <c r="CG49" s="5"/>
      <c r="CH49" s="5" t="s">
        <v>74</v>
      </c>
      <c r="CI49" s="5" t="s">
        <v>74</v>
      </c>
      <c r="CJ49" s="8" t="s">
        <v>74</v>
      </c>
      <c r="CK49" s="5"/>
      <c r="CL49" s="5" t="s">
        <v>74</v>
      </c>
      <c r="CM49" s="5" t="s">
        <v>74</v>
      </c>
      <c r="CN49" s="5" t="s">
        <v>74</v>
      </c>
      <c r="CO49" s="5"/>
      <c r="CP49" s="5" t="s">
        <v>74</v>
      </c>
    </row>
    <row r="50" spans="1:94" ht="25.25" customHeight="1">
      <c r="A50" s="5">
        <v>49</v>
      </c>
      <c r="B50" s="9" t="s">
        <v>123</v>
      </c>
      <c r="C50" s="9">
        <v>2024202053</v>
      </c>
      <c r="D50" s="5" t="s">
        <v>112</v>
      </c>
      <c r="E50" s="5">
        <f>SUM(G50:$XET50)</f>
        <v>25.5</v>
      </c>
      <c r="F50" s="5">
        <f>COUNT(G50:$XFD50)</f>
        <v>5</v>
      </c>
      <c r="G50" s="5"/>
      <c r="H50" s="5"/>
      <c r="I50" s="5">
        <v>4</v>
      </c>
      <c r="J50" s="5"/>
      <c r="K50" s="5"/>
      <c r="L50" s="5"/>
      <c r="M50" s="5"/>
      <c r="N50" s="5"/>
      <c r="O50" s="5"/>
      <c r="P50" s="5"/>
      <c r="Q50" s="5"/>
      <c r="R50" s="5">
        <v>14.5</v>
      </c>
      <c r="S50" s="5"/>
      <c r="T50" s="5"/>
      <c r="U50" s="5"/>
      <c r="V50" s="5"/>
      <c r="W50" s="5"/>
      <c r="X50" s="5"/>
      <c r="Y50" s="5"/>
      <c r="Z50" s="5"/>
      <c r="AA50" s="5"/>
      <c r="AB50" s="5" t="s">
        <v>74</v>
      </c>
      <c r="AC50" s="5" t="s">
        <v>74</v>
      </c>
      <c r="AD50" s="5"/>
      <c r="AE50" s="5"/>
      <c r="AF50" s="5"/>
      <c r="AG50" s="5" t="s">
        <v>74</v>
      </c>
      <c r="AH50" s="5" t="s">
        <v>74</v>
      </c>
      <c r="AI50" s="5" t="s">
        <v>74</v>
      </c>
      <c r="AJ50" s="5">
        <v>2</v>
      </c>
      <c r="AK50" s="5">
        <v>4</v>
      </c>
      <c r="AL50" s="5"/>
      <c r="AM50" s="5"/>
      <c r="AN50" s="5"/>
      <c r="AO50" s="5"/>
      <c r="AP50" s="5"/>
      <c r="AQ50" s="5"/>
      <c r="AR50" s="5" t="s">
        <v>74</v>
      </c>
      <c r="AS50" s="5" t="s">
        <v>74</v>
      </c>
      <c r="AT50" s="5" t="s">
        <v>74</v>
      </c>
      <c r="AU50" s="5" t="s">
        <v>74</v>
      </c>
      <c r="AV50" s="5" t="s">
        <v>74</v>
      </c>
      <c r="AW50" s="5" t="s">
        <v>74</v>
      </c>
      <c r="AX50" s="5" t="s">
        <v>74</v>
      </c>
      <c r="AY50" s="5" t="s">
        <v>74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 t="s">
        <v>74</v>
      </c>
      <c r="BQ50" s="5" t="s">
        <v>74</v>
      </c>
      <c r="BR50" s="5" t="s">
        <v>74</v>
      </c>
      <c r="BS50" s="5"/>
      <c r="BT50" s="5" t="s">
        <v>74</v>
      </c>
      <c r="BU50" s="6" t="s">
        <v>51</v>
      </c>
      <c r="BV50" s="5" t="s">
        <v>74</v>
      </c>
      <c r="BW50" s="5"/>
      <c r="BX50" s="5" t="s">
        <v>74</v>
      </c>
      <c r="BY50" s="5"/>
      <c r="BZ50" s="5"/>
      <c r="CA50" s="10" t="s">
        <v>74</v>
      </c>
      <c r="CB50" s="5" t="s">
        <v>74</v>
      </c>
      <c r="CC50" s="5" t="s">
        <v>74</v>
      </c>
      <c r="CD50" s="5" t="s">
        <v>74</v>
      </c>
      <c r="CE50" s="5">
        <v>1</v>
      </c>
      <c r="CF50" s="8"/>
      <c r="CG50" s="5"/>
      <c r="CH50" s="5" t="s">
        <v>74</v>
      </c>
      <c r="CI50" s="5" t="s">
        <v>74</v>
      </c>
      <c r="CJ50" s="8" t="s">
        <v>74</v>
      </c>
      <c r="CK50" s="5"/>
      <c r="CL50" s="5" t="s">
        <v>74</v>
      </c>
      <c r="CM50" s="5" t="s">
        <v>74</v>
      </c>
      <c r="CN50" s="5" t="s">
        <v>74</v>
      </c>
      <c r="CO50" s="5"/>
      <c r="CP50" s="5" t="s">
        <v>74</v>
      </c>
    </row>
    <row r="51" spans="1:94" ht="25.25" customHeight="1">
      <c r="A51" s="5">
        <v>50</v>
      </c>
      <c r="B51" s="9" t="s">
        <v>124</v>
      </c>
      <c r="C51" s="9">
        <v>2024202111</v>
      </c>
      <c r="D51" s="5" t="s">
        <v>112</v>
      </c>
      <c r="E51" s="5">
        <f>SUM(G51:$XET51)</f>
        <v>32.5</v>
      </c>
      <c r="F51" s="5">
        <f>COUNT(G51:$XFD51)</f>
        <v>9</v>
      </c>
      <c r="G51" s="5"/>
      <c r="H51" s="5"/>
      <c r="I51" s="5"/>
      <c r="J51" s="5">
        <v>3</v>
      </c>
      <c r="K51" s="5"/>
      <c r="L51" s="5"/>
      <c r="M51" s="5"/>
      <c r="N51" s="5">
        <v>2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4</v>
      </c>
      <c r="AA51" s="5"/>
      <c r="AB51" s="5">
        <v>3.5</v>
      </c>
      <c r="AC51" s="5" t="s">
        <v>74</v>
      </c>
      <c r="AD51" s="5"/>
      <c r="AE51" s="5"/>
      <c r="AF51" s="5"/>
      <c r="AG51" s="5" t="s">
        <v>74</v>
      </c>
      <c r="AH51" s="5" t="s">
        <v>74</v>
      </c>
      <c r="AI51" s="5" t="s">
        <v>74</v>
      </c>
      <c r="AJ51" s="5" t="s">
        <v>74</v>
      </c>
      <c r="AK51" s="5" t="s">
        <v>74</v>
      </c>
      <c r="AL51" s="5"/>
      <c r="AM51" s="5"/>
      <c r="AN51" s="5"/>
      <c r="AO51" s="5"/>
      <c r="AP51" s="5"/>
      <c r="AQ51" s="5"/>
      <c r="AR51" s="5" t="s">
        <v>74</v>
      </c>
      <c r="AS51" s="5">
        <v>12</v>
      </c>
      <c r="AT51" s="5" t="s">
        <v>74</v>
      </c>
      <c r="AU51" s="5" t="s">
        <v>74</v>
      </c>
      <c r="AV51" s="5" t="s">
        <v>74</v>
      </c>
      <c r="AW51" s="5" t="s">
        <v>74</v>
      </c>
      <c r="AX51" s="5" t="s">
        <v>74</v>
      </c>
      <c r="AY51" s="5" t="s">
        <v>74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>
        <v>4</v>
      </c>
      <c r="BQ51" s="5" t="s">
        <v>74</v>
      </c>
      <c r="BR51" s="5" t="s">
        <v>74</v>
      </c>
      <c r="BS51" s="5"/>
      <c r="BT51" s="5" t="s">
        <v>74</v>
      </c>
      <c r="BU51" s="6" t="s">
        <v>51</v>
      </c>
      <c r="BV51" s="5">
        <v>1</v>
      </c>
      <c r="BW51" s="5"/>
      <c r="BX51" s="5" t="s">
        <v>74</v>
      </c>
      <c r="BY51" s="5"/>
      <c r="BZ51" s="5"/>
      <c r="CA51" s="10" t="s">
        <v>74</v>
      </c>
      <c r="CB51" s="5" t="s">
        <v>74</v>
      </c>
      <c r="CC51" s="5" t="s">
        <v>74</v>
      </c>
      <c r="CD51" s="5" t="s">
        <v>74</v>
      </c>
      <c r="CE51" s="5">
        <v>2</v>
      </c>
      <c r="CF51" s="8"/>
      <c r="CG51" s="5"/>
      <c r="CH51" s="5" t="s">
        <v>74</v>
      </c>
      <c r="CI51" s="5" t="s">
        <v>74</v>
      </c>
      <c r="CJ51" s="8" t="s">
        <v>74</v>
      </c>
      <c r="CK51" s="5"/>
      <c r="CL51" s="5" t="s">
        <v>74</v>
      </c>
      <c r="CM51" s="5">
        <v>1</v>
      </c>
      <c r="CN51" s="5" t="s">
        <v>74</v>
      </c>
      <c r="CO51" s="5"/>
      <c r="CP51" s="5" t="s">
        <v>74</v>
      </c>
    </row>
    <row r="52" spans="1:94" ht="25.25" customHeight="1">
      <c r="A52" s="5">
        <v>51</v>
      </c>
      <c r="B52" s="9" t="s">
        <v>125</v>
      </c>
      <c r="C52" s="9">
        <v>2024202144</v>
      </c>
      <c r="D52" s="5" t="s">
        <v>112</v>
      </c>
      <c r="E52" s="5">
        <f>SUM(G52:$XET52)</f>
        <v>45.5</v>
      </c>
      <c r="F52" s="5">
        <f>COUNT(G52:$XFD52)</f>
        <v>9</v>
      </c>
      <c r="G52" s="5"/>
      <c r="H52" s="5"/>
      <c r="I52" s="5">
        <v>4.5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8</v>
      </c>
      <c r="V52" s="5"/>
      <c r="W52" s="5">
        <v>5</v>
      </c>
      <c r="X52" s="5"/>
      <c r="Y52" s="5"/>
      <c r="Z52" s="5">
        <v>4</v>
      </c>
      <c r="AA52" s="5"/>
      <c r="AB52" s="5" t="s">
        <v>74</v>
      </c>
      <c r="AC52" s="5" t="s">
        <v>74</v>
      </c>
      <c r="AD52" s="5"/>
      <c r="AE52" s="5"/>
      <c r="AF52" s="5"/>
      <c r="AG52" s="5" t="s">
        <v>74</v>
      </c>
      <c r="AH52" s="5" t="s">
        <v>74</v>
      </c>
      <c r="AI52" s="5" t="s">
        <v>74</v>
      </c>
      <c r="AJ52" s="5">
        <v>2</v>
      </c>
      <c r="AK52" s="5">
        <v>4</v>
      </c>
      <c r="AL52" s="5"/>
      <c r="AM52" s="5"/>
      <c r="AN52" s="5"/>
      <c r="AO52" s="5"/>
      <c r="AP52" s="5"/>
      <c r="AQ52" s="5"/>
      <c r="AR52" s="5" t="s">
        <v>74</v>
      </c>
      <c r="AS52" s="5" t="s">
        <v>74</v>
      </c>
      <c r="AT52" s="5" t="s">
        <v>74</v>
      </c>
      <c r="AU52" s="5" t="s">
        <v>74</v>
      </c>
      <c r="AV52" s="5" t="s">
        <v>74</v>
      </c>
      <c r="AW52" s="5" t="s">
        <v>74</v>
      </c>
      <c r="AX52" s="5" t="s">
        <v>74</v>
      </c>
      <c r="AY52" s="5" t="s">
        <v>74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 t="s">
        <v>74</v>
      </c>
      <c r="BQ52" s="5" t="s">
        <v>74</v>
      </c>
      <c r="BR52" s="5" t="s">
        <v>74</v>
      </c>
      <c r="BS52" s="5"/>
      <c r="BT52" s="5" t="s">
        <v>74</v>
      </c>
      <c r="BU52" s="6" t="s">
        <v>51</v>
      </c>
      <c r="BV52" s="5" t="s">
        <v>74</v>
      </c>
      <c r="BW52" s="5"/>
      <c r="BX52" s="5">
        <v>13</v>
      </c>
      <c r="BY52" s="5"/>
      <c r="BZ52" s="5">
        <v>3</v>
      </c>
      <c r="CA52" s="10" t="s">
        <v>74</v>
      </c>
      <c r="CB52" s="5" t="s">
        <v>74</v>
      </c>
      <c r="CC52" s="5" t="s">
        <v>74</v>
      </c>
      <c r="CD52" s="5" t="s">
        <v>74</v>
      </c>
      <c r="CE52" s="5" t="s">
        <v>74</v>
      </c>
      <c r="CF52" s="8"/>
      <c r="CG52" s="5"/>
      <c r="CH52" s="5" t="s">
        <v>74</v>
      </c>
      <c r="CI52" s="5" t="s">
        <v>74</v>
      </c>
      <c r="CJ52" s="8" t="s">
        <v>74</v>
      </c>
      <c r="CK52" s="5"/>
      <c r="CL52" s="5" t="s">
        <v>74</v>
      </c>
      <c r="CM52" s="5">
        <v>2</v>
      </c>
      <c r="CN52" s="5" t="s">
        <v>74</v>
      </c>
      <c r="CO52" s="5"/>
      <c r="CP52" s="5" t="s">
        <v>74</v>
      </c>
    </row>
    <row r="53" spans="1:94" ht="25.25" customHeight="1">
      <c r="A53" s="5">
        <v>52</v>
      </c>
      <c r="B53" s="9" t="s">
        <v>126</v>
      </c>
      <c r="C53" s="9">
        <v>2024202008</v>
      </c>
      <c r="D53" s="5" t="s">
        <v>112</v>
      </c>
      <c r="E53" s="5">
        <f>SUM(G53:$XET53)</f>
        <v>13</v>
      </c>
      <c r="F53" s="5">
        <f>COUNT(G53:$XFD53)</f>
        <v>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4</v>
      </c>
      <c r="V53" s="5"/>
      <c r="W53" s="5">
        <v>6</v>
      </c>
      <c r="X53" s="5"/>
      <c r="Y53" s="5"/>
      <c r="Z53" s="5"/>
      <c r="AA53" s="5"/>
      <c r="AB53" s="5" t="s">
        <v>74</v>
      </c>
      <c r="AC53" s="5" t="s">
        <v>74</v>
      </c>
      <c r="AD53" s="5"/>
      <c r="AE53" s="5"/>
      <c r="AF53" s="5"/>
      <c r="AG53" s="5" t="s">
        <v>74</v>
      </c>
      <c r="AH53" s="5" t="s">
        <v>74</v>
      </c>
      <c r="AI53" s="5" t="s">
        <v>74</v>
      </c>
      <c r="AJ53" s="5" t="s">
        <v>74</v>
      </c>
      <c r="AK53" s="5" t="s">
        <v>74</v>
      </c>
      <c r="AL53" s="5"/>
      <c r="AM53" s="5"/>
      <c r="AN53" s="5"/>
      <c r="AO53" s="5"/>
      <c r="AP53" s="5"/>
      <c r="AQ53" s="5"/>
      <c r="AR53" s="5" t="s">
        <v>74</v>
      </c>
      <c r="AS53" s="5" t="s">
        <v>74</v>
      </c>
      <c r="AT53" s="5" t="s">
        <v>74</v>
      </c>
      <c r="AU53" s="5" t="s">
        <v>74</v>
      </c>
      <c r="AV53" s="5" t="s">
        <v>74</v>
      </c>
      <c r="AW53" s="5" t="s">
        <v>74</v>
      </c>
      <c r="AX53" s="5" t="s">
        <v>74</v>
      </c>
      <c r="AY53" s="5" t="s">
        <v>74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 t="s">
        <v>74</v>
      </c>
      <c r="BQ53" s="5" t="s">
        <v>74</v>
      </c>
      <c r="BR53" s="5" t="s">
        <v>74</v>
      </c>
      <c r="BS53" s="5"/>
      <c r="BT53" s="5" t="s">
        <v>74</v>
      </c>
      <c r="BU53" s="6" t="s">
        <v>51</v>
      </c>
      <c r="BV53" s="5">
        <v>1</v>
      </c>
      <c r="BW53" s="5"/>
      <c r="BX53" s="5" t="s">
        <v>74</v>
      </c>
      <c r="BY53" s="5"/>
      <c r="BZ53" s="5"/>
      <c r="CA53" s="10" t="s">
        <v>74</v>
      </c>
      <c r="CB53" s="5" t="s">
        <v>74</v>
      </c>
      <c r="CC53" s="5" t="s">
        <v>74</v>
      </c>
      <c r="CD53" s="5" t="s">
        <v>74</v>
      </c>
      <c r="CE53" s="5">
        <v>2</v>
      </c>
      <c r="CF53" s="8"/>
      <c r="CG53" s="5"/>
      <c r="CH53" s="5" t="s">
        <v>74</v>
      </c>
      <c r="CI53" s="5" t="s">
        <v>74</v>
      </c>
      <c r="CJ53" s="8" t="s">
        <v>74</v>
      </c>
      <c r="CK53" s="5"/>
      <c r="CL53" s="5" t="s">
        <v>74</v>
      </c>
      <c r="CM53" s="5" t="s">
        <v>74</v>
      </c>
      <c r="CN53" s="5" t="s">
        <v>74</v>
      </c>
      <c r="CO53" s="5"/>
      <c r="CP53" s="5" t="s">
        <v>74</v>
      </c>
    </row>
    <row r="54" spans="1:94" ht="25.25" customHeight="1">
      <c r="A54" s="5">
        <v>53</v>
      </c>
      <c r="B54" s="9" t="s">
        <v>127</v>
      </c>
      <c r="C54" s="9">
        <v>2024202119</v>
      </c>
      <c r="D54" s="5" t="s">
        <v>112</v>
      </c>
      <c r="E54" s="5">
        <f>SUM(G54:$XET54)</f>
        <v>78</v>
      </c>
      <c r="F54" s="5">
        <f>COUNT(G54:$XFD54)</f>
        <v>14</v>
      </c>
      <c r="G54" s="5"/>
      <c r="H54" s="5"/>
      <c r="I54" s="5"/>
      <c r="J54" s="5"/>
      <c r="K54" s="5">
        <v>9</v>
      </c>
      <c r="L54" s="5"/>
      <c r="M54" s="5"/>
      <c r="N54" s="5"/>
      <c r="O54" s="5"/>
      <c r="P54" s="5"/>
      <c r="Q54" s="5">
        <v>3</v>
      </c>
      <c r="R54" s="5">
        <v>14.5</v>
      </c>
      <c r="S54" s="5"/>
      <c r="T54" s="5"/>
      <c r="U54" s="5"/>
      <c r="V54" s="5"/>
      <c r="W54" s="5">
        <v>3</v>
      </c>
      <c r="X54" s="5"/>
      <c r="Y54" s="5"/>
      <c r="Z54" s="5"/>
      <c r="AA54" s="5">
        <v>4</v>
      </c>
      <c r="AB54" s="5">
        <v>3.5</v>
      </c>
      <c r="AC54" s="5">
        <v>2</v>
      </c>
      <c r="AD54" s="5"/>
      <c r="AE54" s="5"/>
      <c r="AF54" s="5"/>
      <c r="AG54" s="5" t="s">
        <v>74</v>
      </c>
      <c r="AH54" s="5" t="s">
        <v>74</v>
      </c>
      <c r="AI54" s="5" t="s">
        <v>74</v>
      </c>
      <c r="AJ54" s="5">
        <v>2</v>
      </c>
      <c r="AK54" s="5">
        <v>4</v>
      </c>
      <c r="AL54" s="5"/>
      <c r="AM54" s="5"/>
      <c r="AN54" s="5"/>
      <c r="AO54" s="5"/>
      <c r="AP54" s="5"/>
      <c r="AQ54" s="5"/>
      <c r="AR54" s="5" t="s">
        <v>74</v>
      </c>
      <c r="AS54" s="5">
        <v>15</v>
      </c>
      <c r="AT54" s="5" t="s">
        <v>74</v>
      </c>
      <c r="AU54" s="5" t="s">
        <v>74</v>
      </c>
      <c r="AV54" s="5" t="s">
        <v>74</v>
      </c>
      <c r="AW54" s="5" t="s">
        <v>74</v>
      </c>
      <c r="AX54" s="5" t="s">
        <v>74</v>
      </c>
      <c r="AY54" s="5" t="s">
        <v>74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 t="s">
        <v>74</v>
      </c>
      <c r="BQ54" s="5" t="s">
        <v>74</v>
      </c>
      <c r="BR54" s="5" t="s">
        <v>74</v>
      </c>
      <c r="BS54" s="5"/>
      <c r="BT54" s="5" t="s">
        <v>74</v>
      </c>
      <c r="BU54" s="6" t="s">
        <v>51</v>
      </c>
      <c r="BV54" s="5" t="s">
        <v>74</v>
      </c>
      <c r="BW54" s="5"/>
      <c r="BX54" s="5">
        <v>8</v>
      </c>
      <c r="BY54" s="5"/>
      <c r="BZ54" s="5"/>
      <c r="CA54" s="10">
        <v>4</v>
      </c>
      <c r="CB54" s="5" t="s">
        <v>74</v>
      </c>
      <c r="CC54" s="5" t="s">
        <v>74</v>
      </c>
      <c r="CD54" s="5" t="s">
        <v>74</v>
      </c>
      <c r="CE54" s="5">
        <v>2</v>
      </c>
      <c r="CF54" s="8"/>
      <c r="CG54" s="5"/>
      <c r="CH54" s="5" t="s">
        <v>74</v>
      </c>
      <c r="CI54" s="5" t="s">
        <v>74</v>
      </c>
      <c r="CJ54" s="8" t="s">
        <v>74</v>
      </c>
      <c r="CK54" s="5">
        <v>4</v>
      </c>
      <c r="CL54" s="5" t="s">
        <v>74</v>
      </c>
      <c r="CM54" s="5" t="s">
        <v>74</v>
      </c>
      <c r="CN54" s="5" t="s">
        <v>74</v>
      </c>
      <c r="CO54" s="5"/>
      <c r="CP54" s="5" t="s">
        <v>74</v>
      </c>
    </row>
    <row r="55" spans="1:94" ht="25.25" customHeight="1">
      <c r="A55" s="5">
        <v>54</v>
      </c>
      <c r="B55" s="9" t="s">
        <v>128</v>
      </c>
      <c r="C55" s="9">
        <v>2024202893</v>
      </c>
      <c r="D55" s="5" t="s">
        <v>112</v>
      </c>
      <c r="E55" s="5">
        <f>SUM(G55:$XET55)</f>
        <v>17</v>
      </c>
      <c r="F55" s="5">
        <f>COUNT(G55:$XFD55)</f>
        <v>5</v>
      </c>
      <c r="G55" s="5"/>
      <c r="H55" s="5"/>
      <c r="I55" s="5"/>
      <c r="J55" s="5"/>
      <c r="K55" s="5"/>
      <c r="L55" s="5"/>
      <c r="M55" s="5"/>
      <c r="N55" s="5">
        <v>2</v>
      </c>
      <c r="O55" s="5"/>
      <c r="P55" s="5"/>
      <c r="Q55" s="5"/>
      <c r="R55" s="5"/>
      <c r="S55" s="5"/>
      <c r="T55" s="5"/>
      <c r="U55" s="5">
        <v>4</v>
      </c>
      <c r="V55" s="5"/>
      <c r="W55" s="5">
        <v>4</v>
      </c>
      <c r="X55" s="5"/>
      <c r="Y55" s="5"/>
      <c r="Z55" s="5"/>
      <c r="AA55" s="5"/>
      <c r="AB55" s="5" t="s">
        <v>74</v>
      </c>
      <c r="AC55" s="5">
        <v>4</v>
      </c>
      <c r="AD55" s="5"/>
      <c r="AE55" s="5"/>
      <c r="AF55" s="5"/>
      <c r="AG55" s="5" t="s">
        <v>74</v>
      </c>
      <c r="AH55" s="5" t="s">
        <v>74</v>
      </c>
      <c r="AI55" s="5" t="s">
        <v>74</v>
      </c>
      <c r="AJ55" s="5" t="s">
        <v>74</v>
      </c>
      <c r="AK55" s="5" t="s">
        <v>74</v>
      </c>
      <c r="AL55" s="5"/>
      <c r="AM55" s="5"/>
      <c r="AN55" s="5"/>
      <c r="AO55" s="5"/>
      <c r="AP55" s="5"/>
      <c r="AQ55" s="5"/>
      <c r="AR55" s="5" t="s">
        <v>74</v>
      </c>
      <c r="AS55" s="5" t="s">
        <v>74</v>
      </c>
      <c r="AT55" s="5" t="s">
        <v>74</v>
      </c>
      <c r="AU55" s="5" t="s">
        <v>74</v>
      </c>
      <c r="AV55" s="5" t="s">
        <v>74</v>
      </c>
      <c r="AW55" s="5" t="s">
        <v>74</v>
      </c>
      <c r="AX55" s="5" t="s">
        <v>74</v>
      </c>
      <c r="AY55" s="5" t="s">
        <v>74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 t="s">
        <v>74</v>
      </c>
      <c r="BQ55" s="5" t="s">
        <v>74</v>
      </c>
      <c r="BR55" s="5" t="s">
        <v>74</v>
      </c>
      <c r="BS55" s="5"/>
      <c r="BT55" s="5" t="s">
        <v>74</v>
      </c>
      <c r="BU55" s="6" t="s">
        <v>51</v>
      </c>
      <c r="BV55" s="5">
        <v>3</v>
      </c>
      <c r="BW55" s="5"/>
      <c r="BX55" s="5" t="s">
        <v>74</v>
      </c>
      <c r="BY55" s="5"/>
      <c r="BZ55" s="5"/>
      <c r="CA55" s="10" t="s">
        <v>74</v>
      </c>
      <c r="CB55" s="5" t="s">
        <v>74</v>
      </c>
      <c r="CC55" s="5" t="s">
        <v>74</v>
      </c>
      <c r="CD55" s="5" t="s">
        <v>74</v>
      </c>
      <c r="CE55" s="5" t="s">
        <v>74</v>
      </c>
      <c r="CF55" s="8"/>
      <c r="CG55" s="5"/>
      <c r="CH55" s="5" t="s">
        <v>74</v>
      </c>
      <c r="CI55" s="5" t="s">
        <v>74</v>
      </c>
      <c r="CJ55" s="8" t="s">
        <v>74</v>
      </c>
      <c r="CK55" s="5"/>
      <c r="CL55" s="5" t="s">
        <v>74</v>
      </c>
      <c r="CM55" s="5" t="s">
        <v>74</v>
      </c>
      <c r="CN55" s="5" t="s">
        <v>74</v>
      </c>
      <c r="CO55" s="5"/>
      <c r="CP55" s="5" t="s">
        <v>74</v>
      </c>
    </row>
    <row r="56" spans="1:94" ht="25.25" customHeight="1">
      <c r="A56" s="5">
        <v>55</v>
      </c>
      <c r="B56" s="9" t="s">
        <v>129</v>
      </c>
      <c r="C56" s="9">
        <v>2024202896</v>
      </c>
      <c r="D56" s="5" t="s">
        <v>112</v>
      </c>
      <c r="E56" s="5">
        <f>SUM(G56:$XET56)</f>
        <v>84</v>
      </c>
      <c r="F56" s="5">
        <f>COUNT(G56:$XFD56)</f>
        <v>11</v>
      </c>
      <c r="G56" s="5"/>
      <c r="H56" s="5"/>
      <c r="I56" s="5"/>
      <c r="J56" s="5"/>
      <c r="K56" s="5"/>
      <c r="L56" s="5"/>
      <c r="M56" s="5"/>
      <c r="N56" s="5">
        <v>2</v>
      </c>
      <c r="O56" s="5"/>
      <c r="P56" s="5"/>
      <c r="Q56" s="5"/>
      <c r="R56" s="5">
        <v>14.5</v>
      </c>
      <c r="S56" s="5"/>
      <c r="T56" s="5"/>
      <c r="U56" s="5">
        <v>4</v>
      </c>
      <c r="V56" s="5"/>
      <c r="W56" s="5"/>
      <c r="X56" s="5">
        <v>35</v>
      </c>
      <c r="Y56" s="5"/>
      <c r="Z56" s="5">
        <v>4</v>
      </c>
      <c r="AA56" s="5"/>
      <c r="AB56" s="5" t="s">
        <v>74</v>
      </c>
      <c r="AC56" s="5">
        <v>2</v>
      </c>
      <c r="AD56" s="5"/>
      <c r="AE56" s="5"/>
      <c r="AF56" s="5"/>
      <c r="AG56" s="5" t="s">
        <v>74</v>
      </c>
      <c r="AH56" s="5" t="s">
        <v>74</v>
      </c>
      <c r="AI56" s="5" t="s">
        <v>74</v>
      </c>
      <c r="AJ56" s="5">
        <v>2</v>
      </c>
      <c r="AK56" s="5">
        <v>4</v>
      </c>
      <c r="AL56" s="5"/>
      <c r="AM56" s="5"/>
      <c r="AN56" s="5"/>
      <c r="AO56" s="5"/>
      <c r="AP56" s="5"/>
      <c r="AQ56" s="5"/>
      <c r="AR56" s="5" t="s">
        <v>74</v>
      </c>
      <c r="AS56" s="5" t="s">
        <v>74</v>
      </c>
      <c r="AT56" s="5" t="s">
        <v>74</v>
      </c>
      <c r="AU56" s="5" t="s">
        <v>74</v>
      </c>
      <c r="AV56" s="5" t="s">
        <v>74</v>
      </c>
      <c r="AW56" s="5" t="s">
        <v>74</v>
      </c>
      <c r="AX56" s="5" t="s">
        <v>74</v>
      </c>
      <c r="AY56" s="5" t="s">
        <v>74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 t="s">
        <v>74</v>
      </c>
      <c r="BQ56" s="5" t="s">
        <v>74</v>
      </c>
      <c r="BR56" s="5" t="s">
        <v>74</v>
      </c>
      <c r="BS56" s="5"/>
      <c r="BT56" s="5" t="s">
        <v>74</v>
      </c>
      <c r="BU56" s="6" t="s">
        <v>51</v>
      </c>
      <c r="BV56" s="5" t="s">
        <v>74</v>
      </c>
      <c r="BW56" s="5"/>
      <c r="BX56" s="5">
        <v>9</v>
      </c>
      <c r="BY56" s="5"/>
      <c r="BZ56" s="5"/>
      <c r="CA56" s="10" t="s">
        <v>74</v>
      </c>
      <c r="CB56" s="5" t="s">
        <v>74</v>
      </c>
      <c r="CC56" s="5" t="s">
        <v>74</v>
      </c>
      <c r="CD56" s="5" t="s">
        <v>74</v>
      </c>
      <c r="CE56" s="5">
        <v>2</v>
      </c>
      <c r="CF56" s="8"/>
      <c r="CG56" s="5"/>
      <c r="CH56" s="5">
        <v>5.5</v>
      </c>
      <c r="CI56" s="5" t="s">
        <v>74</v>
      </c>
      <c r="CJ56" s="8" t="s">
        <v>74</v>
      </c>
      <c r="CK56" s="5"/>
      <c r="CL56" s="5" t="s">
        <v>74</v>
      </c>
      <c r="CM56" s="5" t="s">
        <v>74</v>
      </c>
      <c r="CN56" s="5" t="s">
        <v>74</v>
      </c>
      <c r="CO56" s="5"/>
      <c r="CP56" s="5" t="s">
        <v>74</v>
      </c>
    </row>
    <row r="57" spans="1:94" ht="25.25" customHeight="1">
      <c r="A57" s="5">
        <v>56</v>
      </c>
      <c r="B57" s="9" t="s">
        <v>130</v>
      </c>
      <c r="C57" s="9">
        <v>2024202200</v>
      </c>
      <c r="D57" s="5" t="s">
        <v>112</v>
      </c>
      <c r="E57" s="5">
        <f>SUM(G57:$XET57)</f>
        <v>36.25</v>
      </c>
      <c r="F57" s="5">
        <f>COUNT(G57:$XFD57)</f>
        <v>9</v>
      </c>
      <c r="G57" s="5"/>
      <c r="H57" s="5"/>
      <c r="I57" s="5"/>
      <c r="J57" s="5"/>
      <c r="K57" s="5"/>
      <c r="L57" s="5"/>
      <c r="M57" s="5"/>
      <c r="N57" s="5">
        <v>2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>
        <v>4</v>
      </c>
      <c r="AA57" s="5"/>
      <c r="AB57" s="5">
        <v>3</v>
      </c>
      <c r="AC57" s="5">
        <v>2.75</v>
      </c>
      <c r="AD57" s="5">
        <v>4</v>
      </c>
      <c r="AE57" s="5"/>
      <c r="AF57" s="5"/>
      <c r="AG57" s="5" t="s">
        <v>74</v>
      </c>
      <c r="AH57" s="5" t="s">
        <v>74</v>
      </c>
      <c r="AI57" s="5" t="s">
        <v>74</v>
      </c>
      <c r="AJ57" s="5" t="s">
        <v>74</v>
      </c>
      <c r="AK57" s="5" t="s">
        <v>74</v>
      </c>
      <c r="AL57" s="5"/>
      <c r="AM57" s="5"/>
      <c r="AN57" s="5"/>
      <c r="AO57" s="5"/>
      <c r="AP57" s="5"/>
      <c r="AQ57" s="5"/>
      <c r="AR57" s="5" t="s">
        <v>74</v>
      </c>
      <c r="AS57" s="5" t="s">
        <v>74</v>
      </c>
      <c r="AT57" s="5" t="s">
        <v>74</v>
      </c>
      <c r="AU57" s="5">
        <v>5</v>
      </c>
      <c r="AV57" s="5" t="s">
        <v>74</v>
      </c>
      <c r="AW57" s="5" t="s">
        <v>74</v>
      </c>
      <c r="AX57" s="5" t="s">
        <v>74</v>
      </c>
      <c r="AY57" s="5" t="s">
        <v>74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 t="s">
        <v>74</v>
      </c>
      <c r="BQ57" s="5" t="s">
        <v>74</v>
      </c>
      <c r="BR57" s="5" t="s">
        <v>74</v>
      </c>
      <c r="BS57" s="5"/>
      <c r="BT57" s="5" t="s">
        <v>74</v>
      </c>
      <c r="BU57" s="6" t="s">
        <v>51</v>
      </c>
      <c r="BV57" s="5" t="s">
        <v>74</v>
      </c>
      <c r="BW57" s="5"/>
      <c r="BX57" s="5">
        <v>9</v>
      </c>
      <c r="BY57" s="5"/>
      <c r="BZ57" s="5"/>
      <c r="CA57" s="10" t="s">
        <v>74</v>
      </c>
      <c r="CB57" s="5" t="s">
        <v>74</v>
      </c>
      <c r="CC57" s="5" t="s">
        <v>74</v>
      </c>
      <c r="CD57" s="5" t="s">
        <v>74</v>
      </c>
      <c r="CE57" s="5" t="s">
        <v>74</v>
      </c>
      <c r="CF57" s="8"/>
      <c r="CG57" s="5"/>
      <c r="CH57" s="5" t="s">
        <v>74</v>
      </c>
      <c r="CI57" s="5" t="s">
        <v>74</v>
      </c>
      <c r="CJ57" s="8">
        <v>6</v>
      </c>
      <c r="CK57" s="5"/>
      <c r="CL57" s="5" t="s">
        <v>74</v>
      </c>
      <c r="CM57" s="5">
        <v>0.5</v>
      </c>
      <c r="CN57" s="5" t="s">
        <v>74</v>
      </c>
      <c r="CO57" s="5"/>
      <c r="CP57" s="5" t="s">
        <v>74</v>
      </c>
    </row>
    <row r="58" spans="1:94" ht="25.25" customHeight="1">
      <c r="A58" s="5">
        <v>57</v>
      </c>
      <c r="B58" s="9" t="s">
        <v>131</v>
      </c>
      <c r="C58" s="9">
        <v>2024202121</v>
      </c>
      <c r="D58" s="5" t="s">
        <v>112</v>
      </c>
      <c r="E58" s="5">
        <f>SUM(G58:$XET58)</f>
        <v>62</v>
      </c>
      <c r="F58" s="5">
        <f>COUNT(G58:$XFD58)</f>
        <v>12</v>
      </c>
      <c r="G58" s="5"/>
      <c r="H58" s="5"/>
      <c r="I58" s="5"/>
      <c r="J58" s="5"/>
      <c r="K58" s="5"/>
      <c r="L58" s="5"/>
      <c r="M58" s="5"/>
      <c r="N58" s="5">
        <v>1</v>
      </c>
      <c r="O58" s="5"/>
      <c r="P58" s="5"/>
      <c r="Q58" s="5">
        <v>3</v>
      </c>
      <c r="R58" s="5">
        <v>14.5</v>
      </c>
      <c r="S58" s="5"/>
      <c r="T58" s="5"/>
      <c r="U58" s="5"/>
      <c r="V58" s="5"/>
      <c r="W58" s="5">
        <v>5</v>
      </c>
      <c r="X58" s="5"/>
      <c r="Y58" s="5"/>
      <c r="Z58" s="5">
        <v>4</v>
      </c>
      <c r="AA58" s="5"/>
      <c r="AB58" s="5" t="s">
        <v>74</v>
      </c>
      <c r="AC58" s="5" t="s">
        <v>74</v>
      </c>
      <c r="AD58" s="5"/>
      <c r="AE58" s="5"/>
      <c r="AF58" s="5"/>
      <c r="AG58" s="5" t="s">
        <v>74</v>
      </c>
      <c r="AH58" s="5" t="s">
        <v>74</v>
      </c>
      <c r="AI58" s="5" t="s">
        <v>74</v>
      </c>
      <c r="AJ58" s="5">
        <v>4</v>
      </c>
      <c r="AK58" s="5">
        <v>4</v>
      </c>
      <c r="AL58" s="5"/>
      <c r="AM58" s="5"/>
      <c r="AN58" s="5"/>
      <c r="AO58" s="5"/>
      <c r="AP58" s="5"/>
      <c r="AQ58" s="5"/>
      <c r="AR58" s="5" t="s">
        <v>74</v>
      </c>
      <c r="AS58" s="5" t="s">
        <v>74</v>
      </c>
      <c r="AT58" s="5" t="s">
        <v>74</v>
      </c>
      <c r="AU58" s="5">
        <v>5</v>
      </c>
      <c r="AV58" s="5" t="s">
        <v>74</v>
      </c>
      <c r="AW58" s="5" t="s">
        <v>74</v>
      </c>
      <c r="AX58" s="5" t="s">
        <v>74</v>
      </c>
      <c r="AY58" s="5" t="s">
        <v>74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 t="s">
        <v>74</v>
      </c>
      <c r="BQ58" s="5" t="s">
        <v>74</v>
      </c>
      <c r="BR58" s="5" t="s">
        <v>74</v>
      </c>
      <c r="BS58" s="5"/>
      <c r="BT58" s="5" t="s">
        <v>74</v>
      </c>
      <c r="BU58" s="6" t="s">
        <v>51</v>
      </c>
      <c r="BV58" s="5" t="s">
        <v>74</v>
      </c>
      <c r="BW58" s="5"/>
      <c r="BX58" s="5">
        <v>12</v>
      </c>
      <c r="BY58" s="5"/>
      <c r="BZ58" s="5"/>
      <c r="CA58" s="10" t="s">
        <v>74</v>
      </c>
      <c r="CB58" s="5" t="s">
        <v>74</v>
      </c>
      <c r="CC58" s="5" t="s">
        <v>74</v>
      </c>
      <c r="CD58" s="5">
        <v>5</v>
      </c>
      <c r="CE58" s="5" t="s">
        <v>74</v>
      </c>
      <c r="CF58" s="8"/>
      <c r="CG58" s="5"/>
      <c r="CH58" s="5" t="s">
        <v>74</v>
      </c>
      <c r="CI58" s="5" t="s">
        <v>74</v>
      </c>
      <c r="CJ58" s="8" t="s">
        <v>74</v>
      </c>
      <c r="CK58" s="5"/>
      <c r="CL58" s="5" t="s">
        <v>74</v>
      </c>
      <c r="CM58" s="5" t="s">
        <v>74</v>
      </c>
      <c r="CN58" s="5">
        <v>0.5</v>
      </c>
      <c r="CO58" s="5"/>
      <c r="CP58" s="5">
        <v>4</v>
      </c>
    </row>
    <row r="59" spans="1:94" ht="25.25" customHeight="1">
      <c r="A59" s="5">
        <v>58</v>
      </c>
      <c r="B59" s="9" t="s">
        <v>132</v>
      </c>
      <c r="C59" s="9">
        <v>2024202894</v>
      </c>
      <c r="D59" s="5" t="s">
        <v>112</v>
      </c>
      <c r="E59" s="5">
        <f>SUM(G59:$XET59)</f>
        <v>30</v>
      </c>
      <c r="F59" s="5">
        <f>COUNT(G59:$XFD59)</f>
        <v>10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4</v>
      </c>
      <c r="AA59" s="5"/>
      <c r="AB59" s="5">
        <v>6.5</v>
      </c>
      <c r="AC59" s="5">
        <v>2</v>
      </c>
      <c r="AD59" s="5">
        <v>4</v>
      </c>
      <c r="AE59" s="5"/>
      <c r="AF59" s="5"/>
      <c r="AG59" s="5" t="s">
        <v>74</v>
      </c>
      <c r="AH59" s="5" t="s">
        <v>74</v>
      </c>
      <c r="AI59" s="5" t="s">
        <v>74</v>
      </c>
      <c r="AJ59" s="5">
        <v>2</v>
      </c>
      <c r="AK59" s="5">
        <v>4</v>
      </c>
      <c r="AL59" s="5"/>
      <c r="AM59" s="5"/>
      <c r="AN59" s="5"/>
      <c r="AO59" s="5"/>
      <c r="AP59" s="5"/>
      <c r="AQ59" s="5"/>
      <c r="AR59" s="5" t="s">
        <v>74</v>
      </c>
      <c r="AS59" s="5" t="s">
        <v>74</v>
      </c>
      <c r="AT59" s="5" t="s">
        <v>74</v>
      </c>
      <c r="AU59" s="5" t="s">
        <v>74</v>
      </c>
      <c r="AV59" s="5" t="s">
        <v>74</v>
      </c>
      <c r="AW59" s="5" t="s">
        <v>74</v>
      </c>
      <c r="AX59" s="5" t="s">
        <v>74</v>
      </c>
      <c r="AY59" s="5" t="s">
        <v>74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 t="s">
        <v>74</v>
      </c>
      <c r="BQ59" s="5" t="s">
        <v>74</v>
      </c>
      <c r="BR59" s="5" t="s">
        <v>74</v>
      </c>
      <c r="BS59" s="5"/>
      <c r="BT59" s="5" t="s">
        <v>74</v>
      </c>
      <c r="BU59" s="6" t="s">
        <v>51</v>
      </c>
      <c r="BV59" s="5">
        <v>1</v>
      </c>
      <c r="BW59" s="5"/>
      <c r="BX59" s="5" t="s">
        <v>74</v>
      </c>
      <c r="BY59" s="5"/>
      <c r="BZ59" s="5"/>
      <c r="CA59" s="10" t="s">
        <v>74</v>
      </c>
      <c r="CB59" s="5" t="s">
        <v>74</v>
      </c>
      <c r="CC59" s="5" t="s">
        <v>74</v>
      </c>
      <c r="CD59" s="5" t="s">
        <v>74</v>
      </c>
      <c r="CE59" s="5">
        <v>2</v>
      </c>
      <c r="CF59" s="8"/>
      <c r="CG59" s="5"/>
      <c r="CH59" s="5" t="s">
        <v>74</v>
      </c>
      <c r="CI59" s="5" t="s">
        <v>74</v>
      </c>
      <c r="CJ59" s="8" t="s">
        <v>74</v>
      </c>
      <c r="CK59" s="5">
        <v>4</v>
      </c>
      <c r="CL59" s="5" t="s">
        <v>74</v>
      </c>
      <c r="CM59" s="5">
        <v>0.5</v>
      </c>
      <c r="CN59" s="5" t="s">
        <v>74</v>
      </c>
      <c r="CO59" s="5"/>
      <c r="CP59" s="5" t="s">
        <v>74</v>
      </c>
    </row>
    <row r="60" spans="1:94" ht="25.25" customHeight="1">
      <c r="A60" s="5">
        <v>59</v>
      </c>
      <c r="B60" s="9" t="s">
        <v>133</v>
      </c>
      <c r="C60" s="9">
        <v>2024202895</v>
      </c>
      <c r="D60" s="5" t="s">
        <v>112</v>
      </c>
      <c r="E60" s="5">
        <f>SUM(G60:$XET60)</f>
        <v>32</v>
      </c>
      <c r="F60" s="5">
        <f>COUNT(G60:$XFD60)</f>
        <v>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>
        <v>4</v>
      </c>
      <c r="AA60" s="5"/>
      <c r="AB60" s="5">
        <v>3</v>
      </c>
      <c r="AC60" s="5" t="s">
        <v>74</v>
      </c>
      <c r="AD60" s="5"/>
      <c r="AE60" s="5"/>
      <c r="AF60" s="5"/>
      <c r="AG60" s="5" t="s">
        <v>74</v>
      </c>
      <c r="AH60" s="5" t="s">
        <v>74</v>
      </c>
      <c r="AI60" s="5" t="s">
        <v>74</v>
      </c>
      <c r="AJ60" s="5">
        <v>2</v>
      </c>
      <c r="AK60" s="5">
        <v>4</v>
      </c>
      <c r="AL60" s="5"/>
      <c r="AM60" s="5"/>
      <c r="AN60" s="5"/>
      <c r="AO60" s="5"/>
      <c r="AP60" s="5"/>
      <c r="AQ60" s="5"/>
      <c r="AR60" s="5" t="s">
        <v>74</v>
      </c>
      <c r="AS60" s="5">
        <v>12</v>
      </c>
      <c r="AT60" s="5" t="s">
        <v>74</v>
      </c>
      <c r="AU60" s="5" t="s">
        <v>74</v>
      </c>
      <c r="AV60" s="5" t="s">
        <v>74</v>
      </c>
      <c r="AW60" s="5" t="s">
        <v>74</v>
      </c>
      <c r="AX60" s="5" t="s">
        <v>74</v>
      </c>
      <c r="AY60" s="5" t="s">
        <v>74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 t="s">
        <v>74</v>
      </c>
      <c r="BQ60" s="5" t="s">
        <v>74</v>
      </c>
      <c r="BR60" s="5" t="s">
        <v>74</v>
      </c>
      <c r="BS60" s="5"/>
      <c r="BT60" s="5" t="s">
        <v>74</v>
      </c>
      <c r="BU60" s="6" t="s">
        <v>51</v>
      </c>
      <c r="BV60" s="5">
        <v>1</v>
      </c>
      <c r="BW60" s="5"/>
      <c r="BX60" s="5" t="s">
        <v>74</v>
      </c>
      <c r="BY60" s="5"/>
      <c r="BZ60" s="5"/>
      <c r="CA60" s="10" t="s">
        <v>74</v>
      </c>
      <c r="CB60" s="5" t="s">
        <v>74</v>
      </c>
      <c r="CC60" s="5" t="s">
        <v>74</v>
      </c>
      <c r="CD60" s="5" t="s">
        <v>74</v>
      </c>
      <c r="CE60" s="5" t="s">
        <v>74</v>
      </c>
      <c r="CF60" s="8"/>
      <c r="CG60" s="5"/>
      <c r="CH60" s="5" t="s">
        <v>74</v>
      </c>
      <c r="CI60" s="5" t="s">
        <v>74</v>
      </c>
      <c r="CJ60" s="8">
        <v>6</v>
      </c>
      <c r="CK60" s="5"/>
      <c r="CL60" s="5" t="s">
        <v>74</v>
      </c>
      <c r="CM60" s="5" t="s">
        <v>74</v>
      </c>
      <c r="CN60" s="5" t="s">
        <v>74</v>
      </c>
      <c r="CO60" s="5"/>
      <c r="CP60" s="5" t="s">
        <v>74</v>
      </c>
    </row>
    <row r="61" spans="1:94" ht="25.25" customHeight="1">
      <c r="A61" s="5">
        <v>60</v>
      </c>
      <c r="B61" s="9" t="s">
        <v>134</v>
      </c>
      <c r="C61" s="9">
        <v>2024201955</v>
      </c>
      <c r="D61" s="5" t="s">
        <v>135</v>
      </c>
      <c r="E61" s="5">
        <f>SUM(G61:$XET61)</f>
        <v>0</v>
      </c>
      <c r="F61" s="5">
        <f>COUNT(G61:$XFD61)</f>
        <v>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 t="s">
        <v>74</v>
      </c>
      <c r="AH61" s="5" t="s">
        <v>74</v>
      </c>
      <c r="AI61" s="5" t="s">
        <v>74</v>
      </c>
      <c r="AJ61" s="5" t="s">
        <v>74</v>
      </c>
      <c r="AK61" s="5" t="s">
        <v>74</v>
      </c>
      <c r="AL61" s="5"/>
      <c r="AM61" s="5"/>
      <c r="AN61" s="5"/>
      <c r="AO61" s="5"/>
      <c r="AP61" s="5"/>
      <c r="AQ61" s="5"/>
      <c r="AR61" s="5" t="s">
        <v>74</v>
      </c>
      <c r="AS61" s="5" t="s">
        <v>74</v>
      </c>
      <c r="AT61" s="5" t="s">
        <v>74</v>
      </c>
      <c r="AU61" s="5" t="s">
        <v>74</v>
      </c>
      <c r="AV61" s="5" t="s">
        <v>74</v>
      </c>
      <c r="AW61" s="5" t="s">
        <v>74</v>
      </c>
      <c r="AX61" s="5" t="s">
        <v>74</v>
      </c>
      <c r="AY61" s="5" t="s">
        <v>74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 t="s">
        <v>74</v>
      </c>
      <c r="BQ61" s="5" t="s">
        <v>74</v>
      </c>
      <c r="BR61" s="5" t="s">
        <v>74</v>
      </c>
      <c r="BS61" s="5"/>
      <c r="BT61" s="5" t="s">
        <v>74</v>
      </c>
      <c r="BU61" s="6" t="s">
        <v>51</v>
      </c>
      <c r="BV61" s="5" t="s">
        <v>74</v>
      </c>
      <c r="BW61" s="5"/>
      <c r="BX61" s="5" t="s">
        <v>74</v>
      </c>
      <c r="BY61" s="5"/>
      <c r="BZ61" s="5"/>
      <c r="CA61" s="10" t="s">
        <v>74</v>
      </c>
      <c r="CB61" s="5" t="s">
        <v>74</v>
      </c>
      <c r="CC61" s="5" t="s">
        <v>74</v>
      </c>
      <c r="CD61" s="5" t="s">
        <v>74</v>
      </c>
      <c r="CE61" s="5" t="s">
        <v>74</v>
      </c>
      <c r="CF61" s="8"/>
      <c r="CG61" s="5"/>
      <c r="CH61" s="5" t="s">
        <v>74</v>
      </c>
      <c r="CI61" s="5" t="s">
        <v>74</v>
      </c>
      <c r="CJ61" s="8" t="s">
        <v>74</v>
      </c>
      <c r="CK61" s="5"/>
      <c r="CL61" s="5" t="s">
        <v>74</v>
      </c>
      <c r="CM61" s="5" t="s">
        <v>74</v>
      </c>
      <c r="CN61" s="5" t="s">
        <v>74</v>
      </c>
      <c r="CO61" s="5"/>
      <c r="CP61" s="5" t="s">
        <v>74</v>
      </c>
    </row>
    <row r="62" spans="1:94" ht="25.25" customHeight="1">
      <c r="A62" s="5">
        <v>61</v>
      </c>
      <c r="B62" s="9" t="s">
        <v>136</v>
      </c>
      <c r="C62" s="9">
        <v>2024202132</v>
      </c>
      <c r="D62" s="5" t="s">
        <v>135</v>
      </c>
      <c r="E62" s="5">
        <f>SUM(G62:$XET62)</f>
        <v>26.5</v>
      </c>
      <c r="F62" s="5">
        <f>COUNT(G62:$XFD62)</f>
        <v>5</v>
      </c>
      <c r="G62" s="5"/>
      <c r="H62" s="5"/>
      <c r="I62" s="5"/>
      <c r="J62" s="5"/>
      <c r="K62" s="5"/>
      <c r="L62" s="5"/>
      <c r="M62" s="5"/>
      <c r="N62" s="5">
        <v>2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 t="s">
        <v>74</v>
      </c>
      <c r="AH62" s="5" t="s">
        <v>74</v>
      </c>
      <c r="AI62" s="5" t="s">
        <v>74</v>
      </c>
      <c r="AJ62" s="5" t="s">
        <v>74</v>
      </c>
      <c r="AK62" s="5">
        <v>4</v>
      </c>
      <c r="AL62" s="5"/>
      <c r="AM62" s="5"/>
      <c r="AN62" s="5"/>
      <c r="AO62" s="5"/>
      <c r="AP62" s="5"/>
      <c r="AQ62" s="5"/>
      <c r="AR62" s="5" t="s">
        <v>74</v>
      </c>
      <c r="AS62" s="5" t="s">
        <v>74</v>
      </c>
      <c r="AT62" s="5" t="s">
        <v>74</v>
      </c>
      <c r="AU62" s="5" t="s">
        <v>74</v>
      </c>
      <c r="AV62" s="5" t="s">
        <v>74</v>
      </c>
      <c r="AW62" s="5" t="s">
        <v>74</v>
      </c>
      <c r="AX62" s="5" t="s">
        <v>74</v>
      </c>
      <c r="AY62" s="5" t="s">
        <v>74</v>
      </c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 t="s">
        <v>74</v>
      </c>
      <c r="BQ62" s="5">
        <v>19.5</v>
      </c>
      <c r="BR62" s="5" t="s">
        <v>74</v>
      </c>
      <c r="BS62" s="5"/>
      <c r="BT62" s="5" t="s">
        <v>74</v>
      </c>
      <c r="BU62" s="6" t="s">
        <v>51</v>
      </c>
      <c r="BV62" s="5" t="s">
        <v>74</v>
      </c>
      <c r="BW62" s="5"/>
      <c r="BX62" s="5" t="s">
        <v>74</v>
      </c>
      <c r="BY62" s="5"/>
      <c r="BZ62" s="5"/>
      <c r="CA62" s="10" t="s">
        <v>74</v>
      </c>
      <c r="CB62" s="5" t="s">
        <v>74</v>
      </c>
      <c r="CC62" s="5" t="s">
        <v>74</v>
      </c>
      <c r="CD62" s="5" t="s">
        <v>74</v>
      </c>
      <c r="CE62" s="5">
        <v>0.5</v>
      </c>
      <c r="CF62" s="8"/>
      <c r="CG62" s="5"/>
      <c r="CH62" s="5" t="s">
        <v>74</v>
      </c>
      <c r="CI62" s="5" t="s">
        <v>74</v>
      </c>
      <c r="CJ62" s="8" t="s">
        <v>74</v>
      </c>
      <c r="CK62" s="5"/>
      <c r="CL62" s="5" t="s">
        <v>74</v>
      </c>
      <c r="CM62" s="5">
        <v>0.5</v>
      </c>
      <c r="CN62" s="5" t="s">
        <v>74</v>
      </c>
      <c r="CO62" s="5"/>
      <c r="CP62" s="5" t="s">
        <v>74</v>
      </c>
    </row>
    <row r="63" spans="1:94" ht="25.25" customHeight="1">
      <c r="A63" s="5">
        <v>62</v>
      </c>
      <c r="B63" s="9" t="s">
        <v>137</v>
      </c>
      <c r="C63" s="9">
        <v>2024202201</v>
      </c>
      <c r="D63" s="5" t="s">
        <v>135</v>
      </c>
      <c r="E63" s="5">
        <f>SUM(G63:$XET63)</f>
        <v>19.5</v>
      </c>
      <c r="F63" s="5">
        <f>COUNT(G63:$XFD63)</f>
        <v>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4</v>
      </c>
      <c r="AA63" s="5"/>
      <c r="AB63" s="5" t="s">
        <v>74</v>
      </c>
      <c r="AC63" s="5">
        <v>1.5</v>
      </c>
      <c r="AD63" s="5"/>
      <c r="AE63" s="5"/>
      <c r="AF63" s="5"/>
      <c r="AG63" s="5" t="s">
        <v>74</v>
      </c>
      <c r="AH63" s="5" t="s">
        <v>74</v>
      </c>
      <c r="AI63" s="5" t="s">
        <v>74</v>
      </c>
      <c r="AJ63" s="5" t="s">
        <v>74</v>
      </c>
      <c r="AK63" s="5">
        <v>4</v>
      </c>
      <c r="AL63" s="5"/>
      <c r="AM63" s="5"/>
      <c r="AN63" s="5"/>
      <c r="AO63" s="5"/>
      <c r="AP63" s="5"/>
      <c r="AQ63" s="5"/>
      <c r="AR63" s="5" t="s">
        <v>74</v>
      </c>
      <c r="AS63" s="5" t="s">
        <v>74</v>
      </c>
      <c r="AT63" s="5" t="s">
        <v>74</v>
      </c>
      <c r="AU63" s="5" t="s">
        <v>74</v>
      </c>
      <c r="AV63" s="5" t="s">
        <v>74</v>
      </c>
      <c r="AW63" s="5" t="s">
        <v>74</v>
      </c>
      <c r="AX63" s="5" t="s">
        <v>74</v>
      </c>
      <c r="AY63" s="5" t="s">
        <v>74</v>
      </c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 t="s">
        <v>74</v>
      </c>
      <c r="BQ63" s="5" t="s">
        <v>74</v>
      </c>
      <c r="BR63" s="5" t="s">
        <v>74</v>
      </c>
      <c r="BS63" s="5"/>
      <c r="BT63" s="5" t="s">
        <v>74</v>
      </c>
      <c r="BU63" s="6" t="s">
        <v>51</v>
      </c>
      <c r="BV63" s="5" t="s">
        <v>74</v>
      </c>
      <c r="BW63" s="5"/>
      <c r="BX63" s="5" t="s">
        <v>74</v>
      </c>
      <c r="BY63" s="5"/>
      <c r="BZ63" s="5"/>
      <c r="CA63" s="10" t="s">
        <v>74</v>
      </c>
      <c r="CB63" s="5">
        <v>3</v>
      </c>
      <c r="CC63" s="5" t="s">
        <v>74</v>
      </c>
      <c r="CD63" s="5" t="s">
        <v>74</v>
      </c>
      <c r="CE63" s="5">
        <v>2</v>
      </c>
      <c r="CF63" s="8"/>
      <c r="CG63" s="5"/>
      <c r="CH63" s="5" t="s">
        <v>74</v>
      </c>
      <c r="CI63" s="5" t="s">
        <v>74</v>
      </c>
      <c r="CJ63" s="8" t="s">
        <v>74</v>
      </c>
      <c r="CK63" s="5"/>
      <c r="CL63" s="5" t="s">
        <v>74</v>
      </c>
      <c r="CM63" s="5" t="s">
        <v>74</v>
      </c>
      <c r="CN63" s="5">
        <v>5</v>
      </c>
      <c r="CO63" s="5"/>
      <c r="CP63" s="5" t="s">
        <v>74</v>
      </c>
    </row>
    <row r="64" spans="1:94" ht="25.25" customHeight="1">
      <c r="A64" s="5">
        <v>63</v>
      </c>
      <c r="B64" s="9" t="s">
        <v>138</v>
      </c>
      <c r="C64" s="9">
        <v>2024202218</v>
      </c>
      <c r="D64" s="5" t="s">
        <v>135</v>
      </c>
      <c r="E64" s="5">
        <f>SUM(G64:$XET64)</f>
        <v>26.5</v>
      </c>
      <c r="F64" s="5">
        <f>COUNT(G64:$XFD64)</f>
        <v>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</v>
      </c>
      <c r="AC64" s="5">
        <v>2</v>
      </c>
      <c r="AD64" s="5"/>
      <c r="AE64" s="5"/>
      <c r="AF64" s="5"/>
      <c r="AG64" s="5" t="s">
        <v>74</v>
      </c>
      <c r="AH64" s="5">
        <v>10.5</v>
      </c>
      <c r="AI64" s="5" t="s">
        <v>74</v>
      </c>
      <c r="AJ64" s="5" t="s">
        <v>74</v>
      </c>
      <c r="AK64" s="5" t="s">
        <v>74</v>
      </c>
      <c r="AL64" s="5"/>
      <c r="AM64" s="5"/>
      <c r="AN64" s="5"/>
      <c r="AO64" s="5"/>
      <c r="AP64" s="5"/>
      <c r="AQ64" s="5"/>
      <c r="AR64" s="5" t="s">
        <v>74</v>
      </c>
      <c r="AS64" s="5" t="s">
        <v>74</v>
      </c>
      <c r="AT64" s="5" t="s">
        <v>74</v>
      </c>
      <c r="AU64" s="5" t="s">
        <v>74</v>
      </c>
      <c r="AV64" s="5" t="s">
        <v>74</v>
      </c>
      <c r="AW64" s="5" t="s">
        <v>74</v>
      </c>
      <c r="AX64" s="5" t="s">
        <v>74</v>
      </c>
      <c r="AY64" s="5" t="s">
        <v>74</v>
      </c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 t="s">
        <v>74</v>
      </c>
      <c r="BQ64" s="5" t="s">
        <v>74</v>
      </c>
      <c r="BR64" s="5" t="s">
        <v>74</v>
      </c>
      <c r="BS64" s="5"/>
      <c r="BT64" s="5" t="s">
        <v>74</v>
      </c>
      <c r="BU64" s="6" t="s">
        <v>51</v>
      </c>
      <c r="BV64" s="5">
        <v>1</v>
      </c>
      <c r="BW64" s="5"/>
      <c r="BX64" s="5" t="s">
        <v>74</v>
      </c>
      <c r="BY64" s="5"/>
      <c r="BZ64" s="5"/>
      <c r="CA64" s="10" t="s">
        <v>74</v>
      </c>
      <c r="CB64" s="5">
        <v>3</v>
      </c>
      <c r="CC64" s="5" t="s">
        <v>74</v>
      </c>
      <c r="CD64" s="5" t="s">
        <v>74</v>
      </c>
      <c r="CE64" s="5" t="s">
        <v>74</v>
      </c>
      <c r="CF64" s="8"/>
      <c r="CG64" s="5"/>
      <c r="CH64" s="5" t="s">
        <v>74</v>
      </c>
      <c r="CI64" s="5" t="s">
        <v>74</v>
      </c>
      <c r="CJ64" s="8" t="s">
        <v>74</v>
      </c>
      <c r="CK64" s="5">
        <v>4</v>
      </c>
      <c r="CL64" s="5" t="s">
        <v>74</v>
      </c>
      <c r="CM64" s="5" t="s">
        <v>74</v>
      </c>
      <c r="CN64" s="5">
        <v>3</v>
      </c>
      <c r="CO64" s="5"/>
      <c r="CP64" s="5" t="s">
        <v>74</v>
      </c>
    </row>
    <row r="65" spans="1:94" ht="25.25" customHeight="1">
      <c r="A65" s="5">
        <v>64</v>
      </c>
      <c r="B65" s="9" t="s">
        <v>139</v>
      </c>
      <c r="C65" s="9">
        <v>2024201990</v>
      </c>
      <c r="D65" s="5" t="s">
        <v>135</v>
      </c>
      <c r="E65" s="5">
        <f>SUM(G65:$XET65)</f>
        <v>15.5</v>
      </c>
      <c r="F65" s="5">
        <f>COUNT(G65:$XFD65)</f>
        <v>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3</v>
      </c>
      <c r="X65" s="5"/>
      <c r="Y65" s="5"/>
      <c r="Z65" s="5"/>
      <c r="AA65" s="5"/>
      <c r="AB65" s="5" t="s">
        <v>74</v>
      </c>
      <c r="AC65" s="5" t="s">
        <v>74</v>
      </c>
      <c r="AD65" s="5"/>
      <c r="AE65" s="5">
        <v>4.5</v>
      </c>
      <c r="AF65" s="5"/>
      <c r="AG65" s="5" t="s">
        <v>74</v>
      </c>
      <c r="AH65" s="5" t="s">
        <v>74</v>
      </c>
      <c r="AI65" s="5" t="s">
        <v>74</v>
      </c>
      <c r="AJ65" s="5">
        <v>2</v>
      </c>
      <c r="AK65" s="5">
        <v>4</v>
      </c>
      <c r="AL65" s="5"/>
      <c r="AM65" s="5"/>
      <c r="AN65" s="5"/>
      <c r="AO65" s="5"/>
      <c r="AP65" s="5"/>
      <c r="AQ65" s="5"/>
      <c r="AR65" s="5" t="s">
        <v>74</v>
      </c>
      <c r="AS65" s="5" t="s">
        <v>74</v>
      </c>
      <c r="AT65" s="5" t="s">
        <v>74</v>
      </c>
      <c r="AU65" s="5" t="s">
        <v>74</v>
      </c>
      <c r="AV65" s="5" t="s">
        <v>74</v>
      </c>
      <c r="AW65" s="5" t="s">
        <v>74</v>
      </c>
      <c r="AX65" s="5" t="s">
        <v>74</v>
      </c>
      <c r="AY65" s="5" t="s">
        <v>74</v>
      </c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 t="s">
        <v>74</v>
      </c>
      <c r="BQ65" s="5" t="s">
        <v>74</v>
      </c>
      <c r="BR65" s="5" t="s">
        <v>74</v>
      </c>
      <c r="BS65" s="5"/>
      <c r="BT65" s="5" t="s">
        <v>74</v>
      </c>
      <c r="BU65" s="6" t="s">
        <v>51</v>
      </c>
      <c r="BV65" s="5" t="s">
        <v>74</v>
      </c>
      <c r="BW65" s="5"/>
      <c r="BX65" s="5" t="s">
        <v>74</v>
      </c>
      <c r="BY65" s="5"/>
      <c r="BZ65" s="5"/>
      <c r="CA65" s="10" t="s">
        <v>74</v>
      </c>
      <c r="CB65" s="5" t="s">
        <v>74</v>
      </c>
      <c r="CC65" s="5" t="s">
        <v>74</v>
      </c>
      <c r="CD65" s="5" t="s">
        <v>74</v>
      </c>
      <c r="CE65" s="5">
        <v>2</v>
      </c>
      <c r="CF65" s="8"/>
      <c r="CG65" s="5"/>
      <c r="CH65" s="5" t="s">
        <v>74</v>
      </c>
      <c r="CI65" s="5" t="s">
        <v>74</v>
      </c>
      <c r="CJ65" s="8" t="s">
        <v>74</v>
      </c>
      <c r="CK65" s="5"/>
      <c r="CL65" s="5" t="s">
        <v>74</v>
      </c>
      <c r="CM65" s="5" t="s">
        <v>74</v>
      </c>
      <c r="CN65" s="5" t="s">
        <v>74</v>
      </c>
      <c r="CO65" s="5"/>
      <c r="CP65" s="5" t="s">
        <v>74</v>
      </c>
    </row>
    <row r="66" spans="1:94" ht="25.25" customHeight="1">
      <c r="A66" s="5">
        <v>65</v>
      </c>
      <c r="B66" s="9" t="s">
        <v>140</v>
      </c>
      <c r="C66" s="9">
        <v>2024202897</v>
      </c>
      <c r="D66" s="5" t="s">
        <v>135</v>
      </c>
      <c r="E66" s="5">
        <f>SUM(G66:$XET66)</f>
        <v>114.5</v>
      </c>
      <c r="F66" s="5">
        <f>COUNT(G66:$XFD66)</f>
        <v>12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10</v>
      </c>
      <c r="Y66" s="5"/>
      <c r="Z66" s="5"/>
      <c r="AA66" s="5"/>
      <c r="AB66" s="5">
        <v>6.5</v>
      </c>
      <c r="AC66" s="5">
        <v>2</v>
      </c>
      <c r="AD66" s="5">
        <v>4</v>
      </c>
      <c r="AE66" s="5"/>
      <c r="AF66" s="5"/>
      <c r="AG66" s="5" t="s">
        <v>74</v>
      </c>
      <c r="AH66" s="5" t="s">
        <v>74</v>
      </c>
      <c r="AI66" s="5" t="s">
        <v>74</v>
      </c>
      <c r="AJ66" s="5">
        <v>2</v>
      </c>
      <c r="AK66" s="5">
        <v>4</v>
      </c>
      <c r="AL66" s="5"/>
      <c r="AM66" s="5"/>
      <c r="AN66" s="5"/>
      <c r="AO66" s="5"/>
      <c r="AP66" s="5"/>
      <c r="AQ66" s="5"/>
      <c r="AR66" s="5" t="s">
        <v>74</v>
      </c>
      <c r="AS66" s="5" t="s">
        <v>74</v>
      </c>
      <c r="AT66" s="5" t="s">
        <v>74</v>
      </c>
      <c r="AU66" s="5" t="s">
        <v>74</v>
      </c>
      <c r="AV66" s="5" t="s">
        <v>74</v>
      </c>
      <c r="AW66" s="5" t="s">
        <v>74</v>
      </c>
      <c r="AX66" s="5" t="s">
        <v>74</v>
      </c>
      <c r="AY66" s="5" t="s">
        <v>74</v>
      </c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 t="s">
        <v>74</v>
      </c>
      <c r="BQ66" s="5" t="s">
        <v>74</v>
      </c>
      <c r="BR66" s="5">
        <v>72</v>
      </c>
      <c r="BS66" s="5"/>
      <c r="BT66" s="5" t="s">
        <v>74</v>
      </c>
      <c r="BU66" s="6" t="s">
        <v>51</v>
      </c>
      <c r="BV66" s="5">
        <v>1</v>
      </c>
      <c r="BW66" s="5"/>
      <c r="BX66" s="5" t="s">
        <v>74</v>
      </c>
      <c r="BY66" s="5"/>
      <c r="BZ66" s="5"/>
      <c r="CA66" s="10" t="s">
        <v>74</v>
      </c>
      <c r="CB66" s="5" t="s">
        <v>74</v>
      </c>
      <c r="CC66" s="5">
        <v>5</v>
      </c>
      <c r="CD66" s="5">
        <v>5</v>
      </c>
      <c r="CE66" s="5">
        <v>2</v>
      </c>
      <c r="CF66" s="8"/>
      <c r="CG66" s="5"/>
      <c r="CH66" s="5" t="s">
        <v>74</v>
      </c>
      <c r="CI66" s="5" t="s">
        <v>74</v>
      </c>
      <c r="CJ66" s="8" t="s">
        <v>74</v>
      </c>
      <c r="CK66" s="5"/>
      <c r="CL66" s="5" t="s">
        <v>74</v>
      </c>
      <c r="CM66" s="5">
        <v>1</v>
      </c>
      <c r="CN66" s="5" t="s">
        <v>74</v>
      </c>
      <c r="CO66" s="5"/>
      <c r="CP66" s="5" t="s">
        <v>74</v>
      </c>
    </row>
    <row r="67" spans="1:94" ht="25.25" customHeight="1">
      <c r="A67" s="5">
        <v>66</v>
      </c>
      <c r="B67" s="9" t="s">
        <v>141</v>
      </c>
      <c r="C67" s="9">
        <v>2024202254</v>
      </c>
      <c r="D67" s="5" t="s">
        <v>135</v>
      </c>
      <c r="E67" s="5">
        <f>SUM(G67:$XET67)</f>
        <v>108</v>
      </c>
      <c r="F67" s="5">
        <f>COUNT(G67:$XFD67)</f>
        <v>5</v>
      </c>
      <c r="G67" s="5"/>
      <c r="H67" s="5"/>
      <c r="I67" s="5"/>
      <c r="J67" s="5"/>
      <c r="K67" s="5"/>
      <c r="L67" s="5"/>
      <c r="M67" s="5"/>
      <c r="N67" s="5"/>
      <c r="O67" s="5">
        <v>2</v>
      </c>
      <c r="P67" s="5">
        <v>6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 t="s">
        <v>74</v>
      </c>
      <c r="AC67" s="5" t="s">
        <v>74</v>
      </c>
      <c r="AD67" s="5"/>
      <c r="AE67" s="5"/>
      <c r="AF67" s="5"/>
      <c r="AG67" s="5" t="s">
        <v>74</v>
      </c>
      <c r="AH67" s="5" t="s">
        <v>74</v>
      </c>
      <c r="AI67" s="5" t="s">
        <v>74</v>
      </c>
      <c r="AJ67" s="5" t="s">
        <v>74</v>
      </c>
      <c r="AK67" s="5">
        <v>4</v>
      </c>
      <c r="AL67" s="5"/>
      <c r="AM67" s="5"/>
      <c r="AN67" s="5"/>
      <c r="AO67" s="5"/>
      <c r="AP67" s="5"/>
      <c r="AQ67" s="5"/>
      <c r="AR67" s="5" t="s">
        <v>74</v>
      </c>
      <c r="AS67" s="5" t="s">
        <v>74</v>
      </c>
      <c r="AT67" s="5" t="s">
        <v>74</v>
      </c>
      <c r="AU67" s="5" t="s">
        <v>74</v>
      </c>
      <c r="AV67" s="5" t="s">
        <v>74</v>
      </c>
      <c r="AW67" s="5">
        <v>6</v>
      </c>
      <c r="AX67" s="5" t="s">
        <v>74</v>
      </c>
      <c r="AY67" s="5" t="s">
        <v>74</v>
      </c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 t="s">
        <v>74</v>
      </c>
      <c r="BQ67" s="5" t="s">
        <v>74</v>
      </c>
      <c r="BR67" s="5">
        <v>90</v>
      </c>
      <c r="BS67" s="5"/>
      <c r="BT67" s="5" t="s">
        <v>74</v>
      </c>
      <c r="BU67" s="6" t="s">
        <v>51</v>
      </c>
      <c r="BV67" s="5" t="s">
        <v>74</v>
      </c>
      <c r="BW67" s="5"/>
      <c r="BX67" s="5" t="s">
        <v>74</v>
      </c>
      <c r="BY67" s="5"/>
      <c r="BZ67" s="5"/>
      <c r="CA67" s="10" t="s">
        <v>74</v>
      </c>
      <c r="CB67" s="5" t="s">
        <v>74</v>
      </c>
      <c r="CC67" s="5" t="s">
        <v>74</v>
      </c>
      <c r="CD67" s="5" t="s">
        <v>74</v>
      </c>
      <c r="CE67" s="5" t="s">
        <v>74</v>
      </c>
      <c r="CF67" s="8"/>
      <c r="CG67" s="5"/>
      <c r="CH67" s="5" t="s">
        <v>74</v>
      </c>
      <c r="CI67" s="5" t="s">
        <v>74</v>
      </c>
      <c r="CJ67" s="8" t="s">
        <v>74</v>
      </c>
      <c r="CK67" s="5"/>
      <c r="CL67" s="5" t="s">
        <v>74</v>
      </c>
      <c r="CM67" s="5" t="s">
        <v>74</v>
      </c>
      <c r="CN67" s="5" t="s">
        <v>74</v>
      </c>
      <c r="CO67" s="5"/>
      <c r="CP67" s="5" t="s">
        <v>74</v>
      </c>
    </row>
    <row r="68" spans="1:94" ht="25.25" customHeight="1">
      <c r="A68" s="5">
        <v>67</v>
      </c>
      <c r="B68" s="9" t="s">
        <v>142</v>
      </c>
      <c r="C68" s="9">
        <v>2024201970</v>
      </c>
      <c r="D68" s="5" t="s">
        <v>135</v>
      </c>
      <c r="E68" s="5">
        <f>SUM(G68:$XET68)</f>
        <v>10</v>
      </c>
      <c r="F68" s="5">
        <f>COUNT(G68:$XFD68)</f>
        <v>2</v>
      </c>
      <c r="G68" s="5"/>
      <c r="H68" s="5"/>
      <c r="I68" s="5"/>
      <c r="J68" s="5"/>
      <c r="K68" s="5"/>
      <c r="L68" s="5"/>
      <c r="M68" s="5"/>
      <c r="N68" s="5"/>
      <c r="O68" s="5"/>
      <c r="P68" s="5">
        <v>6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 t="s">
        <v>74</v>
      </c>
      <c r="AC68" s="5" t="s">
        <v>74</v>
      </c>
      <c r="AD68" s="5"/>
      <c r="AE68" s="5"/>
      <c r="AF68" s="5"/>
      <c r="AG68" s="5" t="s">
        <v>74</v>
      </c>
      <c r="AH68" s="5" t="s">
        <v>74</v>
      </c>
      <c r="AI68" s="5" t="s">
        <v>74</v>
      </c>
      <c r="AJ68" s="5" t="s">
        <v>74</v>
      </c>
      <c r="AK68" s="5">
        <v>4</v>
      </c>
      <c r="AL68" s="5"/>
      <c r="AM68" s="5"/>
      <c r="AN68" s="5"/>
      <c r="AO68" s="5"/>
      <c r="AP68" s="5"/>
      <c r="AQ68" s="5"/>
      <c r="AR68" s="5" t="s">
        <v>74</v>
      </c>
      <c r="AS68" s="5" t="s">
        <v>74</v>
      </c>
      <c r="AT68" s="5" t="s">
        <v>74</v>
      </c>
      <c r="AU68" s="5" t="s">
        <v>74</v>
      </c>
      <c r="AV68" s="5" t="s">
        <v>74</v>
      </c>
      <c r="AW68" s="5" t="s">
        <v>74</v>
      </c>
      <c r="AX68" s="5" t="s">
        <v>74</v>
      </c>
      <c r="AY68" s="5" t="s">
        <v>74</v>
      </c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 t="s">
        <v>74</v>
      </c>
      <c r="BQ68" s="5" t="s">
        <v>74</v>
      </c>
      <c r="BR68" s="5" t="s">
        <v>74</v>
      </c>
      <c r="BS68" s="5"/>
      <c r="BT68" s="5" t="s">
        <v>74</v>
      </c>
      <c r="BU68" s="6" t="s">
        <v>51</v>
      </c>
      <c r="BV68" s="5" t="s">
        <v>74</v>
      </c>
      <c r="BW68" s="5"/>
      <c r="BX68" s="5" t="s">
        <v>74</v>
      </c>
      <c r="BY68" s="5"/>
      <c r="BZ68" s="5"/>
      <c r="CA68" s="10" t="s">
        <v>74</v>
      </c>
      <c r="CB68" s="5" t="s">
        <v>74</v>
      </c>
      <c r="CC68" s="5" t="s">
        <v>74</v>
      </c>
      <c r="CD68" s="5" t="s">
        <v>74</v>
      </c>
      <c r="CE68" s="5" t="s">
        <v>74</v>
      </c>
      <c r="CF68" s="8"/>
      <c r="CG68" s="5"/>
      <c r="CH68" s="5" t="s">
        <v>74</v>
      </c>
      <c r="CI68" s="5" t="s">
        <v>74</v>
      </c>
      <c r="CJ68" s="8" t="s">
        <v>74</v>
      </c>
      <c r="CK68" s="5"/>
      <c r="CL68" s="5" t="s">
        <v>74</v>
      </c>
      <c r="CM68" s="5" t="s">
        <v>74</v>
      </c>
      <c r="CN68" s="5" t="s">
        <v>74</v>
      </c>
      <c r="CO68" s="5"/>
      <c r="CP68" s="5" t="s">
        <v>74</v>
      </c>
    </row>
    <row r="69" spans="1:94" ht="25.25" customHeight="1">
      <c r="A69" s="5">
        <v>68</v>
      </c>
      <c r="B69" s="9" t="s">
        <v>143</v>
      </c>
      <c r="C69" s="9">
        <v>2024202012</v>
      </c>
      <c r="D69" s="5" t="s">
        <v>135</v>
      </c>
      <c r="E69" s="5">
        <f>SUM(G69:$XET69)</f>
        <v>38.5</v>
      </c>
      <c r="F69" s="5">
        <f>COUNT(G69:$XFD69)</f>
        <v>8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 t="s">
        <v>74</v>
      </c>
      <c r="AC69" s="5" t="s">
        <v>74</v>
      </c>
      <c r="AD69" s="5"/>
      <c r="AE69" s="5"/>
      <c r="AF69" s="5"/>
      <c r="AG69" s="5" t="s">
        <v>74</v>
      </c>
      <c r="AH69" s="5" t="s">
        <v>74</v>
      </c>
      <c r="AI69" s="5" t="s">
        <v>74</v>
      </c>
      <c r="AJ69" s="5" t="s">
        <v>74</v>
      </c>
      <c r="AK69" s="5">
        <v>4</v>
      </c>
      <c r="AL69" s="5"/>
      <c r="AM69" s="5"/>
      <c r="AN69" s="5"/>
      <c r="AO69" s="5"/>
      <c r="AP69" s="5"/>
      <c r="AQ69" s="5"/>
      <c r="AR69" s="5" t="s">
        <v>74</v>
      </c>
      <c r="AS69" s="5" t="s">
        <v>74</v>
      </c>
      <c r="AT69" s="5" t="s">
        <v>74</v>
      </c>
      <c r="AU69" s="5" t="s">
        <v>74</v>
      </c>
      <c r="AV69" s="5" t="s">
        <v>74</v>
      </c>
      <c r="AW69" s="5" t="s">
        <v>74</v>
      </c>
      <c r="AX69" s="5" t="s">
        <v>74</v>
      </c>
      <c r="AY69" s="5" t="s">
        <v>74</v>
      </c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 t="s">
        <v>74</v>
      </c>
      <c r="BQ69" s="5" t="s">
        <v>74</v>
      </c>
      <c r="BR69" s="5" t="s">
        <v>74</v>
      </c>
      <c r="BS69" s="5"/>
      <c r="BT69" s="5" t="s">
        <v>74</v>
      </c>
      <c r="BU69" s="6" t="s">
        <v>51</v>
      </c>
      <c r="BV69" s="5" t="s">
        <v>74</v>
      </c>
      <c r="BW69" s="5"/>
      <c r="BX69" s="5">
        <v>14</v>
      </c>
      <c r="BY69" s="5"/>
      <c r="BZ69" s="5">
        <v>3</v>
      </c>
      <c r="CA69" s="10">
        <v>4</v>
      </c>
      <c r="CB69" s="5" t="s">
        <v>74</v>
      </c>
      <c r="CC69" s="5" t="s">
        <v>74</v>
      </c>
      <c r="CD69" s="5" t="s">
        <v>74</v>
      </c>
      <c r="CE69" s="5">
        <v>1.5</v>
      </c>
      <c r="CF69" s="8"/>
      <c r="CG69" s="5"/>
      <c r="CH69" s="5" t="s">
        <v>74</v>
      </c>
      <c r="CI69" s="5" t="s">
        <v>74</v>
      </c>
      <c r="CJ69" s="8">
        <v>5</v>
      </c>
      <c r="CK69" s="5"/>
      <c r="CL69" s="5" t="s">
        <v>74</v>
      </c>
      <c r="CM69" s="5">
        <v>2</v>
      </c>
      <c r="CN69" s="5">
        <v>5</v>
      </c>
      <c r="CO69" s="5"/>
      <c r="CP69" s="5" t="s">
        <v>74</v>
      </c>
    </row>
    <row r="70" spans="1:94" ht="25.25" customHeight="1">
      <c r="A70" s="5">
        <v>69</v>
      </c>
      <c r="B70" s="9" t="s">
        <v>144</v>
      </c>
      <c r="C70" s="9">
        <v>2024202024</v>
      </c>
      <c r="D70" s="5" t="s">
        <v>135</v>
      </c>
      <c r="E70" s="5">
        <f>SUM(G70:$XET70)</f>
        <v>69</v>
      </c>
      <c r="F70" s="5">
        <f>COUNT(G70:$XFD70)</f>
        <v>22</v>
      </c>
      <c r="G70" s="5"/>
      <c r="H70" s="5"/>
      <c r="I70" s="5"/>
      <c r="J70" s="5"/>
      <c r="K70" s="5"/>
      <c r="L70" s="5"/>
      <c r="M70" s="5"/>
      <c r="N70" s="5">
        <v>1</v>
      </c>
      <c r="O70" s="5"/>
      <c r="P70" s="5"/>
      <c r="Q70" s="5">
        <v>4</v>
      </c>
      <c r="R70" s="5"/>
      <c r="S70" s="5"/>
      <c r="T70" s="5"/>
      <c r="U70" s="5"/>
      <c r="V70" s="5"/>
      <c r="W70" s="5">
        <v>3</v>
      </c>
      <c r="X70" s="5"/>
      <c r="Y70" s="5"/>
      <c r="Z70" s="5"/>
      <c r="AA70" s="5"/>
      <c r="AB70" s="5" t="s">
        <v>74</v>
      </c>
      <c r="AC70" s="5" t="s">
        <v>74</v>
      </c>
      <c r="AD70" s="5"/>
      <c r="AE70" s="5"/>
      <c r="AF70" s="5"/>
      <c r="AG70" s="5" t="s">
        <v>74</v>
      </c>
      <c r="AH70" s="5" t="s">
        <v>74</v>
      </c>
      <c r="AI70" s="5" t="s">
        <v>74</v>
      </c>
      <c r="AJ70" s="5">
        <v>4</v>
      </c>
      <c r="AK70" s="5">
        <v>4</v>
      </c>
      <c r="AL70" s="5"/>
      <c r="AM70" s="5"/>
      <c r="AN70" s="5"/>
      <c r="AO70" s="5"/>
      <c r="AP70" s="5"/>
      <c r="AQ70" s="5"/>
      <c r="AR70" s="5" t="s">
        <v>74</v>
      </c>
      <c r="AS70" s="5" t="s">
        <v>74</v>
      </c>
      <c r="AT70" s="5" t="s">
        <v>74</v>
      </c>
      <c r="AU70" s="5" t="s">
        <v>74</v>
      </c>
      <c r="AV70" s="5" t="s">
        <v>74</v>
      </c>
      <c r="AW70" s="5" t="s">
        <v>74</v>
      </c>
      <c r="AX70" s="5" t="s">
        <v>74</v>
      </c>
      <c r="AY70" s="5">
        <v>49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4</v>
      </c>
      <c r="BP70" s="5" t="s">
        <v>74</v>
      </c>
      <c r="BQ70" s="5" t="s">
        <v>74</v>
      </c>
      <c r="BR70" s="5" t="s">
        <v>74</v>
      </c>
      <c r="BS70" s="5"/>
      <c r="BT70" s="5" t="s">
        <v>74</v>
      </c>
      <c r="BU70" s="6" t="s">
        <v>51</v>
      </c>
      <c r="BV70" s="5" t="s">
        <v>74</v>
      </c>
      <c r="BW70" s="5"/>
      <c r="BX70" s="5" t="s">
        <v>74</v>
      </c>
      <c r="BY70" s="5"/>
      <c r="BZ70" s="5"/>
      <c r="CA70" s="10" t="s">
        <v>74</v>
      </c>
      <c r="CB70" s="5" t="s">
        <v>74</v>
      </c>
      <c r="CC70" s="5" t="s">
        <v>74</v>
      </c>
      <c r="CD70" s="5" t="s">
        <v>74</v>
      </c>
      <c r="CE70" s="5" t="s">
        <v>74</v>
      </c>
      <c r="CF70" s="8"/>
      <c r="CG70" s="5"/>
      <c r="CH70" s="5" t="s">
        <v>74</v>
      </c>
      <c r="CI70" s="5" t="s">
        <v>74</v>
      </c>
      <c r="CJ70" s="8" t="s">
        <v>74</v>
      </c>
      <c r="CK70" s="5"/>
      <c r="CL70" s="5" t="s">
        <v>74</v>
      </c>
      <c r="CM70" s="5" t="s">
        <v>74</v>
      </c>
      <c r="CN70" s="5" t="s">
        <v>74</v>
      </c>
      <c r="CO70" s="5"/>
      <c r="CP70" s="5" t="s">
        <v>74</v>
      </c>
    </row>
    <row r="71" spans="1:94" ht="25.25" customHeight="1">
      <c r="A71" s="5">
        <v>70</v>
      </c>
      <c r="B71" s="9" t="s">
        <v>145</v>
      </c>
      <c r="C71" s="9">
        <v>2024202045</v>
      </c>
      <c r="D71" s="5" t="s">
        <v>135</v>
      </c>
      <c r="E71" s="5">
        <f>SUM(G71:$XET71)</f>
        <v>14</v>
      </c>
      <c r="F71" s="5">
        <f>COUNT(G71:$XFD71)</f>
        <v>5</v>
      </c>
      <c r="G71" s="5"/>
      <c r="H71" s="5"/>
      <c r="I71" s="5"/>
      <c r="J71" s="5"/>
      <c r="K71" s="5"/>
      <c r="L71" s="5"/>
      <c r="M71" s="5"/>
      <c r="N71" s="5">
        <v>0.5</v>
      </c>
      <c r="O71" s="5"/>
      <c r="P71" s="5"/>
      <c r="Q71" s="5"/>
      <c r="R71" s="5"/>
      <c r="S71" s="5"/>
      <c r="T71" s="5"/>
      <c r="U71" s="5"/>
      <c r="V71" s="5"/>
      <c r="W71" s="5">
        <v>6</v>
      </c>
      <c r="X71" s="5"/>
      <c r="Y71" s="5"/>
      <c r="Z71" s="5"/>
      <c r="AA71" s="5"/>
      <c r="AB71" s="5" t="s">
        <v>74</v>
      </c>
      <c r="AC71" s="5" t="s">
        <v>74</v>
      </c>
      <c r="AD71" s="5"/>
      <c r="AE71" s="5"/>
      <c r="AF71" s="5"/>
      <c r="AG71" s="5" t="s">
        <v>74</v>
      </c>
      <c r="AH71" s="5" t="s">
        <v>74</v>
      </c>
      <c r="AI71" s="5" t="s">
        <v>74</v>
      </c>
      <c r="AJ71" s="5">
        <v>2</v>
      </c>
      <c r="AK71" s="5">
        <v>4</v>
      </c>
      <c r="AL71" s="5"/>
      <c r="AM71" s="5"/>
      <c r="AN71" s="5"/>
      <c r="AO71" s="5"/>
      <c r="AP71" s="5"/>
      <c r="AQ71" s="5"/>
      <c r="AR71" s="5" t="s">
        <v>74</v>
      </c>
      <c r="AS71" s="5" t="s">
        <v>74</v>
      </c>
      <c r="AT71" s="5" t="s">
        <v>74</v>
      </c>
      <c r="AU71" s="5" t="s">
        <v>74</v>
      </c>
      <c r="AV71" s="5" t="s">
        <v>74</v>
      </c>
      <c r="AW71" s="5" t="s">
        <v>74</v>
      </c>
      <c r="AX71" s="5" t="s">
        <v>74</v>
      </c>
      <c r="AY71" s="5" t="s">
        <v>74</v>
      </c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 t="s">
        <v>74</v>
      </c>
      <c r="BQ71" s="5" t="s">
        <v>74</v>
      </c>
      <c r="BR71" s="5" t="s">
        <v>74</v>
      </c>
      <c r="BS71" s="5"/>
      <c r="BT71" s="5" t="s">
        <v>74</v>
      </c>
      <c r="BU71" s="6" t="s">
        <v>51</v>
      </c>
      <c r="BV71" s="5" t="s">
        <v>74</v>
      </c>
      <c r="BW71" s="5"/>
      <c r="BX71" s="5" t="s">
        <v>74</v>
      </c>
      <c r="BY71" s="5"/>
      <c r="BZ71" s="5"/>
      <c r="CA71" s="10" t="s">
        <v>74</v>
      </c>
      <c r="CB71" s="5" t="s">
        <v>74</v>
      </c>
      <c r="CC71" s="5" t="s">
        <v>74</v>
      </c>
      <c r="CD71" s="5" t="s">
        <v>74</v>
      </c>
      <c r="CE71" s="5">
        <v>1.5</v>
      </c>
      <c r="CF71" s="8"/>
      <c r="CG71" s="5"/>
      <c r="CH71" s="5" t="s">
        <v>74</v>
      </c>
      <c r="CI71" s="5" t="s">
        <v>74</v>
      </c>
      <c r="CJ71" s="8" t="s">
        <v>74</v>
      </c>
      <c r="CK71" s="5"/>
      <c r="CL71" s="5" t="s">
        <v>74</v>
      </c>
      <c r="CM71" s="5" t="s">
        <v>74</v>
      </c>
      <c r="CN71" s="5" t="s">
        <v>74</v>
      </c>
      <c r="CO71" s="5"/>
      <c r="CP71" s="5" t="s">
        <v>74</v>
      </c>
    </row>
    <row r="72" spans="1:94" ht="25.25" customHeight="1">
      <c r="A72" s="5">
        <v>71</v>
      </c>
      <c r="B72" s="9" t="s">
        <v>146</v>
      </c>
      <c r="C72" s="9">
        <v>2024202069</v>
      </c>
      <c r="D72" s="5" t="s">
        <v>135</v>
      </c>
      <c r="E72" s="5">
        <f>SUM(G72:$XET72)</f>
        <v>16</v>
      </c>
      <c r="F72" s="5">
        <f>COUNT(G72:$XFD72)</f>
        <v>4</v>
      </c>
      <c r="G72" s="5"/>
      <c r="H72" s="5"/>
      <c r="I72" s="5"/>
      <c r="J72" s="5"/>
      <c r="K72" s="5"/>
      <c r="L72" s="5"/>
      <c r="M72" s="5"/>
      <c r="N72" s="5">
        <v>1</v>
      </c>
      <c r="O72" s="5"/>
      <c r="P72" s="5"/>
      <c r="Q72" s="5"/>
      <c r="R72" s="5"/>
      <c r="S72" s="5"/>
      <c r="T72" s="5"/>
      <c r="U72" s="5"/>
      <c r="V72" s="5"/>
      <c r="W72" s="5">
        <v>7</v>
      </c>
      <c r="X72" s="5"/>
      <c r="Y72" s="5"/>
      <c r="Z72" s="5"/>
      <c r="AA72" s="5"/>
      <c r="AB72" s="5" t="s">
        <v>74</v>
      </c>
      <c r="AC72" s="5" t="s">
        <v>74</v>
      </c>
      <c r="AD72" s="5"/>
      <c r="AE72" s="5"/>
      <c r="AF72" s="5"/>
      <c r="AG72" s="5" t="s">
        <v>74</v>
      </c>
      <c r="AH72" s="5" t="s">
        <v>74</v>
      </c>
      <c r="AI72" s="5" t="s">
        <v>74</v>
      </c>
      <c r="AJ72" s="5">
        <v>4</v>
      </c>
      <c r="AK72" s="5">
        <v>4</v>
      </c>
      <c r="AL72" s="5"/>
      <c r="AM72" s="5"/>
      <c r="AN72" s="5"/>
      <c r="AO72" s="5"/>
      <c r="AP72" s="5"/>
      <c r="AQ72" s="5"/>
      <c r="AR72" s="5" t="s">
        <v>74</v>
      </c>
      <c r="AS72" s="5" t="s">
        <v>74</v>
      </c>
      <c r="AT72" s="5" t="s">
        <v>74</v>
      </c>
      <c r="AU72" s="5" t="s">
        <v>74</v>
      </c>
      <c r="AV72" s="5" t="s">
        <v>74</v>
      </c>
      <c r="AW72" s="5" t="s">
        <v>74</v>
      </c>
      <c r="AX72" s="5" t="s">
        <v>74</v>
      </c>
      <c r="AY72" s="5" t="s">
        <v>74</v>
      </c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 t="s">
        <v>74</v>
      </c>
      <c r="BQ72" s="5" t="s">
        <v>74</v>
      </c>
      <c r="BR72" s="5" t="s">
        <v>74</v>
      </c>
      <c r="BS72" s="5"/>
      <c r="BT72" s="5" t="s">
        <v>74</v>
      </c>
      <c r="BU72" s="6" t="s">
        <v>51</v>
      </c>
      <c r="BV72" s="5" t="s">
        <v>74</v>
      </c>
      <c r="BW72" s="5"/>
      <c r="BX72" s="5" t="s">
        <v>74</v>
      </c>
      <c r="BY72" s="5"/>
      <c r="BZ72" s="5"/>
      <c r="CA72" s="10" t="s">
        <v>74</v>
      </c>
      <c r="CB72" s="5" t="s">
        <v>74</v>
      </c>
      <c r="CC72" s="5" t="s">
        <v>74</v>
      </c>
      <c r="CD72" s="5" t="s">
        <v>74</v>
      </c>
      <c r="CE72" s="5" t="s">
        <v>74</v>
      </c>
      <c r="CF72" s="8"/>
      <c r="CG72" s="5"/>
      <c r="CH72" s="5" t="s">
        <v>74</v>
      </c>
      <c r="CI72" s="5" t="s">
        <v>74</v>
      </c>
      <c r="CJ72" s="8" t="s">
        <v>74</v>
      </c>
      <c r="CK72" s="5"/>
      <c r="CL72" s="5" t="s">
        <v>74</v>
      </c>
      <c r="CM72" s="5" t="s">
        <v>74</v>
      </c>
      <c r="CN72" s="5" t="s">
        <v>74</v>
      </c>
      <c r="CO72" s="5"/>
      <c r="CP72" s="5" t="s">
        <v>74</v>
      </c>
    </row>
    <row r="73" spans="1:94" ht="25.25" customHeight="1">
      <c r="A73" s="5">
        <v>72</v>
      </c>
      <c r="B73" s="9" t="s">
        <v>147</v>
      </c>
      <c r="C73" s="9">
        <v>2024202139</v>
      </c>
      <c r="D73" s="5" t="s">
        <v>135</v>
      </c>
      <c r="E73" s="5">
        <f>SUM(G73:$XET73)</f>
        <v>0</v>
      </c>
      <c r="F73" s="5">
        <f>COUNT(G73:$XFD73)</f>
        <v>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 t="s">
        <v>74</v>
      </c>
      <c r="AC73" s="5" t="s">
        <v>74</v>
      </c>
      <c r="AD73" s="5"/>
      <c r="AE73" s="5"/>
      <c r="AF73" s="5"/>
      <c r="AG73" s="5" t="s">
        <v>74</v>
      </c>
      <c r="AH73" s="5" t="s">
        <v>74</v>
      </c>
      <c r="AI73" s="5" t="s">
        <v>74</v>
      </c>
      <c r="AJ73" s="5" t="s">
        <v>74</v>
      </c>
      <c r="AK73" s="5" t="s">
        <v>74</v>
      </c>
      <c r="AL73" s="5"/>
      <c r="AM73" s="5"/>
      <c r="AN73" s="5"/>
      <c r="AO73" s="5"/>
      <c r="AP73" s="5"/>
      <c r="AQ73" s="5"/>
      <c r="AR73" s="5" t="s">
        <v>74</v>
      </c>
      <c r="AS73" s="5" t="s">
        <v>74</v>
      </c>
      <c r="AT73" s="5" t="s">
        <v>74</v>
      </c>
      <c r="AU73" s="5" t="s">
        <v>74</v>
      </c>
      <c r="AV73" s="5" t="s">
        <v>74</v>
      </c>
      <c r="AW73" s="5" t="s">
        <v>74</v>
      </c>
      <c r="AX73" s="5" t="s">
        <v>74</v>
      </c>
      <c r="AY73" s="5" t="s">
        <v>74</v>
      </c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 t="s">
        <v>74</v>
      </c>
      <c r="BQ73" s="5" t="s">
        <v>74</v>
      </c>
      <c r="BR73" s="5" t="s">
        <v>74</v>
      </c>
      <c r="BS73" s="5"/>
      <c r="BT73" s="5" t="s">
        <v>74</v>
      </c>
      <c r="BU73" s="6" t="s">
        <v>51</v>
      </c>
      <c r="BV73" s="5" t="s">
        <v>74</v>
      </c>
      <c r="BW73" s="5"/>
      <c r="BX73" s="5" t="s">
        <v>74</v>
      </c>
      <c r="BY73" s="5"/>
      <c r="BZ73" s="5"/>
      <c r="CA73" s="10" t="s">
        <v>74</v>
      </c>
      <c r="CB73" s="5" t="s">
        <v>74</v>
      </c>
      <c r="CC73" s="5" t="s">
        <v>74</v>
      </c>
      <c r="CD73" s="5" t="s">
        <v>74</v>
      </c>
      <c r="CE73" s="5" t="s">
        <v>74</v>
      </c>
      <c r="CF73" s="8"/>
      <c r="CG73" s="5"/>
      <c r="CH73" s="5" t="s">
        <v>74</v>
      </c>
      <c r="CI73" s="5" t="s">
        <v>74</v>
      </c>
      <c r="CJ73" s="8" t="s">
        <v>74</v>
      </c>
      <c r="CK73" s="5"/>
      <c r="CL73" s="5" t="s">
        <v>74</v>
      </c>
      <c r="CM73" s="5" t="s">
        <v>74</v>
      </c>
      <c r="CN73" s="5" t="s">
        <v>74</v>
      </c>
      <c r="CO73" s="5"/>
      <c r="CP73" s="5" t="s">
        <v>74</v>
      </c>
    </row>
    <row r="74" spans="1:94" ht="25.25" customHeight="1">
      <c r="A74" s="5">
        <v>73</v>
      </c>
      <c r="B74" s="9" t="s">
        <v>148</v>
      </c>
      <c r="C74" s="9">
        <v>2024202028</v>
      </c>
      <c r="D74" s="5" t="s">
        <v>135</v>
      </c>
      <c r="E74" s="5">
        <f>SUM(G74:$XET74)</f>
        <v>46</v>
      </c>
      <c r="F74" s="5">
        <f>COUNT(G74:$XFD74)</f>
        <v>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 t="s">
        <v>74</v>
      </c>
      <c r="AC74" s="5" t="s">
        <v>74</v>
      </c>
      <c r="AD74" s="5"/>
      <c r="AE74" s="5"/>
      <c r="AF74" s="5"/>
      <c r="AG74" s="5" t="s">
        <v>74</v>
      </c>
      <c r="AH74" s="5" t="s">
        <v>74</v>
      </c>
      <c r="AI74" s="5" t="s">
        <v>74</v>
      </c>
      <c r="AJ74" s="5">
        <v>2</v>
      </c>
      <c r="AK74" s="5" t="s">
        <v>74</v>
      </c>
      <c r="AL74" s="5"/>
      <c r="AM74" s="5"/>
      <c r="AN74" s="5"/>
      <c r="AO74" s="5"/>
      <c r="AP74" s="5"/>
      <c r="AQ74" s="5"/>
      <c r="AR74" s="5" t="s">
        <v>74</v>
      </c>
      <c r="AS74" s="5" t="s">
        <v>74</v>
      </c>
      <c r="AT74" s="5" t="s">
        <v>74</v>
      </c>
      <c r="AU74" s="5" t="s">
        <v>74</v>
      </c>
      <c r="AV74" s="5" t="s">
        <v>74</v>
      </c>
      <c r="AW74" s="5" t="s">
        <v>74</v>
      </c>
      <c r="AX74" s="5" t="s">
        <v>74</v>
      </c>
      <c r="AY74" s="5">
        <v>40</v>
      </c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4</v>
      </c>
      <c r="BQ74" s="5" t="s">
        <v>74</v>
      </c>
      <c r="BR74" s="5" t="s">
        <v>74</v>
      </c>
      <c r="BS74" s="5"/>
      <c r="BT74" s="5" t="s">
        <v>74</v>
      </c>
      <c r="BU74" s="6" t="s">
        <v>51</v>
      </c>
      <c r="BV74" s="5" t="s">
        <v>74</v>
      </c>
      <c r="BW74" s="5"/>
      <c r="BX74" s="5" t="s">
        <v>74</v>
      </c>
      <c r="BY74" s="5"/>
      <c r="BZ74" s="5"/>
      <c r="CA74" s="10" t="s">
        <v>74</v>
      </c>
      <c r="CB74" s="5" t="s">
        <v>74</v>
      </c>
      <c r="CC74" s="5" t="s">
        <v>74</v>
      </c>
      <c r="CD74" s="5" t="s">
        <v>74</v>
      </c>
      <c r="CE74" s="5" t="s">
        <v>74</v>
      </c>
      <c r="CF74" s="8"/>
      <c r="CG74" s="5"/>
      <c r="CH74" s="5" t="s">
        <v>74</v>
      </c>
      <c r="CI74" s="5" t="s">
        <v>74</v>
      </c>
      <c r="CJ74" s="8" t="s">
        <v>74</v>
      </c>
      <c r="CK74" s="5"/>
      <c r="CL74" s="5" t="s">
        <v>74</v>
      </c>
      <c r="CM74" s="5" t="s">
        <v>74</v>
      </c>
      <c r="CN74" s="5" t="s">
        <v>74</v>
      </c>
      <c r="CO74" s="5"/>
      <c r="CP74" s="5" t="s">
        <v>74</v>
      </c>
    </row>
    <row r="75" spans="1:94" ht="25.25" customHeight="1">
      <c r="A75" s="5">
        <v>74</v>
      </c>
      <c r="B75" s="9" t="s">
        <v>149</v>
      </c>
      <c r="C75" s="9">
        <v>2024202097</v>
      </c>
      <c r="D75" s="5" t="s">
        <v>135</v>
      </c>
      <c r="E75" s="5">
        <f>SUM(G75:$XET75)</f>
        <v>6</v>
      </c>
      <c r="F75" s="5">
        <f>COUNT(G75:$XFD75)</f>
        <v>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 t="s">
        <v>74</v>
      </c>
      <c r="AC75" s="5" t="s">
        <v>74</v>
      </c>
      <c r="AD75" s="5"/>
      <c r="AE75" s="5"/>
      <c r="AF75" s="5"/>
      <c r="AG75" s="5" t="s">
        <v>74</v>
      </c>
      <c r="AH75" s="5" t="s">
        <v>74</v>
      </c>
      <c r="AI75" s="5" t="s">
        <v>74</v>
      </c>
      <c r="AJ75" s="5">
        <v>2</v>
      </c>
      <c r="AK75" s="5">
        <v>4</v>
      </c>
      <c r="AL75" s="5"/>
      <c r="AM75" s="5"/>
      <c r="AN75" s="5"/>
      <c r="AO75" s="5"/>
      <c r="AP75" s="5"/>
      <c r="AQ75" s="5"/>
      <c r="AR75" s="5" t="s">
        <v>74</v>
      </c>
      <c r="AS75" s="5" t="s">
        <v>74</v>
      </c>
      <c r="AT75" s="5" t="s">
        <v>74</v>
      </c>
      <c r="AU75" s="5" t="s">
        <v>74</v>
      </c>
      <c r="AV75" s="5" t="s">
        <v>74</v>
      </c>
      <c r="AW75" s="5" t="s">
        <v>74</v>
      </c>
      <c r="AX75" s="5" t="s">
        <v>74</v>
      </c>
      <c r="AY75" s="5" t="s">
        <v>74</v>
      </c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 t="s">
        <v>74</v>
      </c>
      <c r="BQ75" s="5" t="s">
        <v>74</v>
      </c>
      <c r="BR75" s="5" t="s">
        <v>74</v>
      </c>
      <c r="BS75" s="5"/>
      <c r="BT75" s="5" t="s">
        <v>74</v>
      </c>
      <c r="BU75" s="6" t="s">
        <v>51</v>
      </c>
      <c r="BV75" s="5" t="s">
        <v>74</v>
      </c>
      <c r="BW75" s="5"/>
      <c r="BX75" s="5" t="s">
        <v>74</v>
      </c>
      <c r="BY75" s="5"/>
      <c r="BZ75" s="5"/>
      <c r="CA75" s="10" t="s">
        <v>74</v>
      </c>
      <c r="CB75" s="5" t="s">
        <v>74</v>
      </c>
      <c r="CC75" s="5" t="s">
        <v>74</v>
      </c>
      <c r="CD75" s="5" t="s">
        <v>74</v>
      </c>
      <c r="CE75" s="5" t="s">
        <v>74</v>
      </c>
      <c r="CF75" s="8"/>
      <c r="CG75" s="5"/>
      <c r="CH75" s="5" t="s">
        <v>74</v>
      </c>
      <c r="CI75" s="5" t="s">
        <v>74</v>
      </c>
      <c r="CJ75" s="8" t="s">
        <v>74</v>
      </c>
      <c r="CK75" s="5"/>
      <c r="CL75" s="5" t="s">
        <v>74</v>
      </c>
      <c r="CM75" s="5" t="s">
        <v>74</v>
      </c>
      <c r="CN75" s="5" t="s">
        <v>74</v>
      </c>
      <c r="CO75" s="5"/>
      <c r="CP75" s="5" t="s">
        <v>74</v>
      </c>
    </row>
    <row r="76" spans="1:94" ht="25.25" customHeight="1">
      <c r="A76" s="5">
        <v>75</v>
      </c>
      <c r="B76" s="9" t="s">
        <v>150</v>
      </c>
      <c r="C76" s="9">
        <v>2024202145</v>
      </c>
      <c r="D76" s="5" t="s">
        <v>135</v>
      </c>
      <c r="E76" s="5">
        <f>SUM(G76:$XET76)</f>
        <v>16</v>
      </c>
      <c r="F76" s="5">
        <f>COUNT(G76:$XFD76)</f>
        <v>3</v>
      </c>
      <c r="G76" s="5"/>
      <c r="H76" s="5"/>
      <c r="I76" s="5"/>
      <c r="J76" s="5"/>
      <c r="K76" s="5"/>
      <c r="L76" s="5"/>
      <c r="M76" s="5"/>
      <c r="N76" s="5"/>
      <c r="O76" s="5"/>
      <c r="P76" s="5">
        <v>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</v>
      </c>
      <c r="AB76" s="5" t="s">
        <v>74</v>
      </c>
      <c r="AC76" s="5" t="s">
        <v>74</v>
      </c>
      <c r="AD76" s="5"/>
      <c r="AE76" s="5"/>
      <c r="AF76" s="5"/>
      <c r="AG76" s="5" t="s">
        <v>74</v>
      </c>
      <c r="AH76" s="5" t="s">
        <v>74</v>
      </c>
      <c r="AI76" s="5" t="s">
        <v>74</v>
      </c>
      <c r="AJ76" s="5" t="s">
        <v>74</v>
      </c>
      <c r="AK76" s="5" t="s">
        <v>74</v>
      </c>
      <c r="AL76" s="5"/>
      <c r="AM76" s="5"/>
      <c r="AN76" s="5"/>
      <c r="AO76" s="5"/>
      <c r="AP76" s="5"/>
      <c r="AQ76" s="5"/>
      <c r="AR76" s="5" t="s">
        <v>74</v>
      </c>
      <c r="AS76" s="5" t="s">
        <v>74</v>
      </c>
      <c r="AT76" s="5" t="s">
        <v>74</v>
      </c>
      <c r="AU76" s="5" t="s">
        <v>74</v>
      </c>
      <c r="AV76" s="5" t="s">
        <v>74</v>
      </c>
      <c r="AW76" s="5">
        <v>6</v>
      </c>
      <c r="AX76" s="5" t="s">
        <v>74</v>
      </c>
      <c r="AY76" s="5" t="s">
        <v>74</v>
      </c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 t="s">
        <v>74</v>
      </c>
      <c r="BQ76" s="5" t="s">
        <v>74</v>
      </c>
      <c r="BR76" s="5" t="s">
        <v>74</v>
      </c>
      <c r="BS76" s="5"/>
      <c r="BT76" s="5" t="s">
        <v>74</v>
      </c>
      <c r="BU76" s="6" t="s">
        <v>51</v>
      </c>
      <c r="BV76" s="5" t="s">
        <v>74</v>
      </c>
      <c r="BW76" s="5"/>
      <c r="BX76" s="5" t="s">
        <v>74</v>
      </c>
      <c r="BY76" s="5"/>
      <c r="BZ76" s="5"/>
      <c r="CA76" s="10" t="s">
        <v>74</v>
      </c>
      <c r="CB76" s="5" t="s">
        <v>74</v>
      </c>
      <c r="CC76" s="5" t="s">
        <v>74</v>
      </c>
      <c r="CD76" s="5" t="s">
        <v>74</v>
      </c>
      <c r="CE76" s="5" t="s">
        <v>74</v>
      </c>
      <c r="CF76" s="8"/>
      <c r="CG76" s="5"/>
      <c r="CH76" s="5" t="s">
        <v>74</v>
      </c>
      <c r="CI76" s="5" t="s">
        <v>74</v>
      </c>
      <c r="CJ76" s="8" t="s">
        <v>74</v>
      </c>
      <c r="CK76" s="5"/>
      <c r="CL76" s="5" t="s">
        <v>74</v>
      </c>
      <c r="CM76" s="5" t="s">
        <v>74</v>
      </c>
      <c r="CN76" s="5" t="s">
        <v>74</v>
      </c>
      <c r="CO76" s="5"/>
      <c r="CP76" s="5" t="s">
        <v>74</v>
      </c>
    </row>
    <row r="77" spans="1:94" ht="25.25" customHeight="1">
      <c r="A77" s="5">
        <v>76</v>
      </c>
      <c r="B77" s="9" t="s">
        <v>151</v>
      </c>
      <c r="C77" s="9">
        <v>2024202161</v>
      </c>
      <c r="D77" s="5" t="s">
        <v>135</v>
      </c>
      <c r="E77" s="5">
        <f>SUM(G77:$XET77)</f>
        <v>6</v>
      </c>
      <c r="F77" s="5">
        <f>COUNT(G77:$XFD77)</f>
        <v>2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 t="s">
        <v>74</v>
      </c>
      <c r="AC77" s="5" t="s">
        <v>74</v>
      </c>
      <c r="AD77" s="5"/>
      <c r="AE77" s="5"/>
      <c r="AF77" s="5"/>
      <c r="AG77" s="5" t="s">
        <v>74</v>
      </c>
      <c r="AH77" s="5" t="s">
        <v>74</v>
      </c>
      <c r="AI77" s="5" t="s">
        <v>74</v>
      </c>
      <c r="AJ77" s="5">
        <v>2</v>
      </c>
      <c r="AK77" s="5">
        <v>4</v>
      </c>
      <c r="AL77" s="5"/>
      <c r="AM77" s="5"/>
      <c r="AN77" s="5"/>
      <c r="AO77" s="5"/>
      <c r="AP77" s="5"/>
      <c r="AQ77" s="5"/>
      <c r="AR77" s="5" t="s">
        <v>74</v>
      </c>
      <c r="AS77" s="5" t="s">
        <v>74</v>
      </c>
      <c r="AT77" s="5" t="s">
        <v>74</v>
      </c>
      <c r="AU77" s="5" t="s">
        <v>74</v>
      </c>
      <c r="AV77" s="5" t="s">
        <v>74</v>
      </c>
      <c r="AW77" s="5" t="s">
        <v>74</v>
      </c>
      <c r="AX77" s="5" t="s">
        <v>74</v>
      </c>
      <c r="AY77" s="5" t="s">
        <v>74</v>
      </c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 t="s">
        <v>74</v>
      </c>
      <c r="BQ77" s="5" t="s">
        <v>74</v>
      </c>
      <c r="BR77" s="5" t="s">
        <v>74</v>
      </c>
      <c r="BS77" s="5"/>
      <c r="BT77" s="5" t="s">
        <v>74</v>
      </c>
      <c r="BU77" s="6" t="s">
        <v>51</v>
      </c>
      <c r="BV77" s="5" t="s">
        <v>74</v>
      </c>
      <c r="BW77" s="5"/>
      <c r="BX77" s="5" t="s">
        <v>74</v>
      </c>
      <c r="BY77" s="5"/>
      <c r="BZ77" s="5"/>
      <c r="CA77" s="10" t="s">
        <v>74</v>
      </c>
      <c r="CB77" s="5" t="s">
        <v>74</v>
      </c>
      <c r="CC77" s="5" t="s">
        <v>74</v>
      </c>
      <c r="CD77" s="5" t="s">
        <v>74</v>
      </c>
      <c r="CE77" s="5" t="s">
        <v>74</v>
      </c>
      <c r="CF77" s="8"/>
      <c r="CG77" s="5"/>
      <c r="CH77" s="5" t="s">
        <v>74</v>
      </c>
      <c r="CI77" s="5" t="s">
        <v>74</v>
      </c>
      <c r="CJ77" s="8" t="s">
        <v>74</v>
      </c>
      <c r="CK77" s="5"/>
      <c r="CL77" s="5" t="s">
        <v>74</v>
      </c>
      <c r="CM77" s="5" t="s">
        <v>74</v>
      </c>
      <c r="CN77" s="5" t="s">
        <v>74</v>
      </c>
      <c r="CO77" s="5"/>
      <c r="CP77" s="5" t="s">
        <v>74</v>
      </c>
    </row>
    <row r="78" spans="1:94" ht="25.25" customHeight="1">
      <c r="A78" s="5">
        <v>77</v>
      </c>
      <c r="B78" s="9" t="s">
        <v>152</v>
      </c>
      <c r="C78" s="9">
        <v>2024202030</v>
      </c>
      <c r="D78" s="5" t="s">
        <v>135</v>
      </c>
      <c r="E78" s="5">
        <f>SUM(G78:$XET78)</f>
        <v>6</v>
      </c>
      <c r="F78" s="5">
        <f>COUNT(G78:$XFD78)</f>
        <v>2</v>
      </c>
      <c r="G78" s="5"/>
      <c r="H78" s="5"/>
      <c r="I78" s="5"/>
      <c r="J78" s="5"/>
      <c r="K78" s="5"/>
      <c r="L78" s="5"/>
      <c r="M78" s="5"/>
      <c r="N78" s="5">
        <v>2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 t="s">
        <v>74</v>
      </c>
      <c r="AC78" s="5" t="s">
        <v>74</v>
      </c>
      <c r="AD78" s="5"/>
      <c r="AE78" s="5"/>
      <c r="AF78" s="5"/>
      <c r="AG78" s="5" t="s">
        <v>74</v>
      </c>
      <c r="AH78" s="5" t="s">
        <v>74</v>
      </c>
      <c r="AI78" s="5" t="s">
        <v>74</v>
      </c>
      <c r="AJ78" s="5" t="s">
        <v>74</v>
      </c>
      <c r="AK78" s="5">
        <v>4</v>
      </c>
      <c r="AL78" s="5"/>
      <c r="AM78" s="5"/>
      <c r="AN78" s="5"/>
      <c r="AO78" s="5"/>
      <c r="AP78" s="5"/>
      <c r="AQ78" s="5"/>
      <c r="AR78" s="5" t="s">
        <v>74</v>
      </c>
      <c r="AS78" s="5" t="s">
        <v>74</v>
      </c>
      <c r="AT78" s="5" t="s">
        <v>74</v>
      </c>
      <c r="AU78" s="5" t="s">
        <v>74</v>
      </c>
      <c r="AV78" s="5" t="s">
        <v>74</v>
      </c>
      <c r="AW78" s="5" t="s">
        <v>74</v>
      </c>
      <c r="AX78" s="5" t="s">
        <v>74</v>
      </c>
      <c r="AY78" s="5" t="s">
        <v>74</v>
      </c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 t="s">
        <v>74</v>
      </c>
      <c r="BQ78" s="5" t="s">
        <v>74</v>
      </c>
      <c r="BR78" s="5" t="s">
        <v>74</v>
      </c>
      <c r="BS78" s="5"/>
      <c r="BT78" s="5" t="s">
        <v>74</v>
      </c>
      <c r="BU78" s="6" t="s">
        <v>51</v>
      </c>
      <c r="BV78" s="5" t="s">
        <v>74</v>
      </c>
      <c r="BW78" s="5"/>
      <c r="BX78" s="5" t="s">
        <v>74</v>
      </c>
      <c r="BY78" s="5"/>
      <c r="BZ78" s="5"/>
      <c r="CA78" s="10" t="s">
        <v>74</v>
      </c>
      <c r="CB78" s="5" t="s">
        <v>74</v>
      </c>
      <c r="CC78" s="5" t="s">
        <v>74</v>
      </c>
      <c r="CD78" s="5" t="s">
        <v>74</v>
      </c>
      <c r="CE78" s="5" t="s">
        <v>74</v>
      </c>
      <c r="CF78" s="8"/>
      <c r="CG78" s="5"/>
      <c r="CH78" s="5" t="s">
        <v>74</v>
      </c>
      <c r="CI78" s="5" t="s">
        <v>74</v>
      </c>
      <c r="CJ78" s="8" t="s">
        <v>74</v>
      </c>
      <c r="CK78" s="5"/>
      <c r="CL78" s="5" t="s">
        <v>74</v>
      </c>
      <c r="CM78" s="5" t="s">
        <v>74</v>
      </c>
      <c r="CN78" s="5" t="s">
        <v>74</v>
      </c>
      <c r="CO78" s="5"/>
      <c r="CP78" s="5" t="s">
        <v>74</v>
      </c>
    </row>
    <row r="79" spans="1:94" ht="25.25" customHeight="1">
      <c r="A79" s="5">
        <v>78</v>
      </c>
      <c r="B79" s="9" t="s">
        <v>153</v>
      </c>
      <c r="C79" s="9">
        <v>2024202098</v>
      </c>
      <c r="D79" s="5" t="s">
        <v>135</v>
      </c>
      <c r="E79" s="5">
        <f>SUM(G79:$XET79)</f>
        <v>15</v>
      </c>
      <c r="F79" s="5">
        <f>COUNT(G79:$XFD79)</f>
        <v>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v>15</v>
      </c>
      <c r="S79" s="5"/>
      <c r="T79" s="5"/>
      <c r="U79" s="5"/>
      <c r="V79" s="5"/>
      <c r="W79" s="5"/>
      <c r="X79" s="5"/>
      <c r="Y79" s="5"/>
      <c r="Z79" s="5"/>
      <c r="AA79" s="5"/>
      <c r="AB79" s="5" t="s">
        <v>74</v>
      </c>
      <c r="AC79" s="5" t="s">
        <v>74</v>
      </c>
      <c r="AD79" s="5"/>
      <c r="AE79" s="5"/>
      <c r="AF79" s="5"/>
      <c r="AG79" s="5" t="s">
        <v>74</v>
      </c>
      <c r="AH79" s="5" t="s">
        <v>74</v>
      </c>
      <c r="AI79" s="5" t="s">
        <v>74</v>
      </c>
      <c r="AJ79" s="5" t="s">
        <v>74</v>
      </c>
      <c r="AK79" s="5" t="s">
        <v>74</v>
      </c>
      <c r="AL79" s="5"/>
      <c r="AM79" s="5"/>
      <c r="AN79" s="5"/>
      <c r="AO79" s="5"/>
      <c r="AP79" s="5"/>
      <c r="AQ79" s="5"/>
      <c r="AR79" s="5" t="s">
        <v>74</v>
      </c>
      <c r="AS79" s="5" t="s">
        <v>74</v>
      </c>
      <c r="AT79" s="5" t="s">
        <v>74</v>
      </c>
      <c r="AU79" s="5" t="s">
        <v>74</v>
      </c>
      <c r="AV79" s="5" t="s">
        <v>74</v>
      </c>
      <c r="AW79" s="5" t="s">
        <v>74</v>
      </c>
      <c r="AX79" s="5" t="s">
        <v>74</v>
      </c>
      <c r="AY79" s="5" t="s">
        <v>74</v>
      </c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 t="s">
        <v>74</v>
      </c>
      <c r="BQ79" s="5" t="s">
        <v>74</v>
      </c>
      <c r="BR79" s="5" t="s">
        <v>74</v>
      </c>
      <c r="BS79" s="5"/>
      <c r="BT79" s="5" t="s">
        <v>74</v>
      </c>
      <c r="BU79" s="6" t="s">
        <v>51</v>
      </c>
      <c r="BV79" s="5" t="s">
        <v>74</v>
      </c>
      <c r="BW79" s="5"/>
      <c r="BX79" s="5" t="s">
        <v>74</v>
      </c>
      <c r="BY79" s="5"/>
      <c r="BZ79" s="5"/>
      <c r="CA79" s="10" t="s">
        <v>74</v>
      </c>
      <c r="CB79" s="5" t="s">
        <v>74</v>
      </c>
      <c r="CC79" s="5" t="s">
        <v>74</v>
      </c>
      <c r="CD79" s="5" t="s">
        <v>74</v>
      </c>
      <c r="CE79" s="5" t="s">
        <v>74</v>
      </c>
      <c r="CF79" s="8"/>
      <c r="CG79" s="5"/>
      <c r="CH79" s="5" t="s">
        <v>74</v>
      </c>
      <c r="CI79" s="5" t="s">
        <v>74</v>
      </c>
      <c r="CJ79" s="8" t="s">
        <v>74</v>
      </c>
      <c r="CK79" s="5"/>
      <c r="CL79" s="5" t="s">
        <v>74</v>
      </c>
      <c r="CM79" s="5" t="s">
        <v>74</v>
      </c>
      <c r="CN79" s="5" t="s">
        <v>74</v>
      </c>
      <c r="CO79" s="5"/>
      <c r="CP79" s="5" t="s">
        <v>74</v>
      </c>
    </row>
    <row r="80" spans="1:94" ht="25.25" customHeight="1">
      <c r="A80" s="5">
        <v>79</v>
      </c>
      <c r="B80" s="9" t="s">
        <v>154</v>
      </c>
      <c r="C80" s="9">
        <v>2024202163</v>
      </c>
      <c r="D80" s="5" t="s">
        <v>135</v>
      </c>
      <c r="E80" s="5">
        <f>SUM(G80:$XET80)</f>
        <v>8</v>
      </c>
      <c r="F80" s="5">
        <f>COUNT(G80:$XFD80)</f>
        <v>2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 t="s">
        <v>74</v>
      </c>
      <c r="AC80" s="5" t="s">
        <v>74</v>
      </c>
      <c r="AD80" s="5"/>
      <c r="AE80" s="5"/>
      <c r="AF80" s="5"/>
      <c r="AG80" s="5" t="s">
        <v>74</v>
      </c>
      <c r="AH80" s="5" t="s">
        <v>74</v>
      </c>
      <c r="AI80" s="5" t="s">
        <v>74</v>
      </c>
      <c r="AJ80" s="5" t="s">
        <v>74</v>
      </c>
      <c r="AK80" s="5" t="s">
        <v>74</v>
      </c>
      <c r="AL80" s="5"/>
      <c r="AM80" s="5"/>
      <c r="AN80" s="5"/>
      <c r="AO80" s="5"/>
      <c r="AP80" s="5"/>
      <c r="AQ80" s="5"/>
      <c r="AR80" s="5" t="s">
        <v>74</v>
      </c>
      <c r="AS80" s="5" t="s">
        <v>74</v>
      </c>
      <c r="AT80" s="5" t="s">
        <v>74</v>
      </c>
      <c r="AU80" s="5" t="s">
        <v>74</v>
      </c>
      <c r="AV80" s="5" t="s">
        <v>74</v>
      </c>
      <c r="AW80" s="5" t="s">
        <v>74</v>
      </c>
      <c r="AX80" s="5" t="s">
        <v>74</v>
      </c>
      <c r="AY80" s="5" t="s">
        <v>74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 t="s">
        <v>74</v>
      </c>
      <c r="BQ80" s="5" t="s">
        <v>74</v>
      </c>
      <c r="BR80" s="5" t="s">
        <v>74</v>
      </c>
      <c r="BS80" s="5"/>
      <c r="BT80" s="5" t="s">
        <v>74</v>
      </c>
      <c r="BU80" s="6" t="s">
        <v>51</v>
      </c>
      <c r="BV80" s="5" t="s">
        <v>74</v>
      </c>
      <c r="BW80" s="5"/>
      <c r="BX80" s="5" t="s">
        <v>74</v>
      </c>
      <c r="BY80" s="5"/>
      <c r="BZ80" s="5"/>
      <c r="CA80" s="10" t="s">
        <v>74</v>
      </c>
      <c r="CB80" s="5">
        <v>3</v>
      </c>
      <c r="CC80" s="5" t="s">
        <v>74</v>
      </c>
      <c r="CD80" s="5" t="s">
        <v>74</v>
      </c>
      <c r="CE80" s="5" t="s">
        <v>74</v>
      </c>
      <c r="CF80" s="8"/>
      <c r="CG80" s="5"/>
      <c r="CH80" s="5" t="s">
        <v>74</v>
      </c>
      <c r="CI80" s="5" t="s">
        <v>74</v>
      </c>
      <c r="CJ80" s="8" t="s">
        <v>74</v>
      </c>
      <c r="CK80" s="5"/>
      <c r="CL80" s="5" t="s">
        <v>74</v>
      </c>
      <c r="CM80" s="5" t="s">
        <v>74</v>
      </c>
      <c r="CN80" s="5">
        <v>5</v>
      </c>
      <c r="CO80" s="5"/>
      <c r="CP80" s="5" t="s">
        <v>74</v>
      </c>
    </row>
    <row r="81" spans="1:94" ht="25.25" customHeight="1">
      <c r="A81" s="5">
        <v>80</v>
      </c>
      <c r="B81" s="9" t="s">
        <v>155</v>
      </c>
      <c r="C81" s="9">
        <v>2024202212</v>
      </c>
      <c r="D81" s="5" t="s">
        <v>135</v>
      </c>
      <c r="E81" s="5">
        <f>SUM(G81:$XET81)</f>
        <v>0</v>
      </c>
      <c r="F81" s="5">
        <f>COUNT(G81:$XFD81)</f>
        <v>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 t="s">
        <v>74</v>
      </c>
      <c r="AC81" s="5" t="s">
        <v>74</v>
      </c>
      <c r="AD81" s="5"/>
      <c r="AE81" s="5"/>
      <c r="AF81" s="5"/>
      <c r="AG81" s="5" t="s">
        <v>74</v>
      </c>
      <c r="AH81" s="5" t="s">
        <v>74</v>
      </c>
      <c r="AI81" s="5" t="s">
        <v>74</v>
      </c>
      <c r="AJ81" s="5" t="s">
        <v>74</v>
      </c>
      <c r="AK81" s="5" t="s">
        <v>74</v>
      </c>
      <c r="AL81" s="5"/>
      <c r="AM81" s="5"/>
      <c r="AN81" s="5"/>
      <c r="AO81" s="5"/>
      <c r="AP81" s="5"/>
      <c r="AQ81" s="5"/>
      <c r="AR81" s="5" t="s">
        <v>74</v>
      </c>
      <c r="AS81" s="5" t="s">
        <v>74</v>
      </c>
      <c r="AT81" s="5" t="s">
        <v>74</v>
      </c>
      <c r="AU81" s="5" t="s">
        <v>74</v>
      </c>
      <c r="AV81" s="5" t="s">
        <v>74</v>
      </c>
      <c r="AW81" s="5" t="s">
        <v>74</v>
      </c>
      <c r="AX81" s="5" t="s">
        <v>74</v>
      </c>
      <c r="AY81" s="5" t="s">
        <v>74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 t="s">
        <v>74</v>
      </c>
      <c r="BQ81" s="5" t="s">
        <v>74</v>
      </c>
      <c r="BR81" s="5" t="s">
        <v>74</v>
      </c>
      <c r="BS81" s="5"/>
      <c r="BT81" s="5" t="s">
        <v>74</v>
      </c>
      <c r="BU81" s="6" t="s">
        <v>51</v>
      </c>
      <c r="BV81" s="5" t="s">
        <v>74</v>
      </c>
      <c r="BW81" s="5"/>
      <c r="BX81" s="5" t="s">
        <v>74</v>
      </c>
      <c r="BY81" s="5"/>
      <c r="BZ81" s="5"/>
      <c r="CA81" s="10" t="s">
        <v>74</v>
      </c>
      <c r="CB81" s="5" t="s">
        <v>74</v>
      </c>
      <c r="CC81" s="5" t="s">
        <v>74</v>
      </c>
      <c r="CD81" s="5" t="s">
        <v>74</v>
      </c>
      <c r="CE81" s="5" t="s">
        <v>74</v>
      </c>
      <c r="CF81" s="8"/>
      <c r="CG81" s="5"/>
      <c r="CH81" s="5" t="s">
        <v>74</v>
      </c>
      <c r="CI81" s="5" t="s">
        <v>74</v>
      </c>
      <c r="CJ81" s="8" t="s">
        <v>74</v>
      </c>
      <c r="CK81" s="5"/>
      <c r="CL81" s="5" t="s">
        <v>74</v>
      </c>
      <c r="CM81" s="5" t="s">
        <v>74</v>
      </c>
      <c r="CN81" s="5" t="s">
        <v>74</v>
      </c>
      <c r="CO81" s="5"/>
      <c r="CP81" s="5" t="s">
        <v>74</v>
      </c>
    </row>
    <row r="82" spans="1:94" ht="25.25" customHeight="1">
      <c r="A82" s="5">
        <v>81</v>
      </c>
      <c r="B82" s="9" t="s">
        <v>156</v>
      </c>
      <c r="C82" s="9">
        <v>2024202103</v>
      </c>
      <c r="D82" s="5" t="s">
        <v>135</v>
      </c>
      <c r="E82" s="5">
        <f>SUM(G82:$XET82)</f>
        <v>53.5</v>
      </c>
      <c r="F82" s="5">
        <f>COUNT(G82:$XFD82)</f>
        <v>6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 t="s">
        <v>74</v>
      </c>
      <c r="AC82" s="5" t="s">
        <v>74</v>
      </c>
      <c r="AD82" s="5"/>
      <c r="AE82" s="5"/>
      <c r="AF82" s="5"/>
      <c r="AG82" s="5" t="s">
        <v>74</v>
      </c>
      <c r="AH82" s="5">
        <v>12</v>
      </c>
      <c r="AI82" s="5" t="s">
        <v>74</v>
      </c>
      <c r="AJ82" s="5" t="s">
        <v>74</v>
      </c>
      <c r="AK82" s="5">
        <v>4</v>
      </c>
      <c r="AL82" s="5"/>
      <c r="AM82" s="5"/>
      <c r="AN82" s="5"/>
      <c r="AO82" s="5"/>
      <c r="AP82" s="5"/>
      <c r="AQ82" s="5"/>
      <c r="AR82" s="5" t="s">
        <v>74</v>
      </c>
      <c r="AS82" s="5" t="s">
        <v>74</v>
      </c>
      <c r="AT82" s="5" t="s">
        <v>74</v>
      </c>
      <c r="AU82" s="5">
        <v>5</v>
      </c>
      <c r="AV82" s="5" t="s">
        <v>74</v>
      </c>
      <c r="AW82" s="5" t="s">
        <v>74</v>
      </c>
      <c r="AX82" s="5" t="s">
        <v>74</v>
      </c>
      <c r="AY82" s="5" t="s">
        <v>74</v>
      </c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 t="s">
        <v>74</v>
      </c>
      <c r="BQ82" s="5" t="s">
        <v>74</v>
      </c>
      <c r="BR82" s="5" t="s">
        <v>74</v>
      </c>
      <c r="BS82" s="5"/>
      <c r="BT82" s="5" t="s">
        <v>74</v>
      </c>
      <c r="BU82" s="6" t="s">
        <v>51</v>
      </c>
      <c r="BV82" s="5">
        <v>27.5</v>
      </c>
      <c r="BW82" s="5">
        <v>0</v>
      </c>
      <c r="BX82" s="5" t="s">
        <v>74</v>
      </c>
      <c r="BY82" s="5"/>
      <c r="BZ82" s="5"/>
      <c r="CA82" s="10" t="s">
        <v>74</v>
      </c>
      <c r="CB82" s="5" t="s">
        <v>74</v>
      </c>
      <c r="CC82" s="5" t="s">
        <v>74</v>
      </c>
      <c r="CD82" s="5" t="s">
        <v>74</v>
      </c>
      <c r="CE82" s="5" t="s">
        <v>74</v>
      </c>
      <c r="CF82" s="8"/>
      <c r="CG82" s="5"/>
      <c r="CH82" s="5" t="s">
        <v>74</v>
      </c>
      <c r="CI82" s="5" t="s">
        <v>74</v>
      </c>
      <c r="CJ82" s="8" t="s">
        <v>74</v>
      </c>
      <c r="CK82" s="5"/>
      <c r="CL82" s="5" t="s">
        <v>74</v>
      </c>
      <c r="CM82" s="5" t="s">
        <v>74</v>
      </c>
      <c r="CN82" s="5">
        <v>5</v>
      </c>
      <c r="CO82" s="5"/>
      <c r="CP82" s="5" t="s">
        <v>74</v>
      </c>
    </row>
    <row r="83" spans="1:94" ht="25.25" customHeight="1">
      <c r="A83" s="5">
        <v>82</v>
      </c>
      <c r="B83" s="9" t="s">
        <v>157</v>
      </c>
      <c r="C83" s="9">
        <v>2024202885</v>
      </c>
      <c r="D83" s="5" t="s">
        <v>135</v>
      </c>
      <c r="E83" s="5">
        <f>SUM(G83:$XET83)</f>
        <v>23</v>
      </c>
      <c r="F83" s="5">
        <f>COUNT(G83:$XFD83)</f>
        <v>4</v>
      </c>
      <c r="G83" s="5"/>
      <c r="H83" s="5"/>
      <c r="I83" s="5"/>
      <c r="J83" s="5"/>
      <c r="K83" s="5"/>
      <c r="L83" s="5"/>
      <c r="M83" s="5"/>
      <c r="N83" s="5">
        <v>2</v>
      </c>
      <c r="O83" s="5"/>
      <c r="P83" s="5"/>
      <c r="Q83" s="5"/>
      <c r="R83" s="5">
        <v>14.5</v>
      </c>
      <c r="S83" s="5"/>
      <c r="T83" s="5"/>
      <c r="U83" s="5"/>
      <c r="V83" s="5"/>
      <c r="W83" s="5"/>
      <c r="X83" s="5"/>
      <c r="Y83" s="5"/>
      <c r="Z83" s="5"/>
      <c r="AA83" s="5"/>
      <c r="AB83" s="5" t="s">
        <v>74</v>
      </c>
      <c r="AC83" s="5">
        <v>2.5</v>
      </c>
      <c r="AD83" s="5"/>
      <c r="AE83" s="5"/>
      <c r="AF83" s="5"/>
      <c r="AG83" s="5" t="s">
        <v>74</v>
      </c>
      <c r="AH83" s="5" t="s">
        <v>74</v>
      </c>
      <c r="AI83" s="5" t="s">
        <v>74</v>
      </c>
      <c r="AJ83" s="5" t="s">
        <v>74</v>
      </c>
      <c r="AK83" s="5" t="s">
        <v>74</v>
      </c>
      <c r="AL83" s="5"/>
      <c r="AM83" s="5"/>
      <c r="AN83" s="5"/>
      <c r="AO83" s="5"/>
      <c r="AP83" s="5"/>
      <c r="AQ83" s="5"/>
      <c r="AR83" s="5" t="s">
        <v>74</v>
      </c>
      <c r="AS83" s="5" t="s">
        <v>74</v>
      </c>
      <c r="AT83" s="5" t="s">
        <v>74</v>
      </c>
      <c r="AU83" s="5" t="s">
        <v>74</v>
      </c>
      <c r="AV83" s="5" t="s">
        <v>74</v>
      </c>
      <c r="AW83" s="5" t="s">
        <v>74</v>
      </c>
      <c r="AX83" s="5" t="s">
        <v>74</v>
      </c>
      <c r="AY83" s="5" t="s">
        <v>74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 t="s">
        <v>74</v>
      </c>
      <c r="BQ83" s="5" t="s">
        <v>74</v>
      </c>
      <c r="BR83" s="5" t="s">
        <v>74</v>
      </c>
      <c r="BS83" s="5"/>
      <c r="BT83" s="5" t="s">
        <v>74</v>
      </c>
      <c r="BU83" s="6" t="s">
        <v>51</v>
      </c>
      <c r="BV83" s="5" t="s">
        <v>74</v>
      </c>
      <c r="BW83" s="5"/>
      <c r="BX83" s="5" t="s">
        <v>74</v>
      </c>
      <c r="BY83" s="5"/>
      <c r="BZ83" s="5"/>
      <c r="CA83" s="10">
        <v>4</v>
      </c>
      <c r="CB83" s="5" t="s">
        <v>74</v>
      </c>
      <c r="CC83" s="5" t="s">
        <v>74</v>
      </c>
      <c r="CD83" s="5" t="s">
        <v>74</v>
      </c>
      <c r="CE83" s="5" t="s">
        <v>74</v>
      </c>
      <c r="CF83" s="8"/>
      <c r="CG83" s="5"/>
      <c r="CH83" s="5" t="s">
        <v>74</v>
      </c>
      <c r="CI83" s="5" t="s">
        <v>74</v>
      </c>
      <c r="CJ83" s="8" t="s">
        <v>74</v>
      </c>
      <c r="CK83" s="5"/>
      <c r="CL83" s="5" t="s">
        <v>74</v>
      </c>
      <c r="CM83" s="5" t="s">
        <v>74</v>
      </c>
      <c r="CN83" s="5" t="s">
        <v>74</v>
      </c>
      <c r="CO83" s="5"/>
      <c r="CP83" s="5" t="s">
        <v>74</v>
      </c>
    </row>
    <row r="84" spans="1:94" ht="25.25" customHeight="1">
      <c r="A84" s="5">
        <v>83</v>
      </c>
      <c r="B84" s="9" t="s">
        <v>158</v>
      </c>
      <c r="C84" s="9">
        <v>2024202196</v>
      </c>
      <c r="D84" s="5" t="s">
        <v>135</v>
      </c>
      <c r="E84" s="5">
        <f>SUM(G84:$XET84)</f>
        <v>199</v>
      </c>
      <c r="F84" s="5">
        <f>COUNT(G84:$XFD84)</f>
        <v>6</v>
      </c>
      <c r="G84" s="5"/>
      <c r="H84" s="5"/>
      <c r="I84" s="5"/>
      <c r="J84" s="5"/>
      <c r="K84" s="5"/>
      <c r="L84" s="5">
        <v>6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 t="s">
        <v>74</v>
      </c>
      <c r="AC84" s="5" t="s">
        <v>74</v>
      </c>
      <c r="AD84" s="5"/>
      <c r="AE84" s="5"/>
      <c r="AF84" s="5"/>
      <c r="AG84" s="5" t="s">
        <v>74</v>
      </c>
      <c r="AH84" s="5" t="s">
        <v>74</v>
      </c>
      <c r="AI84" s="5" t="s">
        <v>74</v>
      </c>
      <c r="AJ84" s="5">
        <v>2</v>
      </c>
      <c r="AK84" s="5">
        <v>4</v>
      </c>
      <c r="AL84" s="5"/>
      <c r="AM84" s="5"/>
      <c r="AN84" s="5"/>
      <c r="AO84" s="5"/>
      <c r="AP84" s="5"/>
      <c r="AQ84" s="5"/>
      <c r="AR84" s="5" t="s">
        <v>74</v>
      </c>
      <c r="AS84" s="5" t="s">
        <v>74</v>
      </c>
      <c r="AT84" s="5" t="s">
        <v>74</v>
      </c>
      <c r="AU84" s="5" t="s">
        <v>74</v>
      </c>
      <c r="AV84" s="5" t="s">
        <v>74</v>
      </c>
      <c r="AW84" s="5" t="s">
        <v>74</v>
      </c>
      <c r="AX84" s="5" t="s">
        <v>74</v>
      </c>
      <c r="AY84" s="5" t="s">
        <v>74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 t="s">
        <v>74</v>
      </c>
      <c r="BQ84" s="5" t="s">
        <v>74</v>
      </c>
      <c r="BR84" s="5">
        <v>180</v>
      </c>
      <c r="BS84" s="5"/>
      <c r="BT84" s="5" t="s">
        <v>74</v>
      </c>
      <c r="BU84" s="6" t="s">
        <v>51</v>
      </c>
      <c r="BV84" s="5" t="s">
        <v>74</v>
      </c>
      <c r="BW84" s="5"/>
      <c r="BX84" s="5" t="s">
        <v>74</v>
      </c>
      <c r="BY84" s="5"/>
      <c r="BZ84" s="5"/>
      <c r="CA84" s="10" t="s">
        <v>74</v>
      </c>
      <c r="CB84" s="5" t="s">
        <v>74</v>
      </c>
      <c r="CC84" s="5" t="s">
        <v>74</v>
      </c>
      <c r="CD84" s="5" t="s">
        <v>74</v>
      </c>
      <c r="CE84" s="5" t="s">
        <v>74</v>
      </c>
      <c r="CF84" s="8"/>
      <c r="CG84" s="5"/>
      <c r="CH84" s="5" t="s">
        <v>74</v>
      </c>
      <c r="CI84" s="5" t="s">
        <v>74</v>
      </c>
      <c r="CJ84" s="8">
        <v>6</v>
      </c>
      <c r="CK84" s="5"/>
      <c r="CL84" s="5" t="s">
        <v>74</v>
      </c>
      <c r="CM84" s="5" t="s">
        <v>74</v>
      </c>
      <c r="CN84" s="5">
        <v>1</v>
      </c>
      <c r="CO84" s="5"/>
      <c r="CP84" s="5" t="s">
        <v>74</v>
      </c>
    </row>
    <row r="85" spans="1:94" ht="25.25" customHeight="1">
      <c r="A85" s="5">
        <v>84</v>
      </c>
      <c r="B85" s="9" t="s">
        <v>159</v>
      </c>
      <c r="C85" s="9">
        <v>2024202217</v>
      </c>
      <c r="D85" s="5" t="s">
        <v>135</v>
      </c>
      <c r="E85" s="5">
        <f>SUM(G85:$XET85)</f>
        <v>10</v>
      </c>
      <c r="F85" s="5">
        <f>COUNT(G85:$XFD85)</f>
        <v>3</v>
      </c>
      <c r="G85" s="5"/>
      <c r="H85" s="5"/>
      <c r="I85" s="5"/>
      <c r="J85" s="5"/>
      <c r="K85" s="5"/>
      <c r="L85" s="5">
        <v>5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4</v>
      </c>
      <c r="AB85" s="5" t="s">
        <v>74</v>
      </c>
      <c r="AC85" s="5" t="s">
        <v>74</v>
      </c>
      <c r="AD85" s="5"/>
      <c r="AE85" s="5"/>
      <c r="AF85" s="5"/>
      <c r="AG85" s="5" t="s">
        <v>74</v>
      </c>
      <c r="AH85" s="5" t="s">
        <v>74</v>
      </c>
      <c r="AI85" s="5" t="s">
        <v>74</v>
      </c>
      <c r="AJ85" s="5" t="s">
        <v>74</v>
      </c>
      <c r="AK85" s="5" t="s">
        <v>74</v>
      </c>
      <c r="AL85" s="5"/>
      <c r="AM85" s="5"/>
      <c r="AN85" s="5"/>
      <c r="AO85" s="5"/>
      <c r="AP85" s="5"/>
      <c r="AQ85" s="5"/>
      <c r="AR85" s="5" t="s">
        <v>74</v>
      </c>
      <c r="AS85" s="5" t="s">
        <v>74</v>
      </c>
      <c r="AT85" s="5" t="s">
        <v>74</v>
      </c>
      <c r="AU85" s="5" t="s">
        <v>74</v>
      </c>
      <c r="AV85" s="5" t="s">
        <v>74</v>
      </c>
      <c r="AW85" s="5" t="s">
        <v>74</v>
      </c>
      <c r="AX85" s="5" t="s">
        <v>74</v>
      </c>
      <c r="AY85" s="5" t="s">
        <v>74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 t="s">
        <v>74</v>
      </c>
      <c r="BQ85" s="5" t="s">
        <v>74</v>
      </c>
      <c r="BR85" s="5" t="s">
        <v>74</v>
      </c>
      <c r="BS85" s="5"/>
      <c r="BT85" s="5" t="s">
        <v>74</v>
      </c>
      <c r="BU85" s="6" t="s">
        <v>51</v>
      </c>
      <c r="BV85" s="5" t="s">
        <v>74</v>
      </c>
      <c r="BW85" s="5"/>
      <c r="BX85" s="5" t="s">
        <v>74</v>
      </c>
      <c r="BY85" s="5"/>
      <c r="BZ85" s="5"/>
      <c r="CA85" s="10" t="s">
        <v>74</v>
      </c>
      <c r="CB85" s="5" t="s">
        <v>74</v>
      </c>
      <c r="CC85" s="5" t="s">
        <v>74</v>
      </c>
      <c r="CD85" s="5" t="s">
        <v>74</v>
      </c>
      <c r="CE85" s="5" t="s">
        <v>74</v>
      </c>
      <c r="CF85" s="8"/>
      <c r="CG85" s="5"/>
      <c r="CH85" s="5" t="s">
        <v>74</v>
      </c>
      <c r="CI85" s="5" t="s">
        <v>74</v>
      </c>
      <c r="CJ85" s="8" t="s">
        <v>74</v>
      </c>
      <c r="CK85" s="5"/>
      <c r="CL85" s="5" t="s">
        <v>74</v>
      </c>
      <c r="CM85" s="5" t="s">
        <v>74</v>
      </c>
      <c r="CN85" s="5">
        <v>1</v>
      </c>
      <c r="CO85" s="5"/>
      <c r="CP85" s="5" t="s">
        <v>74</v>
      </c>
    </row>
    <row r="86" spans="1:94" ht="25.25" customHeight="1">
      <c r="A86" s="5">
        <v>85</v>
      </c>
      <c r="B86" s="9" t="s">
        <v>160</v>
      </c>
      <c r="C86" s="9">
        <v>2024202195</v>
      </c>
      <c r="D86" s="5" t="s">
        <v>135</v>
      </c>
      <c r="E86" s="5">
        <f>SUM(G86:$XET86)</f>
        <v>0</v>
      </c>
      <c r="F86" s="5">
        <f>COUNT(G86:$XFD86)</f>
        <v>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 t="s">
        <v>74</v>
      </c>
      <c r="AC86" s="5" t="s">
        <v>74</v>
      </c>
      <c r="AD86" s="5"/>
      <c r="AE86" s="5"/>
      <c r="AF86" s="5"/>
      <c r="AG86" s="5" t="s">
        <v>74</v>
      </c>
      <c r="AH86" s="5" t="s">
        <v>74</v>
      </c>
      <c r="AI86" s="5" t="s">
        <v>74</v>
      </c>
      <c r="AJ86" s="5" t="s">
        <v>74</v>
      </c>
      <c r="AK86" s="5" t="s">
        <v>74</v>
      </c>
      <c r="AL86" s="5"/>
      <c r="AM86" s="5"/>
      <c r="AN86" s="5"/>
      <c r="AO86" s="5"/>
      <c r="AP86" s="5"/>
      <c r="AQ86" s="5"/>
      <c r="AR86" s="5" t="s">
        <v>74</v>
      </c>
      <c r="AS86" s="5" t="s">
        <v>74</v>
      </c>
      <c r="AT86" s="5" t="s">
        <v>74</v>
      </c>
      <c r="AU86" s="5" t="s">
        <v>74</v>
      </c>
      <c r="AV86" s="5" t="s">
        <v>74</v>
      </c>
      <c r="AW86" s="5" t="s">
        <v>74</v>
      </c>
      <c r="AX86" s="5" t="s">
        <v>74</v>
      </c>
      <c r="AY86" s="5" t="s">
        <v>74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 t="s">
        <v>74</v>
      </c>
      <c r="BQ86" s="5" t="s">
        <v>74</v>
      </c>
      <c r="BR86" s="5" t="s">
        <v>74</v>
      </c>
      <c r="BS86" s="5"/>
      <c r="BT86" s="5" t="s">
        <v>74</v>
      </c>
      <c r="BU86" s="6" t="s">
        <v>51</v>
      </c>
      <c r="BV86" s="5" t="s">
        <v>74</v>
      </c>
      <c r="BW86" s="5"/>
      <c r="BX86" s="5" t="s">
        <v>74</v>
      </c>
      <c r="BY86" s="5"/>
      <c r="BZ86" s="5"/>
      <c r="CA86" s="10" t="s">
        <v>74</v>
      </c>
      <c r="CB86" s="5" t="s">
        <v>74</v>
      </c>
      <c r="CC86" s="5" t="s">
        <v>74</v>
      </c>
      <c r="CD86" s="5" t="s">
        <v>74</v>
      </c>
      <c r="CE86" s="5" t="s">
        <v>74</v>
      </c>
      <c r="CF86" s="8"/>
      <c r="CG86" s="5"/>
      <c r="CH86" s="5" t="s">
        <v>74</v>
      </c>
      <c r="CI86" s="5" t="s">
        <v>74</v>
      </c>
      <c r="CJ86" s="8" t="s">
        <v>74</v>
      </c>
      <c r="CK86" s="5"/>
      <c r="CL86" s="5" t="s">
        <v>74</v>
      </c>
      <c r="CM86" s="5" t="s">
        <v>74</v>
      </c>
      <c r="CN86" s="5" t="s">
        <v>74</v>
      </c>
      <c r="CO86" s="5"/>
      <c r="CP86" s="5" t="s">
        <v>74</v>
      </c>
    </row>
    <row r="87" spans="1:94" ht="25.25" customHeight="1">
      <c r="A87" s="5">
        <v>86</v>
      </c>
      <c r="B87" s="9" t="s">
        <v>161</v>
      </c>
      <c r="C87" s="9">
        <v>2024202221</v>
      </c>
      <c r="D87" s="5" t="s">
        <v>135</v>
      </c>
      <c r="E87" s="5">
        <f>SUM(G87:$XET87)</f>
        <v>0</v>
      </c>
      <c r="F87" s="5">
        <f>COUNT(G87:$XFD87)</f>
        <v>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 t="s">
        <v>74</v>
      </c>
      <c r="AC87" s="5" t="s">
        <v>74</v>
      </c>
      <c r="AD87" s="5"/>
      <c r="AE87" s="5"/>
      <c r="AF87" s="5"/>
      <c r="AG87" s="5" t="s">
        <v>74</v>
      </c>
      <c r="AH87" s="5" t="s">
        <v>74</v>
      </c>
      <c r="AI87" s="5" t="s">
        <v>74</v>
      </c>
      <c r="AJ87" s="5" t="s">
        <v>74</v>
      </c>
      <c r="AK87" s="5" t="s">
        <v>74</v>
      </c>
      <c r="AL87" s="5"/>
      <c r="AM87" s="5"/>
      <c r="AN87" s="5"/>
      <c r="AO87" s="5"/>
      <c r="AP87" s="5"/>
      <c r="AQ87" s="5"/>
      <c r="AR87" s="5" t="s">
        <v>74</v>
      </c>
      <c r="AS87" s="5" t="s">
        <v>74</v>
      </c>
      <c r="AT87" s="5" t="s">
        <v>74</v>
      </c>
      <c r="AU87" s="5" t="s">
        <v>74</v>
      </c>
      <c r="AV87" s="5" t="s">
        <v>74</v>
      </c>
      <c r="AW87" s="5" t="s">
        <v>74</v>
      </c>
      <c r="AX87" s="5" t="s">
        <v>74</v>
      </c>
      <c r="AY87" s="5" t="s">
        <v>74</v>
      </c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 t="s">
        <v>74</v>
      </c>
      <c r="BQ87" s="5" t="s">
        <v>74</v>
      </c>
      <c r="BR87" s="5" t="s">
        <v>74</v>
      </c>
      <c r="BS87" s="5"/>
      <c r="BT87" s="5" t="s">
        <v>74</v>
      </c>
      <c r="BU87" s="6" t="s">
        <v>51</v>
      </c>
      <c r="BV87" s="5" t="s">
        <v>74</v>
      </c>
      <c r="BW87" s="5"/>
      <c r="BX87" s="5" t="s">
        <v>74</v>
      </c>
      <c r="BY87" s="5"/>
      <c r="BZ87" s="5"/>
      <c r="CA87" s="10" t="s">
        <v>74</v>
      </c>
      <c r="CB87" s="5" t="s">
        <v>74</v>
      </c>
      <c r="CC87" s="5" t="s">
        <v>74</v>
      </c>
      <c r="CD87" s="5" t="s">
        <v>74</v>
      </c>
      <c r="CE87" s="5" t="s">
        <v>74</v>
      </c>
      <c r="CF87" s="8"/>
      <c r="CG87" s="5"/>
      <c r="CH87" s="5" t="s">
        <v>74</v>
      </c>
      <c r="CI87" s="5" t="s">
        <v>74</v>
      </c>
      <c r="CJ87" s="8" t="s">
        <v>74</v>
      </c>
      <c r="CK87" s="5"/>
      <c r="CL87" s="5" t="s">
        <v>74</v>
      </c>
      <c r="CM87" s="5" t="s">
        <v>74</v>
      </c>
      <c r="CN87" s="5" t="s">
        <v>74</v>
      </c>
      <c r="CO87" s="5"/>
      <c r="CP87" s="5" t="s">
        <v>74</v>
      </c>
    </row>
    <row r="88" spans="1:94" ht="25.25" customHeight="1">
      <c r="A88" s="5">
        <v>87</v>
      </c>
      <c r="B88" s="9" t="s">
        <v>162</v>
      </c>
      <c r="C88" s="9">
        <v>2024202892</v>
      </c>
      <c r="D88" s="5" t="s">
        <v>135</v>
      </c>
      <c r="E88" s="5">
        <f>SUM(G88:$XET88)</f>
        <v>0</v>
      </c>
      <c r="F88" s="5">
        <f>COUNT(G88:$XFD88)</f>
        <v>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 t="s">
        <v>74</v>
      </c>
      <c r="AC88" s="5" t="s">
        <v>74</v>
      </c>
      <c r="AD88" s="5"/>
      <c r="AE88" s="5"/>
      <c r="AF88" s="5"/>
      <c r="AG88" s="5" t="s">
        <v>74</v>
      </c>
      <c r="AH88" s="5" t="s">
        <v>74</v>
      </c>
      <c r="AI88" s="5" t="s">
        <v>74</v>
      </c>
      <c r="AJ88" s="5" t="s">
        <v>74</v>
      </c>
      <c r="AK88" s="5" t="s">
        <v>74</v>
      </c>
      <c r="AL88" s="5"/>
      <c r="AM88" s="5"/>
      <c r="AN88" s="5"/>
      <c r="AO88" s="5"/>
      <c r="AP88" s="5"/>
      <c r="AQ88" s="5"/>
      <c r="AR88" s="5" t="s">
        <v>74</v>
      </c>
      <c r="AS88" s="5" t="s">
        <v>74</v>
      </c>
      <c r="AT88" s="5" t="s">
        <v>74</v>
      </c>
      <c r="AU88" s="5" t="s">
        <v>74</v>
      </c>
      <c r="AV88" s="5" t="s">
        <v>74</v>
      </c>
      <c r="AW88" s="5" t="s">
        <v>74</v>
      </c>
      <c r="AX88" s="5" t="s">
        <v>74</v>
      </c>
      <c r="AY88" s="5" t="s">
        <v>74</v>
      </c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 t="s">
        <v>74</v>
      </c>
      <c r="BQ88" s="5" t="s">
        <v>74</v>
      </c>
      <c r="BR88" s="5" t="s">
        <v>74</v>
      </c>
      <c r="BS88" s="5"/>
      <c r="BT88" s="5" t="s">
        <v>74</v>
      </c>
      <c r="BU88" s="6" t="s">
        <v>51</v>
      </c>
      <c r="BV88" s="5" t="s">
        <v>74</v>
      </c>
      <c r="BW88" s="5"/>
      <c r="BX88" s="5" t="s">
        <v>74</v>
      </c>
      <c r="BY88" s="5"/>
      <c r="BZ88" s="5"/>
      <c r="CA88" s="10" t="s">
        <v>74</v>
      </c>
      <c r="CB88" s="5" t="s">
        <v>74</v>
      </c>
      <c r="CC88" s="5" t="s">
        <v>74</v>
      </c>
      <c r="CD88" s="5" t="s">
        <v>74</v>
      </c>
      <c r="CE88" s="5" t="s">
        <v>74</v>
      </c>
      <c r="CF88" s="8"/>
      <c r="CG88" s="5"/>
      <c r="CH88" s="5" t="s">
        <v>74</v>
      </c>
      <c r="CI88" s="5" t="s">
        <v>74</v>
      </c>
      <c r="CJ88" s="8" t="s">
        <v>74</v>
      </c>
      <c r="CK88" s="5"/>
      <c r="CL88" s="5" t="s">
        <v>74</v>
      </c>
      <c r="CM88" s="5" t="s">
        <v>74</v>
      </c>
      <c r="CN88" s="5" t="s">
        <v>74</v>
      </c>
      <c r="CO88" s="5"/>
      <c r="CP88" s="5" t="s">
        <v>74</v>
      </c>
    </row>
    <row r="89" spans="1:94" ht="25.25" customHeight="1">
      <c r="A89" s="5">
        <v>88</v>
      </c>
      <c r="B89" s="9" t="s">
        <v>163</v>
      </c>
      <c r="C89" s="9">
        <v>2024201964</v>
      </c>
      <c r="D89" s="5" t="s">
        <v>135</v>
      </c>
      <c r="E89" s="5">
        <f>SUM(G89:$XET89)</f>
        <v>47.5</v>
      </c>
      <c r="F89" s="5">
        <f>COUNT(G89:$XFD89)</f>
        <v>8</v>
      </c>
      <c r="G89" s="5"/>
      <c r="H89" s="5"/>
      <c r="I89" s="5"/>
      <c r="J89" s="5"/>
      <c r="K89" s="5"/>
      <c r="L89" s="5"/>
      <c r="M89" s="5">
        <v>8</v>
      </c>
      <c r="N89" s="5"/>
      <c r="O89" s="5"/>
      <c r="P89" s="5"/>
      <c r="Q89" s="5"/>
      <c r="R89" s="5"/>
      <c r="S89" s="5"/>
      <c r="T89" s="5"/>
      <c r="U89" s="5">
        <v>4</v>
      </c>
      <c r="V89" s="5"/>
      <c r="W89" s="5"/>
      <c r="X89" s="5"/>
      <c r="Y89" s="5"/>
      <c r="Z89" s="5"/>
      <c r="AA89" s="5">
        <v>4</v>
      </c>
      <c r="AB89" s="5" t="s">
        <v>74</v>
      </c>
      <c r="AC89" s="5" t="s">
        <v>74</v>
      </c>
      <c r="AD89" s="5"/>
      <c r="AE89" s="5"/>
      <c r="AF89" s="5">
        <v>3</v>
      </c>
      <c r="AG89" s="5" t="s">
        <v>74</v>
      </c>
      <c r="AH89" s="5">
        <v>6.5</v>
      </c>
      <c r="AI89" s="5">
        <v>12</v>
      </c>
      <c r="AJ89" s="5" t="s">
        <v>74</v>
      </c>
      <c r="AK89" s="5">
        <v>4</v>
      </c>
      <c r="AL89" s="5"/>
      <c r="AM89" s="5"/>
      <c r="AN89" s="5"/>
      <c r="AO89" s="5"/>
      <c r="AP89" s="5"/>
      <c r="AQ89" s="5"/>
      <c r="AR89" s="5" t="s">
        <v>74</v>
      </c>
      <c r="AS89" s="5" t="s">
        <v>74</v>
      </c>
      <c r="AT89" s="5" t="s">
        <v>74</v>
      </c>
      <c r="AU89" s="5" t="s">
        <v>74</v>
      </c>
      <c r="AV89" s="5" t="s">
        <v>74</v>
      </c>
      <c r="AW89" s="5">
        <v>6</v>
      </c>
      <c r="AX89" s="5" t="s">
        <v>74</v>
      </c>
      <c r="AY89" s="5" t="s">
        <v>74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 t="s">
        <v>74</v>
      </c>
      <c r="BQ89" s="5" t="s">
        <v>74</v>
      </c>
      <c r="BR89" s="5" t="s">
        <v>74</v>
      </c>
      <c r="BS89" s="5"/>
      <c r="BT89" s="5" t="s">
        <v>74</v>
      </c>
      <c r="BU89" s="6" t="s">
        <v>51</v>
      </c>
      <c r="BV89" s="5" t="s">
        <v>74</v>
      </c>
      <c r="BW89" s="5"/>
      <c r="BX89" s="5" t="s">
        <v>74</v>
      </c>
      <c r="BY89" s="5"/>
      <c r="BZ89" s="5"/>
      <c r="CA89" s="10" t="s">
        <v>74</v>
      </c>
      <c r="CB89" s="5" t="s">
        <v>74</v>
      </c>
      <c r="CC89" s="5" t="s">
        <v>74</v>
      </c>
      <c r="CD89" s="5" t="s">
        <v>74</v>
      </c>
      <c r="CE89" s="5" t="s">
        <v>74</v>
      </c>
      <c r="CF89" s="8"/>
      <c r="CG89" s="5"/>
      <c r="CH89" s="5" t="s">
        <v>74</v>
      </c>
      <c r="CI89" s="5" t="s">
        <v>74</v>
      </c>
      <c r="CJ89" s="8" t="s">
        <v>74</v>
      </c>
      <c r="CK89" s="5"/>
      <c r="CL89" s="5" t="s">
        <v>74</v>
      </c>
      <c r="CM89" s="5" t="s">
        <v>74</v>
      </c>
      <c r="CN89" s="5" t="s">
        <v>74</v>
      </c>
      <c r="CO89" s="5"/>
      <c r="CP89" s="5" t="s">
        <v>74</v>
      </c>
    </row>
    <row r="90" spans="1:94" ht="25.25" customHeight="1">
      <c r="A90" s="5">
        <v>89</v>
      </c>
      <c r="B90" s="9" t="s">
        <v>164</v>
      </c>
      <c r="C90" s="9">
        <v>2024201987</v>
      </c>
      <c r="D90" s="5" t="s">
        <v>135</v>
      </c>
      <c r="E90" s="5">
        <f>SUM(G90:$XET90)</f>
        <v>33.5</v>
      </c>
      <c r="F90" s="5">
        <f>COUNT(G90:$XFD90)</f>
        <v>8</v>
      </c>
      <c r="G90" s="5"/>
      <c r="H90" s="5"/>
      <c r="I90" s="5"/>
      <c r="J90" s="5"/>
      <c r="K90" s="5"/>
      <c r="L90" s="5"/>
      <c r="M90" s="5">
        <v>8</v>
      </c>
      <c r="N90" s="5"/>
      <c r="O90" s="5"/>
      <c r="P90" s="5"/>
      <c r="Q90" s="5">
        <v>3</v>
      </c>
      <c r="R90" s="5"/>
      <c r="S90" s="5"/>
      <c r="T90" s="5"/>
      <c r="U90" s="5">
        <v>4</v>
      </c>
      <c r="V90" s="5"/>
      <c r="W90" s="5">
        <v>3</v>
      </c>
      <c r="X90" s="5"/>
      <c r="Y90" s="5"/>
      <c r="Z90" s="5"/>
      <c r="AA90" s="5">
        <v>4</v>
      </c>
      <c r="AB90" s="5" t="s">
        <v>74</v>
      </c>
      <c r="AC90" s="5" t="s">
        <v>74</v>
      </c>
      <c r="AD90" s="5"/>
      <c r="AE90" s="5"/>
      <c r="AF90" s="5"/>
      <c r="AG90" s="5" t="s">
        <v>74</v>
      </c>
      <c r="AH90" s="5" t="s">
        <v>74</v>
      </c>
      <c r="AI90" s="5" t="s">
        <v>74</v>
      </c>
      <c r="AJ90" s="5">
        <v>4</v>
      </c>
      <c r="AK90" s="5">
        <v>4</v>
      </c>
      <c r="AL90" s="5"/>
      <c r="AM90" s="5"/>
      <c r="AN90" s="5"/>
      <c r="AO90" s="5"/>
      <c r="AP90" s="5"/>
      <c r="AQ90" s="5"/>
      <c r="AR90" s="5" t="s">
        <v>74</v>
      </c>
      <c r="AS90" s="5" t="s">
        <v>74</v>
      </c>
      <c r="AT90" s="5" t="s">
        <v>74</v>
      </c>
      <c r="AU90" s="5" t="s">
        <v>74</v>
      </c>
      <c r="AV90" s="5" t="s">
        <v>74</v>
      </c>
      <c r="AW90" s="5" t="s">
        <v>74</v>
      </c>
      <c r="AX90" s="5" t="s">
        <v>74</v>
      </c>
      <c r="AY90" s="5" t="s">
        <v>74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 t="s">
        <v>74</v>
      </c>
      <c r="BQ90" s="5" t="s">
        <v>74</v>
      </c>
      <c r="BR90" s="5" t="s">
        <v>74</v>
      </c>
      <c r="BS90" s="5"/>
      <c r="BT90" s="5" t="s">
        <v>74</v>
      </c>
      <c r="BU90" s="6" t="s">
        <v>51</v>
      </c>
      <c r="BV90" s="5" t="s">
        <v>74</v>
      </c>
      <c r="BW90" s="5"/>
      <c r="BX90" s="5">
        <v>3.5</v>
      </c>
      <c r="BY90" s="5"/>
      <c r="BZ90" s="5"/>
      <c r="CA90" s="10" t="s">
        <v>74</v>
      </c>
      <c r="CB90" s="5" t="s">
        <v>74</v>
      </c>
      <c r="CC90" s="5" t="s">
        <v>74</v>
      </c>
      <c r="CD90" s="5" t="s">
        <v>74</v>
      </c>
      <c r="CE90" s="5" t="s">
        <v>74</v>
      </c>
      <c r="CF90" s="8"/>
      <c r="CG90" s="5"/>
      <c r="CH90" s="5" t="s">
        <v>74</v>
      </c>
      <c r="CI90" s="5" t="s">
        <v>74</v>
      </c>
      <c r="CJ90" s="8" t="s">
        <v>74</v>
      </c>
      <c r="CK90" s="5"/>
      <c r="CL90" s="5" t="s">
        <v>74</v>
      </c>
      <c r="CM90" s="5" t="s">
        <v>74</v>
      </c>
      <c r="CN90" s="5" t="s">
        <v>74</v>
      </c>
      <c r="CO90" s="5"/>
      <c r="CP90" s="5" t="s">
        <v>74</v>
      </c>
    </row>
    <row r="91" spans="1:94" ht="25.25" customHeight="1">
      <c r="A91" s="5">
        <v>90</v>
      </c>
      <c r="B91" s="9" t="s">
        <v>165</v>
      </c>
      <c r="C91" s="9">
        <v>2024201997</v>
      </c>
      <c r="D91" s="5" t="s">
        <v>135</v>
      </c>
      <c r="E91" s="5">
        <f>SUM(G91:$XET91)</f>
        <v>55.5</v>
      </c>
      <c r="F91" s="5">
        <f>COUNT(G91:$XFD91)</f>
        <v>9</v>
      </c>
      <c r="G91" s="5"/>
      <c r="H91" s="5"/>
      <c r="I91" s="5"/>
      <c r="J91" s="5"/>
      <c r="K91" s="5"/>
      <c r="L91" s="5"/>
      <c r="M91" s="5">
        <v>8</v>
      </c>
      <c r="N91" s="5"/>
      <c r="O91" s="5"/>
      <c r="P91" s="5"/>
      <c r="Q91" s="5">
        <v>3</v>
      </c>
      <c r="R91" s="5">
        <v>14.5</v>
      </c>
      <c r="S91" s="5"/>
      <c r="T91" s="5"/>
      <c r="U91" s="5"/>
      <c r="V91" s="5"/>
      <c r="W91" s="5">
        <v>5</v>
      </c>
      <c r="X91" s="5"/>
      <c r="Y91" s="5"/>
      <c r="Z91" s="5"/>
      <c r="AA91" s="5">
        <v>4</v>
      </c>
      <c r="AB91" s="5" t="s">
        <v>74</v>
      </c>
      <c r="AC91" s="5" t="s">
        <v>74</v>
      </c>
      <c r="AD91" s="5"/>
      <c r="AE91" s="5"/>
      <c r="AF91" s="5"/>
      <c r="AG91" s="5" t="s">
        <v>74</v>
      </c>
      <c r="AH91" s="5" t="s">
        <v>74</v>
      </c>
      <c r="AI91" s="5" t="s">
        <v>74</v>
      </c>
      <c r="AJ91" s="5">
        <v>2</v>
      </c>
      <c r="AK91" s="5">
        <v>4</v>
      </c>
      <c r="AL91" s="5"/>
      <c r="AM91" s="5"/>
      <c r="AN91" s="5"/>
      <c r="AO91" s="5"/>
      <c r="AP91" s="5"/>
      <c r="AQ91" s="5"/>
      <c r="AR91" s="5" t="s">
        <v>74</v>
      </c>
      <c r="AS91" s="5" t="s">
        <v>74</v>
      </c>
      <c r="AT91" s="5" t="s">
        <v>74</v>
      </c>
      <c r="AU91" s="5" t="s">
        <v>74</v>
      </c>
      <c r="AV91" s="5" t="s">
        <v>74</v>
      </c>
      <c r="AW91" s="5" t="s">
        <v>74</v>
      </c>
      <c r="AX91" s="5" t="s">
        <v>74</v>
      </c>
      <c r="AY91" s="5" t="s">
        <v>74</v>
      </c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 t="s">
        <v>74</v>
      </c>
      <c r="BQ91" s="5" t="s">
        <v>74</v>
      </c>
      <c r="BR91" s="5" t="s">
        <v>74</v>
      </c>
      <c r="BS91" s="5"/>
      <c r="BT91" s="5" t="s">
        <v>74</v>
      </c>
      <c r="BU91" s="6" t="s">
        <v>51</v>
      </c>
      <c r="BV91" s="5" t="s">
        <v>74</v>
      </c>
      <c r="BW91" s="5"/>
      <c r="BX91" s="5">
        <v>11</v>
      </c>
      <c r="BY91" s="5"/>
      <c r="BZ91" s="5"/>
      <c r="CA91" s="10">
        <v>4</v>
      </c>
      <c r="CB91" s="5" t="s">
        <v>74</v>
      </c>
      <c r="CC91" s="5" t="s">
        <v>74</v>
      </c>
      <c r="CD91" s="5" t="s">
        <v>74</v>
      </c>
      <c r="CE91" s="5" t="s">
        <v>74</v>
      </c>
      <c r="CF91" s="8"/>
      <c r="CG91" s="5"/>
      <c r="CH91" s="5" t="s">
        <v>74</v>
      </c>
      <c r="CI91" s="5" t="s">
        <v>74</v>
      </c>
      <c r="CJ91" s="8" t="s">
        <v>74</v>
      </c>
      <c r="CK91" s="5"/>
      <c r="CL91" s="5" t="s">
        <v>74</v>
      </c>
      <c r="CM91" s="5" t="s">
        <v>74</v>
      </c>
      <c r="CN91" s="5" t="s">
        <v>74</v>
      </c>
      <c r="CO91" s="5"/>
      <c r="CP91" s="5" t="s">
        <v>74</v>
      </c>
    </row>
    <row r="92" spans="1:94" ht="25.25" customHeight="1">
      <c r="A92" s="5">
        <v>91</v>
      </c>
      <c r="B92" s="9" t="s">
        <v>166</v>
      </c>
      <c r="C92" s="9">
        <v>2024201973</v>
      </c>
      <c r="D92" s="5" t="s">
        <v>135</v>
      </c>
      <c r="E92" s="5">
        <f>SUM(G92:$XET92)</f>
        <v>46.5</v>
      </c>
      <c r="F92" s="5">
        <f>COUNT(G92:$XFD92)</f>
        <v>6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5</v>
      </c>
      <c r="X92" s="5"/>
      <c r="Y92" s="5"/>
      <c r="Z92" s="5"/>
      <c r="AA92" s="5"/>
      <c r="AB92" s="5">
        <v>3.5</v>
      </c>
      <c r="AC92" s="5" t="s">
        <v>74</v>
      </c>
      <c r="AD92" s="5">
        <v>4</v>
      </c>
      <c r="AE92" s="5"/>
      <c r="AF92" s="5"/>
      <c r="AG92" s="5" t="s">
        <v>74</v>
      </c>
      <c r="AH92" s="5">
        <v>18</v>
      </c>
      <c r="AI92" s="5">
        <v>12</v>
      </c>
      <c r="AJ92" s="5" t="s">
        <v>74</v>
      </c>
      <c r="AK92" s="5" t="s">
        <v>74</v>
      </c>
      <c r="AL92" s="5"/>
      <c r="AM92" s="5"/>
      <c r="AN92" s="5"/>
      <c r="AO92" s="5"/>
      <c r="AP92" s="5"/>
      <c r="AQ92" s="5"/>
      <c r="AR92" s="5" t="s">
        <v>74</v>
      </c>
      <c r="AS92" s="5" t="s">
        <v>74</v>
      </c>
      <c r="AT92" s="5" t="s">
        <v>74</v>
      </c>
      <c r="AU92" s="5" t="s">
        <v>74</v>
      </c>
      <c r="AV92" s="5" t="s">
        <v>74</v>
      </c>
      <c r="AW92" s="5" t="s">
        <v>74</v>
      </c>
      <c r="AX92" s="5" t="s">
        <v>74</v>
      </c>
      <c r="AY92" s="5" t="s">
        <v>74</v>
      </c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 t="s">
        <v>74</v>
      </c>
      <c r="BQ92" s="5" t="s">
        <v>74</v>
      </c>
      <c r="BR92" s="5" t="s">
        <v>74</v>
      </c>
      <c r="BS92" s="5"/>
      <c r="BT92" s="5" t="s">
        <v>74</v>
      </c>
      <c r="BU92" s="6" t="s">
        <v>51</v>
      </c>
      <c r="BV92" s="5" t="s">
        <v>74</v>
      </c>
      <c r="BW92" s="5"/>
      <c r="BX92" s="5" t="s">
        <v>74</v>
      </c>
      <c r="BY92" s="5"/>
      <c r="BZ92" s="5"/>
      <c r="CA92" s="10" t="s">
        <v>74</v>
      </c>
      <c r="CB92" s="5" t="s">
        <v>74</v>
      </c>
      <c r="CC92" s="5" t="s">
        <v>74</v>
      </c>
      <c r="CD92" s="5" t="s">
        <v>74</v>
      </c>
      <c r="CE92" s="5" t="s">
        <v>74</v>
      </c>
      <c r="CF92" s="8"/>
      <c r="CG92" s="5"/>
      <c r="CH92" s="5" t="s">
        <v>74</v>
      </c>
      <c r="CI92" s="5" t="s">
        <v>74</v>
      </c>
      <c r="CJ92" s="8">
        <v>4</v>
      </c>
      <c r="CK92" s="5"/>
      <c r="CL92" s="5" t="s">
        <v>74</v>
      </c>
      <c r="CM92" s="5" t="s">
        <v>74</v>
      </c>
      <c r="CN92" s="5" t="s">
        <v>74</v>
      </c>
      <c r="CO92" s="5"/>
      <c r="CP92" s="5" t="s">
        <v>74</v>
      </c>
    </row>
    <row r="93" spans="1:94" ht="25.25" customHeight="1">
      <c r="A93" s="5">
        <v>92</v>
      </c>
      <c r="B93" s="9" t="s">
        <v>167</v>
      </c>
      <c r="C93" s="9">
        <v>2024202010</v>
      </c>
      <c r="D93" s="5" t="s">
        <v>135</v>
      </c>
      <c r="E93" s="5">
        <f>SUM(G93:$XET93)</f>
        <v>7.5</v>
      </c>
      <c r="F93" s="5">
        <f>COUNT(G93:$XFD93)</f>
        <v>3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3.5</v>
      </c>
      <c r="AC93" s="5">
        <v>2</v>
      </c>
      <c r="AD93" s="5"/>
      <c r="AE93" s="5"/>
      <c r="AF93" s="5"/>
      <c r="AG93" s="5" t="s">
        <v>74</v>
      </c>
      <c r="AH93" s="5" t="s">
        <v>74</v>
      </c>
      <c r="AI93" s="5" t="s">
        <v>74</v>
      </c>
      <c r="AJ93" s="5">
        <v>2</v>
      </c>
      <c r="AK93" s="5" t="s">
        <v>74</v>
      </c>
      <c r="AL93" s="5"/>
      <c r="AM93" s="5"/>
      <c r="AN93" s="5"/>
      <c r="AO93" s="5"/>
      <c r="AP93" s="5"/>
      <c r="AQ93" s="5"/>
      <c r="AR93" s="5" t="s">
        <v>74</v>
      </c>
      <c r="AS93" s="5" t="s">
        <v>74</v>
      </c>
      <c r="AT93" s="5" t="s">
        <v>74</v>
      </c>
      <c r="AU93" s="5" t="s">
        <v>74</v>
      </c>
      <c r="AV93" s="5" t="s">
        <v>74</v>
      </c>
      <c r="AW93" s="5" t="s">
        <v>74</v>
      </c>
      <c r="AX93" s="5" t="s">
        <v>74</v>
      </c>
      <c r="AY93" s="5" t="s">
        <v>74</v>
      </c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 t="s">
        <v>74</v>
      </c>
      <c r="BQ93" s="5" t="s">
        <v>74</v>
      </c>
      <c r="BR93" s="5" t="s">
        <v>74</v>
      </c>
      <c r="BS93" s="5"/>
      <c r="BT93" s="5" t="s">
        <v>74</v>
      </c>
      <c r="BU93" s="6" t="s">
        <v>51</v>
      </c>
      <c r="BV93" s="5" t="s">
        <v>74</v>
      </c>
      <c r="BW93" s="5"/>
      <c r="BX93" s="5" t="s">
        <v>74</v>
      </c>
      <c r="BY93" s="5"/>
      <c r="BZ93" s="5"/>
      <c r="CA93" s="10" t="s">
        <v>74</v>
      </c>
      <c r="CB93" s="5" t="s">
        <v>74</v>
      </c>
      <c r="CC93" s="5" t="s">
        <v>74</v>
      </c>
      <c r="CD93" s="5" t="s">
        <v>74</v>
      </c>
      <c r="CE93" s="5" t="s">
        <v>74</v>
      </c>
      <c r="CF93" s="8"/>
      <c r="CG93" s="5"/>
      <c r="CH93" s="5" t="s">
        <v>74</v>
      </c>
      <c r="CI93" s="5" t="s">
        <v>74</v>
      </c>
      <c r="CJ93" s="8" t="s">
        <v>74</v>
      </c>
      <c r="CK93" s="5"/>
      <c r="CL93" s="5" t="s">
        <v>74</v>
      </c>
      <c r="CM93" s="5" t="s">
        <v>74</v>
      </c>
      <c r="CN93" s="5" t="s">
        <v>74</v>
      </c>
      <c r="CO93" s="5"/>
      <c r="CP93" s="5" t="s">
        <v>74</v>
      </c>
    </row>
    <row r="94" spans="1:94" ht="25.25" customHeight="1">
      <c r="A94" s="5">
        <v>93</v>
      </c>
      <c r="B94" s="9" t="s">
        <v>168</v>
      </c>
      <c r="C94" s="9">
        <v>2024202019</v>
      </c>
      <c r="D94" s="5" t="s">
        <v>135</v>
      </c>
      <c r="E94" s="5">
        <f>SUM(G94:$XET94)</f>
        <v>43.5</v>
      </c>
      <c r="F94" s="5">
        <f>COUNT(G94:$XFD94)</f>
        <v>7</v>
      </c>
      <c r="G94" s="5">
        <v>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>
        <v>6</v>
      </c>
      <c r="Y94" s="5"/>
      <c r="Z94" s="5"/>
      <c r="AA94" s="5"/>
      <c r="AB94" s="5" t="s">
        <v>74</v>
      </c>
      <c r="AC94" s="5" t="s">
        <v>74</v>
      </c>
      <c r="AD94" s="5"/>
      <c r="AE94" s="5"/>
      <c r="AF94" s="5"/>
      <c r="AG94" s="5" t="s">
        <v>74</v>
      </c>
      <c r="AH94" s="5" t="s">
        <v>74</v>
      </c>
      <c r="AI94" s="5" t="s">
        <v>74</v>
      </c>
      <c r="AJ94" s="5">
        <v>2</v>
      </c>
      <c r="AK94" s="5">
        <v>4</v>
      </c>
      <c r="AL94" s="5"/>
      <c r="AM94" s="5"/>
      <c r="AN94" s="5"/>
      <c r="AO94" s="5"/>
      <c r="AP94" s="5"/>
      <c r="AQ94" s="5"/>
      <c r="AR94" s="5" t="s">
        <v>74</v>
      </c>
      <c r="AS94" s="5" t="s">
        <v>74</v>
      </c>
      <c r="AT94" s="5" t="s">
        <v>74</v>
      </c>
      <c r="AU94" s="5" t="s">
        <v>74</v>
      </c>
      <c r="AV94" s="5" t="s">
        <v>74</v>
      </c>
      <c r="AW94" s="5" t="s">
        <v>74</v>
      </c>
      <c r="AX94" s="5" t="s">
        <v>74</v>
      </c>
      <c r="AY94" s="5" t="s">
        <v>74</v>
      </c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 t="s">
        <v>74</v>
      </c>
      <c r="BQ94" s="5">
        <v>22.5</v>
      </c>
      <c r="BR94" s="5" t="s">
        <v>74</v>
      </c>
      <c r="BS94" s="5"/>
      <c r="BT94" s="5" t="s">
        <v>74</v>
      </c>
      <c r="BU94" s="6" t="s">
        <v>51</v>
      </c>
      <c r="BV94" s="5" t="s">
        <v>74</v>
      </c>
      <c r="BW94" s="5"/>
      <c r="BX94" s="5" t="s">
        <v>74</v>
      </c>
      <c r="BY94" s="5"/>
      <c r="BZ94" s="5"/>
      <c r="CA94" s="10" t="s">
        <v>74</v>
      </c>
      <c r="CB94" s="5" t="s">
        <v>74</v>
      </c>
      <c r="CC94" s="5" t="s">
        <v>74</v>
      </c>
      <c r="CD94" s="5" t="s">
        <v>74</v>
      </c>
      <c r="CE94" s="5">
        <v>0.5</v>
      </c>
      <c r="CF94" s="8"/>
      <c r="CG94" s="5"/>
      <c r="CH94" s="5" t="s">
        <v>74</v>
      </c>
      <c r="CI94" s="5" t="s">
        <v>74</v>
      </c>
      <c r="CJ94" s="8" t="s">
        <v>74</v>
      </c>
      <c r="CK94" s="5"/>
      <c r="CL94" s="5" t="s">
        <v>74</v>
      </c>
      <c r="CM94" s="5">
        <v>0.5</v>
      </c>
      <c r="CN94" s="5" t="s">
        <v>74</v>
      </c>
      <c r="CO94" s="5"/>
      <c r="CP94" s="5" t="s">
        <v>74</v>
      </c>
    </row>
    <row r="95" spans="1:94" ht="25.25" customHeight="1">
      <c r="A95" s="5">
        <v>94</v>
      </c>
      <c r="B95" s="9" t="s">
        <v>169</v>
      </c>
      <c r="C95" s="9">
        <v>2024202032</v>
      </c>
      <c r="D95" s="5" t="s">
        <v>135</v>
      </c>
      <c r="E95" s="5">
        <f>SUM(G95:$XET95)</f>
        <v>50.5</v>
      </c>
      <c r="F95" s="5">
        <f>COUNT(G95:$XFD95)</f>
        <v>8</v>
      </c>
      <c r="G95" s="5"/>
      <c r="H95" s="5"/>
      <c r="I95" s="5"/>
      <c r="J95" s="5"/>
      <c r="K95" s="5"/>
      <c r="L95" s="5">
        <v>2</v>
      </c>
      <c r="M95" s="5"/>
      <c r="N95" s="5"/>
      <c r="O95" s="5"/>
      <c r="P95" s="5"/>
      <c r="Q95" s="5"/>
      <c r="R95" s="5">
        <v>14.5</v>
      </c>
      <c r="S95" s="5"/>
      <c r="T95" s="5"/>
      <c r="U95" s="5"/>
      <c r="V95" s="5"/>
      <c r="W95" s="5"/>
      <c r="X95" s="5"/>
      <c r="Y95" s="5"/>
      <c r="Z95" s="5"/>
      <c r="AA95" s="5"/>
      <c r="AB95" s="5">
        <v>6.5</v>
      </c>
      <c r="AC95" s="5" t="s">
        <v>74</v>
      </c>
      <c r="AD95" s="5"/>
      <c r="AE95" s="5"/>
      <c r="AF95" s="5"/>
      <c r="AG95" s="5" t="s">
        <v>74</v>
      </c>
      <c r="AH95" s="5" t="s">
        <v>74</v>
      </c>
      <c r="AI95" s="5" t="s">
        <v>74</v>
      </c>
      <c r="AJ95" s="5">
        <v>2</v>
      </c>
      <c r="AK95" s="5">
        <v>4</v>
      </c>
      <c r="AL95" s="5"/>
      <c r="AM95" s="5"/>
      <c r="AN95" s="5"/>
      <c r="AO95" s="5"/>
      <c r="AP95" s="5"/>
      <c r="AQ95" s="5"/>
      <c r="AR95" s="5" t="s">
        <v>74</v>
      </c>
      <c r="AS95" s="5" t="s">
        <v>74</v>
      </c>
      <c r="AT95" s="5" t="s">
        <v>74</v>
      </c>
      <c r="AU95" s="5" t="s">
        <v>74</v>
      </c>
      <c r="AV95" s="5" t="s">
        <v>74</v>
      </c>
      <c r="AW95" s="5" t="s">
        <v>74</v>
      </c>
      <c r="AX95" s="5" t="s">
        <v>74</v>
      </c>
      <c r="AY95" s="5" t="s">
        <v>74</v>
      </c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 t="s">
        <v>74</v>
      </c>
      <c r="BQ95" s="5" t="s">
        <v>74</v>
      </c>
      <c r="BR95" s="5" t="s">
        <v>74</v>
      </c>
      <c r="BS95" s="5"/>
      <c r="BT95" s="5" t="s">
        <v>74</v>
      </c>
      <c r="BU95" s="6" t="s">
        <v>51</v>
      </c>
      <c r="BV95" s="5" t="s">
        <v>74</v>
      </c>
      <c r="BW95" s="5"/>
      <c r="BX95" s="5">
        <v>14</v>
      </c>
      <c r="BY95" s="5"/>
      <c r="BZ95" s="5"/>
      <c r="CA95" s="10" t="s">
        <v>74</v>
      </c>
      <c r="CB95" s="5" t="s">
        <v>74</v>
      </c>
      <c r="CC95" s="5" t="s">
        <v>74</v>
      </c>
      <c r="CD95" s="5" t="s">
        <v>74</v>
      </c>
      <c r="CE95" s="5" t="s">
        <v>74</v>
      </c>
      <c r="CF95" s="8"/>
      <c r="CG95" s="5"/>
      <c r="CH95" s="5" t="s">
        <v>74</v>
      </c>
      <c r="CI95" s="5" t="s">
        <v>74</v>
      </c>
      <c r="CJ95" s="8" t="s">
        <v>74</v>
      </c>
      <c r="CK95" s="5"/>
      <c r="CL95" s="5" t="s">
        <v>74</v>
      </c>
      <c r="CM95" s="5">
        <v>2.5</v>
      </c>
      <c r="CN95" s="5">
        <v>5</v>
      </c>
      <c r="CO95" s="5"/>
      <c r="CP95" s="5" t="s">
        <v>74</v>
      </c>
    </row>
    <row r="96" spans="1:94" ht="25.25" customHeight="1">
      <c r="A96" s="5">
        <v>95</v>
      </c>
      <c r="B96" s="9" t="s">
        <v>170</v>
      </c>
      <c r="C96" s="9">
        <v>2024202034</v>
      </c>
      <c r="D96" s="5" t="s">
        <v>135</v>
      </c>
      <c r="E96" s="5">
        <f>SUM(G96:$XET96)</f>
        <v>36</v>
      </c>
      <c r="F96" s="5">
        <f>COUNT(G96:$XFD96)</f>
        <v>9</v>
      </c>
      <c r="G96" s="5"/>
      <c r="H96" s="5"/>
      <c r="I96" s="5"/>
      <c r="J96" s="5"/>
      <c r="K96" s="5"/>
      <c r="L96" s="5">
        <v>2</v>
      </c>
      <c r="M96" s="5"/>
      <c r="N96" s="5"/>
      <c r="O96" s="5"/>
      <c r="P96" s="5"/>
      <c r="Q96" s="5"/>
      <c r="R96" s="5">
        <v>0.5</v>
      </c>
      <c r="S96" s="5"/>
      <c r="T96" s="5"/>
      <c r="U96" s="5"/>
      <c r="V96" s="5"/>
      <c r="W96" s="5">
        <v>8</v>
      </c>
      <c r="X96" s="5"/>
      <c r="Y96" s="5"/>
      <c r="Z96" s="5"/>
      <c r="AA96" s="5">
        <v>4</v>
      </c>
      <c r="AB96" s="5">
        <v>6.5</v>
      </c>
      <c r="AC96" s="5">
        <v>2</v>
      </c>
      <c r="AD96" s="5"/>
      <c r="AE96" s="5"/>
      <c r="AF96" s="5"/>
      <c r="AG96" s="5" t="s">
        <v>74</v>
      </c>
      <c r="AH96" s="5" t="s">
        <v>74</v>
      </c>
      <c r="AI96" s="5" t="s">
        <v>74</v>
      </c>
      <c r="AJ96" s="5" t="s">
        <v>74</v>
      </c>
      <c r="AK96" s="5">
        <v>4</v>
      </c>
      <c r="AL96" s="5"/>
      <c r="AM96" s="5"/>
      <c r="AN96" s="5"/>
      <c r="AO96" s="5"/>
      <c r="AP96" s="5"/>
      <c r="AQ96" s="5"/>
      <c r="AR96" s="5" t="s">
        <v>74</v>
      </c>
      <c r="AS96" s="5" t="s">
        <v>74</v>
      </c>
      <c r="AT96" s="5" t="s">
        <v>74</v>
      </c>
      <c r="AU96" s="5">
        <v>5</v>
      </c>
      <c r="AV96" s="5" t="s">
        <v>74</v>
      </c>
      <c r="AW96" s="5" t="s">
        <v>74</v>
      </c>
      <c r="AX96" s="5" t="s">
        <v>74</v>
      </c>
      <c r="AY96" s="5" t="s">
        <v>74</v>
      </c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>
        <v>4</v>
      </c>
      <c r="BQ96" s="5" t="s">
        <v>74</v>
      </c>
      <c r="BR96" s="5" t="s">
        <v>74</v>
      </c>
      <c r="BS96" s="5"/>
      <c r="BT96" s="5" t="s">
        <v>74</v>
      </c>
      <c r="BU96" s="6" t="s">
        <v>51</v>
      </c>
      <c r="BV96" s="5" t="s">
        <v>74</v>
      </c>
      <c r="BW96" s="5"/>
      <c r="BX96" s="5" t="s">
        <v>74</v>
      </c>
      <c r="BY96" s="5"/>
      <c r="BZ96" s="5"/>
      <c r="CA96" s="10" t="s">
        <v>74</v>
      </c>
      <c r="CB96" s="5" t="s">
        <v>74</v>
      </c>
      <c r="CC96" s="5" t="s">
        <v>74</v>
      </c>
      <c r="CD96" s="5" t="s">
        <v>74</v>
      </c>
      <c r="CE96" s="5" t="s">
        <v>74</v>
      </c>
      <c r="CF96" s="8"/>
      <c r="CG96" s="5"/>
      <c r="CH96" s="5" t="s">
        <v>74</v>
      </c>
      <c r="CI96" s="5" t="s">
        <v>74</v>
      </c>
      <c r="CJ96" s="8" t="s">
        <v>74</v>
      </c>
      <c r="CK96" s="5"/>
      <c r="CL96" s="5" t="s">
        <v>74</v>
      </c>
      <c r="CM96" s="5" t="s">
        <v>74</v>
      </c>
      <c r="CN96" s="5" t="s">
        <v>74</v>
      </c>
      <c r="CO96" s="5"/>
      <c r="CP96" s="5" t="s">
        <v>74</v>
      </c>
    </row>
    <row r="97" spans="1:94" ht="25.25" customHeight="1">
      <c r="A97" s="5">
        <v>96</v>
      </c>
      <c r="B97" s="9" t="s">
        <v>171</v>
      </c>
      <c r="C97" s="9">
        <v>2024202037</v>
      </c>
      <c r="D97" s="5" t="s">
        <v>135</v>
      </c>
      <c r="E97" s="5">
        <f>SUM(G97:$XET97)</f>
        <v>15.5</v>
      </c>
      <c r="F97" s="5">
        <f>COUNT(G97:$XFD97)</f>
        <v>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4</v>
      </c>
      <c r="W97" s="5">
        <v>5</v>
      </c>
      <c r="X97" s="5"/>
      <c r="Y97" s="5"/>
      <c r="Z97" s="5"/>
      <c r="AA97" s="5"/>
      <c r="AB97" s="5">
        <v>3</v>
      </c>
      <c r="AC97" s="5">
        <v>1.5</v>
      </c>
      <c r="AD97" s="5"/>
      <c r="AE97" s="5"/>
      <c r="AF97" s="5"/>
      <c r="AG97" s="5" t="s">
        <v>74</v>
      </c>
      <c r="AH97" s="5" t="s">
        <v>74</v>
      </c>
      <c r="AI97" s="5" t="s">
        <v>74</v>
      </c>
      <c r="AJ97" s="5" t="s">
        <v>74</v>
      </c>
      <c r="AK97" s="5" t="s">
        <v>74</v>
      </c>
      <c r="AL97" s="5"/>
      <c r="AM97" s="5"/>
      <c r="AN97" s="5"/>
      <c r="AO97" s="5"/>
      <c r="AP97" s="5"/>
      <c r="AQ97" s="5"/>
      <c r="AR97" s="5" t="s">
        <v>74</v>
      </c>
      <c r="AS97" s="5" t="s">
        <v>74</v>
      </c>
      <c r="AT97" s="5" t="s">
        <v>74</v>
      </c>
      <c r="AU97" s="5" t="s">
        <v>74</v>
      </c>
      <c r="AV97" s="5" t="s">
        <v>74</v>
      </c>
      <c r="AW97" s="5" t="s">
        <v>74</v>
      </c>
      <c r="AX97" s="5" t="s">
        <v>74</v>
      </c>
      <c r="AY97" s="5" t="s">
        <v>74</v>
      </c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 t="s">
        <v>74</v>
      </c>
      <c r="BQ97" s="5" t="s">
        <v>74</v>
      </c>
      <c r="BR97" s="5" t="s">
        <v>74</v>
      </c>
      <c r="BS97" s="5"/>
      <c r="BT97" s="5" t="s">
        <v>74</v>
      </c>
      <c r="BU97" s="6" t="s">
        <v>51</v>
      </c>
      <c r="BV97" s="5">
        <v>1</v>
      </c>
      <c r="BW97" s="5"/>
      <c r="BX97" s="5" t="s">
        <v>74</v>
      </c>
      <c r="BY97" s="5"/>
      <c r="BZ97" s="5"/>
      <c r="CA97" s="10" t="s">
        <v>74</v>
      </c>
      <c r="CB97" s="5" t="s">
        <v>74</v>
      </c>
      <c r="CC97" s="5" t="s">
        <v>74</v>
      </c>
      <c r="CD97" s="5" t="s">
        <v>74</v>
      </c>
      <c r="CE97" s="5">
        <v>1</v>
      </c>
      <c r="CF97" s="8"/>
      <c r="CG97" s="5"/>
      <c r="CH97" s="5" t="s">
        <v>74</v>
      </c>
      <c r="CI97" s="5" t="s">
        <v>74</v>
      </c>
      <c r="CJ97" s="8" t="s">
        <v>74</v>
      </c>
      <c r="CK97" s="5"/>
      <c r="CL97" s="5" t="s">
        <v>74</v>
      </c>
      <c r="CM97" s="5" t="s">
        <v>74</v>
      </c>
      <c r="CN97" s="5" t="s">
        <v>74</v>
      </c>
      <c r="CO97" s="5"/>
      <c r="CP97" s="5" t="s">
        <v>74</v>
      </c>
    </row>
    <row r="98" spans="1:94" ht="25.25" customHeight="1">
      <c r="A98" s="5">
        <v>97</v>
      </c>
      <c r="B98" s="9" t="s">
        <v>172</v>
      </c>
      <c r="C98" s="9">
        <v>2024202118</v>
      </c>
      <c r="D98" s="5" t="s">
        <v>135</v>
      </c>
      <c r="E98" s="5">
        <f>SUM(G98:$XET98)</f>
        <v>17</v>
      </c>
      <c r="F98" s="5">
        <f>COUNT(G98:$XFD98)</f>
        <v>5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4</v>
      </c>
      <c r="X98" s="5">
        <v>6</v>
      </c>
      <c r="Y98" s="5"/>
      <c r="Z98" s="5"/>
      <c r="AA98" s="5"/>
      <c r="AB98" s="5" t="s">
        <v>74</v>
      </c>
      <c r="AC98" s="5">
        <v>1</v>
      </c>
      <c r="AD98" s="5"/>
      <c r="AE98" s="5"/>
      <c r="AF98" s="5"/>
      <c r="AG98" s="5" t="s">
        <v>74</v>
      </c>
      <c r="AH98" s="5" t="s">
        <v>74</v>
      </c>
      <c r="AI98" s="5" t="s">
        <v>74</v>
      </c>
      <c r="AJ98" s="5" t="s">
        <v>74</v>
      </c>
      <c r="AK98" s="5" t="s">
        <v>74</v>
      </c>
      <c r="AL98" s="5"/>
      <c r="AM98" s="5"/>
      <c r="AN98" s="5"/>
      <c r="AO98" s="5"/>
      <c r="AP98" s="5"/>
      <c r="AQ98" s="5"/>
      <c r="AR98" s="5" t="s">
        <v>74</v>
      </c>
      <c r="AS98" s="5" t="s">
        <v>74</v>
      </c>
      <c r="AT98" s="5" t="s">
        <v>74</v>
      </c>
      <c r="AU98" s="5" t="s">
        <v>74</v>
      </c>
      <c r="AV98" s="5" t="s">
        <v>74</v>
      </c>
      <c r="AW98" s="5" t="s">
        <v>74</v>
      </c>
      <c r="AX98" s="5" t="s">
        <v>74</v>
      </c>
      <c r="AY98" s="5" t="s">
        <v>74</v>
      </c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>
        <v>4</v>
      </c>
      <c r="BQ98" s="5" t="s">
        <v>74</v>
      </c>
      <c r="BR98" s="5" t="s">
        <v>74</v>
      </c>
      <c r="BS98" s="5"/>
      <c r="BT98" s="5" t="s">
        <v>74</v>
      </c>
      <c r="BU98" s="6" t="s">
        <v>51</v>
      </c>
      <c r="BV98" s="5" t="s">
        <v>74</v>
      </c>
      <c r="BW98" s="5"/>
      <c r="BX98" s="5" t="s">
        <v>74</v>
      </c>
      <c r="BY98" s="5"/>
      <c r="BZ98" s="5"/>
      <c r="CA98" s="10" t="s">
        <v>74</v>
      </c>
      <c r="CB98" s="5" t="s">
        <v>74</v>
      </c>
      <c r="CC98" s="5" t="s">
        <v>74</v>
      </c>
      <c r="CD98" s="5" t="s">
        <v>74</v>
      </c>
      <c r="CE98" s="5">
        <v>2</v>
      </c>
      <c r="CF98" s="8"/>
      <c r="CG98" s="5"/>
      <c r="CH98" s="5" t="s">
        <v>74</v>
      </c>
      <c r="CI98" s="5" t="s">
        <v>74</v>
      </c>
      <c r="CJ98" s="8" t="s">
        <v>74</v>
      </c>
      <c r="CK98" s="5"/>
      <c r="CL98" s="5" t="s">
        <v>74</v>
      </c>
      <c r="CM98" s="5" t="s">
        <v>74</v>
      </c>
      <c r="CN98" s="5" t="s">
        <v>74</v>
      </c>
      <c r="CO98" s="5"/>
      <c r="CP98" s="5" t="s">
        <v>74</v>
      </c>
    </row>
    <row r="99" spans="1:94" ht="25.25" customHeight="1">
      <c r="A99" s="5">
        <v>98</v>
      </c>
      <c r="B99" s="9" t="s">
        <v>173</v>
      </c>
      <c r="C99" s="9">
        <v>2024202135</v>
      </c>
      <c r="D99" s="5" t="s">
        <v>135</v>
      </c>
      <c r="E99" s="5">
        <f>SUM(G99:$XET99)</f>
        <v>9.5</v>
      </c>
      <c r="F99" s="5">
        <f>COUNT(G99:$XFD99)</f>
        <v>4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4.5</v>
      </c>
      <c r="V99" s="5"/>
      <c r="W99" s="5"/>
      <c r="X99" s="5"/>
      <c r="Y99" s="5"/>
      <c r="Z99" s="5"/>
      <c r="AA99" s="5"/>
      <c r="AB99" s="5" t="s">
        <v>74</v>
      </c>
      <c r="AC99" s="5" t="s">
        <v>74</v>
      </c>
      <c r="AD99" s="5"/>
      <c r="AE99" s="5"/>
      <c r="AF99" s="5"/>
      <c r="AG99" s="5" t="s">
        <v>74</v>
      </c>
      <c r="AH99" s="5" t="s">
        <v>74</v>
      </c>
      <c r="AI99" s="5" t="s">
        <v>74</v>
      </c>
      <c r="AJ99" s="5" t="s">
        <v>74</v>
      </c>
      <c r="AK99" s="5" t="s">
        <v>74</v>
      </c>
      <c r="AL99" s="5"/>
      <c r="AM99" s="5"/>
      <c r="AN99" s="5"/>
      <c r="AO99" s="5"/>
      <c r="AP99" s="5"/>
      <c r="AQ99" s="5"/>
      <c r="AR99" s="5" t="s">
        <v>74</v>
      </c>
      <c r="AS99" s="5" t="s">
        <v>74</v>
      </c>
      <c r="AT99" s="5" t="s">
        <v>74</v>
      </c>
      <c r="AU99" s="5" t="s">
        <v>74</v>
      </c>
      <c r="AV99" s="5" t="s">
        <v>74</v>
      </c>
      <c r="AW99" s="5" t="s">
        <v>74</v>
      </c>
      <c r="AX99" s="5" t="s">
        <v>74</v>
      </c>
      <c r="AY99" s="5" t="s">
        <v>74</v>
      </c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 t="s">
        <v>74</v>
      </c>
      <c r="BQ99" s="5" t="s">
        <v>74</v>
      </c>
      <c r="BR99" s="5" t="s">
        <v>74</v>
      </c>
      <c r="BS99" s="5"/>
      <c r="BT99" s="5" t="s">
        <v>74</v>
      </c>
      <c r="BU99" s="6" t="s">
        <v>51</v>
      </c>
      <c r="BV99" s="5">
        <v>1</v>
      </c>
      <c r="BW99" s="5"/>
      <c r="BX99" s="5" t="s">
        <v>74</v>
      </c>
      <c r="BY99" s="5"/>
      <c r="BZ99" s="5"/>
      <c r="CA99" s="10" t="s">
        <v>74</v>
      </c>
      <c r="CB99" s="5" t="s">
        <v>74</v>
      </c>
      <c r="CC99" s="5" t="s">
        <v>74</v>
      </c>
      <c r="CD99" s="5" t="s">
        <v>74</v>
      </c>
      <c r="CE99" s="5" t="s">
        <v>74</v>
      </c>
      <c r="CF99" s="8"/>
      <c r="CG99" s="5"/>
      <c r="CH99" s="5" t="s">
        <v>74</v>
      </c>
      <c r="CI99" s="5" t="s">
        <v>74</v>
      </c>
      <c r="CJ99" s="8" t="s">
        <v>74</v>
      </c>
      <c r="CK99" s="5"/>
      <c r="CL99" s="5" t="s">
        <v>74</v>
      </c>
      <c r="CM99" s="5">
        <v>0.5</v>
      </c>
      <c r="CN99" s="5">
        <v>3.5</v>
      </c>
      <c r="CO99" s="5"/>
      <c r="CP99" s="5" t="s">
        <v>74</v>
      </c>
    </row>
    <row r="100" spans="1:94" ht="25.25" customHeight="1">
      <c r="A100" s="5">
        <v>99</v>
      </c>
      <c r="B100" s="9" t="s">
        <v>174</v>
      </c>
      <c r="C100" s="9">
        <v>2024202044</v>
      </c>
      <c r="D100" s="5" t="s">
        <v>135</v>
      </c>
      <c r="E100" s="5">
        <f>SUM(G100:$XET100)</f>
        <v>43</v>
      </c>
      <c r="F100" s="5">
        <f>COUNT(G100:$XFD100)</f>
        <v>2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>
        <v>3</v>
      </c>
      <c r="X100" s="5"/>
      <c r="Y100" s="5"/>
      <c r="Z100" s="5"/>
      <c r="AA100" s="5"/>
      <c r="AB100" s="5" t="s">
        <v>74</v>
      </c>
      <c r="AC100" s="5" t="s">
        <v>74</v>
      </c>
      <c r="AD100" s="5"/>
      <c r="AE100" s="5"/>
      <c r="AF100" s="5"/>
      <c r="AG100" s="5" t="s">
        <v>74</v>
      </c>
      <c r="AH100" s="5" t="s">
        <v>74</v>
      </c>
      <c r="AI100" s="5" t="s">
        <v>74</v>
      </c>
      <c r="AJ100" s="5" t="s">
        <v>74</v>
      </c>
      <c r="AK100" s="5" t="s">
        <v>74</v>
      </c>
      <c r="AL100" s="5"/>
      <c r="AM100" s="5"/>
      <c r="AN100" s="5"/>
      <c r="AO100" s="5"/>
      <c r="AP100" s="5"/>
      <c r="AQ100" s="5"/>
      <c r="AR100" s="5" t="s">
        <v>74</v>
      </c>
      <c r="AS100" s="5" t="s">
        <v>74</v>
      </c>
      <c r="AT100" s="5" t="s">
        <v>74</v>
      </c>
      <c r="AU100" s="5" t="s">
        <v>74</v>
      </c>
      <c r="AV100" s="5" t="s">
        <v>74</v>
      </c>
      <c r="AW100" s="5" t="s">
        <v>74</v>
      </c>
      <c r="AX100" s="5" t="s">
        <v>74</v>
      </c>
      <c r="AY100" s="5" t="s">
        <v>74</v>
      </c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 t="s">
        <v>74</v>
      </c>
      <c r="BQ100" s="5" t="s">
        <v>74</v>
      </c>
      <c r="BR100" s="5" t="s">
        <v>74</v>
      </c>
      <c r="BS100" s="5"/>
      <c r="BT100" s="5">
        <v>40</v>
      </c>
      <c r="BU100" s="6" t="s">
        <v>51</v>
      </c>
      <c r="BV100" s="5" t="s">
        <v>74</v>
      </c>
      <c r="BW100" s="5"/>
      <c r="BX100" s="5" t="s">
        <v>74</v>
      </c>
      <c r="BY100" s="5"/>
      <c r="BZ100" s="5"/>
      <c r="CA100" s="10" t="s">
        <v>74</v>
      </c>
      <c r="CB100" s="5" t="s">
        <v>74</v>
      </c>
      <c r="CC100" s="5" t="s">
        <v>74</v>
      </c>
      <c r="CD100" s="5" t="s">
        <v>74</v>
      </c>
      <c r="CE100" s="5" t="s">
        <v>74</v>
      </c>
      <c r="CF100" s="8"/>
      <c r="CG100" s="5"/>
      <c r="CH100" s="5" t="s">
        <v>74</v>
      </c>
      <c r="CI100" s="5" t="s">
        <v>74</v>
      </c>
      <c r="CJ100" s="8" t="s">
        <v>74</v>
      </c>
      <c r="CK100" s="5"/>
      <c r="CL100" s="5" t="s">
        <v>74</v>
      </c>
      <c r="CM100" s="5" t="s">
        <v>74</v>
      </c>
      <c r="CN100" s="5" t="s">
        <v>74</v>
      </c>
      <c r="CO100" s="5"/>
      <c r="CP100" s="5" t="s">
        <v>74</v>
      </c>
    </row>
    <row r="101" spans="1:94" ht="25.25" customHeight="1">
      <c r="A101" s="5">
        <v>100</v>
      </c>
      <c r="B101" s="9" t="s">
        <v>175</v>
      </c>
      <c r="C101" s="9">
        <v>2024202120</v>
      </c>
      <c r="D101" s="5" t="s">
        <v>135</v>
      </c>
      <c r="E101" s="5">
        <f>SUM(G101:$XET101)</f>
        <v>27</v>
      </c>
      <c r="F101" s="5">
        <f>COUNT(G101:$XFD101)</f>
        <v>4</v>
      </c>
      <c r="G101" s="5"/>
      <c r="H101" s="5"/>
      <c r="I101" s="5"/>
      <c r="J101" s="5">
        <v>3</v>
      </c>
      <c r="K101" s="5"/>
      <c r="L101" s="5"/>
      <c r="M101" s="5"/>
      <c r="N101" s="5"/>
      <c r="O101" s="5"/>
      <c r="P101" s="5"/>
      <c r="Q101" s="5"/>
      <c r="R101" s="5"/>
      <c r="S101" s="5"/>
      <c r="T101" s="5">
        <v>16</v>
      </c>
      <c r="U101" s="5"/>
      <c r="V101" s="5"/>
      <c r="W101" s="5">
        <v>4</v>
      </c>
      <c r="X101" s="5"/>
      <c r="Y101" s="5"/>
      <c r="Z101" s="5"/>
      <c r="AA101" s="5"/>
      <c r="AB101" s="5" t="s">
        <v>74</v>
      </c>
      <c r="AC101" s="5" t="s">
        <v>74</v>
      </c>
      <c r="AD101" s="5"/>
      <c r="AE101" s="5"/>
      <c r="AF101" s="5"/>
      <c r="AG101" s="5" t="s">
        <v>74</v>
      </c>
      <c r="AH101" s="5" t="s">
        <v>74</v>
      </c>
      <c r="AI101" s="5" t="s">
        <v>74</v>
      </c>
      <c r="AJ101" s="5" t="s">
        <v>74</v>
      </c>
      <c r="AK101" s="5">
        <v>4</v>
      </c>
      <c r="AL101" s="5"/>
      <c r="AM101" s="5"/>
      <c r="AN101" s="5"/>
      <c r="AO101" s="5"/>
      <c r="AP101" s="5"/>
      <c r="AQ101" s="5"/>
      <c r="AR101" s="5" t="s">
        <v>74</v>
      </c>
      <c r="AS101" s="5" t="s">
        <v>74</v>
      </c>
      <c r="AT101" s="5" t="s">
        <v>74</v>
      </c>
      <c r="AU101" s="5" t="s">
        <v>74</v>
      </c>
      <c r="AV101" s="5" t="s">
        <v>74</v>
      </c>
      <c r="AW101" s="5" t="s">
        <v>74</v>
      </c>
      <c r="AX101" s="5" t="s">
        <v>74</v>
      </c>
      <c r="AY101" s="5" t="s">
        <v>74</v>
      </c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 t="s">
        <v>74</v>
      </c>
      <c r="BQ101" s="5" t="s">
        <v>74</v>
      </c>
      <c r="BR101" s="5" t="s">
        <v>74</v>
      </c>
      <c r="BS101" s="5"/>
      <c r="BT101" s="5" t="s">
        <v>74</v>
      </c>
      <c r="BU101" s="6" t="s">
        <v>51</v>
      </c>
      <c r="BV101" s="5" t="s">
        <v>74</v>
      </c>
      <c r="BW101" s="5"/>
      <c r="BX101" s="5" t="s">
        <v>74</v>
      </c>
      <c r="BY101" s="5"/>
      <c r="BZ101" s="5"/>
      <c r="CA101" s="10" t="s">
        <v>74</v>
      </c>
      <c r="CB101" s="5" t="s">
        <v>74</v>
      </c>
      <c r="CC101" s="5" t="s">
        <v>74</v>
      </c>
      <c r="CD101" s="5" t="s">
        <v>74</v>
      </c>
      <c r="CE101" s="5" t="s">
        <v>74</v>
      </c>
      <c r="CF101" s="8"/>
      <c r="CG101" s="5"/>
      <c r="CH101" s="5" t="s">
        <v>74</v>
      </c>
      <c r="CI101" s="5" t="s">
        <v>74</v>
      </c>
      <c r="CJ101" s="8" t="s">
        <v>74</v>
      </c>
      <c r="CK101" s="5"/>
      <c r="CL101" s="5" t="s">
        <v>74</v>
      </c>
      <c r="CM101" s="5" t="s">
        <v>74</v>
      </c>
      <c r="CN101" s="5" t="s">
        <v>74</v>
      </c>
      <c r="CO101" s="5"/>
      <c r="CP101" s="5" t="s">
        <v>74</v>
      </c>
    </row>
    <row r="102" spans="1:94" ht="25.25" customHeight="1">
      <c r="A102" s="5">
        <v>101</v>
      </c>
      <c r="B102" s="9" t="s">
        <v>176</v>
      </c>
      <c r="C102" s="9">
        <v>2024202178</v>
      </c>
      <c r="D102" s="5" t="s">
        <v>135</v>
      </c>
      <c r="E102" s="5">
        <f>SUM(G102:$XET102)</f>
        <v>9</v>
      </c>
      <c r="F102" s="5">
        <f>COUNT(G102:$XFD102)</f>
        <v>2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>
        <v>6</v>
      </c>
      <c r="X102" s="5"/>
      <c r="Y102" s="5"/>
      <c r="Z102" s="5"/>
      <c r="AA102" s="5"/>
      <c r="AB102" s="5" t="s">
        <v>74</v>
      </c>
      <c r="AC102" s="5" t="s">
        <v>74</v>
      </c>
      <c r="AD102" s="5"/>
      <c r="AE102" s="5"/>
      <c r="AF102" s="5"/>
      <c r="AG102" s="5" t="s">
        <v>74</v>
      </c>
      <c r="AH102" s="5" t="s">
        <v>74</v>
      </c>
      <c r="AI102" s="5" t="s">
        <v>74</v>
      </c>
      <c r="AJ102" s="5" t="s">
        <v>74</v>
      </c>
      <c r="AK102" s="5" t="s">
        <v>74</v>
      </c>
      <c r="AL102" s="5"/>
      <c r="AM102" s="5"/>
      <c r="AN102" s="5"/>
      <c r="AO102" s="5"/>
      <c r="AP102" s="5"/>
      <c r="AQ102" s="5"/>
      <c r="AR102" s="5" t="s">
        <v>74</v>
      </c>
      <c r="AS102" s="5" t="s">
        <v>74</v>
      </c>
      <c r="AT102" s="5" t="s">
        <v>74</v>
      </c>
      <c r="AU102" s="5" t="s">
        <v>74</v>
      </c>
      <c r="AV102" s="5" t="s">
        <v>74</v>
      </c>
      <c r="AW102" s="5" t="s">
        <v>74</v>
      </c>
      <c r="AX102" s="5" t="s">
        <v>74</v>
      </c>
      <c r="AY102" s="5" t="s">
        <v>74</v>
      </c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 t="s">
        <v>74</v>
      </c>
      <c r="BQ102" s="5" t="s">
        <v>74</v>
      </c>
      <c r="BR102" s="5" t="s">
        <v>74</v>
      </c>
      <c r="BS102" s="5"/>
      <c r="BT102" s="5" t="s">
        <v>74</v>
      </c>
      <c r="BU102" s="6" t="s">
        <v>51</v>
      </c>
      <c r="BV102" s="5" t="s">
        <v>74</v>
      </c>
      <c r="BW102" s="5"/>
      <c r="BX102" s="5" t="s">
        <v>74</v>
      </c>
      <c r="BY102" s="5"/>
      <c r="BZ102" s="5"/>
      <c r="CA102" s="10" t="s">
        <v>74</v>
      </c>
      <c r="CB102" s="5">
        <v>3</v>
      </c>
      <c r="CC102" s="5" t="s">
        <v>74</v>
      </c>
      <c r="CD102" s="5" t="s">
        <v>74</v>
      </c>
      <c r="CE102" s="5" t="s">
        <v>74</v>
      </c>
      <c r="CF102" s="8"/>
      <c r="CG102" s="5"/>
      <c r="CH102" s="5" t="s">
        <v>74</v>
      </c>
      <c r="CI102" s="5" t="s">
        <v>74</v>
      </c>
      <c r="CJ102" s="8" t="s">
        <v>74</v>
      </c>
      <c r="CK102" s="5"/>
      <c r="CL102" s="5" t="s">
        <v>74</v>
      </c>
      <c r="CM102" s="5" t="s">
        <v>74</v>
      </c>
      <c r="CN102" s="5" t="s">
        <v>74</v>
      </c>
      <c r="CO102" s="5"/>
      <c r="CP102" s="5" t="s">
        <v>74</v>
      </c>
    </row>
    <row r="103" spans="1:94" ht="25.25" customHeight="1">
      <c r="A103" s="5">
        <v>102</v>
      </c>
      <c r="B103" s="9" t="s">
        <v>177</v>
      </c>
      <c r="C103" s="9">
        <v>2024202209</v>
      </c>
      <c r="D103" s="5" t="s">
        <v>135</v>
      </c>
      <c r="E103" s="5">
        <f>SUM(G103:$XET103)</f>
        <v>0</v>
      </c>
      <c r="F103" s="5">
        <f>COUNT(G103:$XFD103)</f>
        <v>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 t="s">
        <v>74</v>
      </c>
      <c r="AC103" s="5" t="s">
        <v>74</v>
      </c>
      <c r="AD103" s="5"/>
      <c r="AE103" s="5"/>
      <c r="AF103" s="5"/>
      <c r="AG103" s="5" t="s">
        <v>74</v>
      </c>
      <c r="AH103" s="5" t="s">
        <v>74</v>
      </c>
      <c r="AI103" s="5" t="s">
        <v>74</v>
      </c>
      <c r="AJ103" s="5" t="s">
        <v>74</v>
      </c>
      <c r="AK103" s="5" t="s">
        <v>74</v>
      </c>
      <c r="AL103" s="5"/>
      <c r="AM103" s="5"/>
      <c r="AN103" s="5"/>
      <c r="AO103" s="5"/>
      <c r="AP103" s="5"/>
      <c r="AQ103" s="5"/>
      <c r="AR103" s="5" t="s">
        <v>74</v>
      </c>
      <c r="AS103" s="5" t="s">
        <v>74</v>
      </c>
      <c r="AT103" s="5" t="s">
        <v>74</v>
      </c>
      <c r="AU103" s="5" t="s">
        <v>74</v>
      </c>
      <c r="AV103" s="5" t="s">
        <v>74</v>
      </c>
      <c r="AW103" s="5" t="s">
        <v>74</v>
      </c>
      <c r="AX103" s="5" t="s">
        <v>74</v>
      </c>
      <c r="AY103" s="5" t="s">
        <v>74</v>
      </c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 t="s">
        <v>74</v>
      </c>
      <c r="BQ103" s="5" t="s">
        <v>74</v>
      </c>
      <c r="BR103" s="5" t="s">
        <v>74</v>
      </c>
      <c r="BS103" s="5"/>
      <c r="BT103" s="5" t="s">
        <v>74</v>
      </c>
      <c r="BU103" s="6" t="s">
        <v>51</v>
      </c>
      <c r="BV103" s="5" t="s">
        <v>74</v>
      </c>
      <c r="BW103" s="5"/>
      <c r="BX103" s="5" t="s">
        <v>74</v>
      </c>
      <c r="BY103" s="5"/>
      <c r="BZ103" s="5"/>
      <c r="CA103" s="10" t="s">
        <v>74</v>
      </c>
      <c r="CB103" s="5" t="s">
        <v>74</v>
      </c>
      <c r="CC103" s="5" t="s">
        <v>74</v>
      </c>
      <c r="CD103" s="5" t="s">
        <v>74</v>
      </c>
      <c r="CE103" s="5" t="s">
        <v>74</v>
      </c>
      <c r="CF103" s="8"/>
      <c r="CG103" s="5"/>
      <c r="CH103" s="5" t="s">
        <v>74</v>
      </c>
      <c r="CI103" s="5" t="s">
        <v>74</v>
      </c>
      <c r="CJ103" s="8" t="s">
        <v>74</v>
      </c>
      <c r="CK103" s="5"/>
      <c r="CL103" s="5" t="s">
        <v>74</v>
      </c>
      <c r="CM103" s="5" t="s">
        <v>74</v>
      </c>
      <c r="CN103" s="5" t="s">
        <v>74</v>
      </c>
      <c r="CO103" s="5"/>
      <c r="CP103" s="5" t="s">
        <v>74</v>
      </c>
    </row>
    <row r="104" spans="1:94" ht="25.25" customHeight="1">
      <c r="A104" s="5">
        <v>103</v>
      </c>
      <c r="B104" s="9" t="s">
        <v>178</v>
      </c>
      <c r="C104" s="9">
        <v>2024202049</v>
      </c>
      <c r="D104" s="5" t="s">
        <v>135</v>
      </c>
      <c r="E104" s="5">
        <f>SUM(G104:$XET104)</f>
        <v>30</v>
      </c>
      <c r="F104" s="5">
        <f>COUNT(G104:$XFD104)</f>
        <v>5</v>
      </c>
      <c r="G104" s="5"/>
      <c r="H104" s="5"/>
      <c r="I104" s="5"/>
      <c r="J104" s="5"/>
      <c r="K104" s="5">
        <v>15</v>
      </c>
      <c r="L104" s="5">
        <v>2</v>
      </c>
      <c r="M104" s="5"/>
      <c r="N104" s="5"/>
      <c r="O104" s="5"/>
      <c r="P104" s="5"/>
      <c r="Q104" s="5"/>
      <c r="R104" s="5">
        <v>6</v>
      </c>
      <c r="S104" s="5"/>
      <c r="T104" s="5"/>
      <c r="U104" s="5"/>
      <c r="V104" s="5"/>
      <c r="W104" s="5"/>
      <c r="X104" s="5"/>
      <c r="Y104" s="5"/>
      <c r="Z104" s="5"/>
      <c r="AA104" s="5"/>
      <c r="AB104" s="5">
        <v>3</v>
      </c>
      <c r="AC104" s="5" t="s">
        <v>74</v>
      </c>
      <c r="AD104" s="5"/>
      <c r="AE104" s="5"/>
      <c r="AF104" s="5"/>
      <c r="AG104" s="5" t="s">
        <v>74</v>
      </c>
      <c r="AH104" s="5" t="s">
        <v>74</v>
      </c>
      <c r="AI104" s="5" t="s">
        <v>74</v>
      </c>
      <c r="AJ104" s="5" t="s">
        <v>74</v>
      </c>
      <c r="AK104" s="5">
        <v>4</v>
      </c>
      <c r="AL104" s="5"/>
      <c r="AM104" s="5"/>
      <c r="AN104" s="5"/>
      <c r="AO104" s="5"/>
      <c r="AP104" s="5"/>
      <c r="AQ104" s="5"/>
      <c r="AR104" s="5" t="s">
        <v>74</v>
      </c>
      <c r="AS104" s="5" t="s">
        <v>74</v>
      </c>
      <c r="AT104" s="5" t="s">
        <v>74</v>
      </c>
      <c r="AU104" s="5" t="s">
        <v>74</v>
      </c>
      <c r="AV104" s="5" t="s">
        <v>74</v>
      </c>
      <c r="AW104" s="5" t="s">
        <v>74</v>
      </c>
      <c r="AX104" s="5" t="s">
        <v>74</v>
      </c>
      <c r="AY104" s="5" t="s">
        <v>74</v>
      </c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 t="s">
        <v>74</v>
      </c>
      <c r="BQ104" s="5" t="s">
        <v>74</v>
      </c>
      <c r="BR104" s="5" t="s">
        <v>74</v>
      </c>
      <c r="BS104" s="5"/>
      <c r="BT104" s="5" t="s">
        <v>74</v>
      </c>
      <c r="BU104" s="6" t="s">
        <v>51</v>
      </c>
      <c r="BV104" s="5" t="s">
        <v>74</v>
      </c>
      <c r="BW104" s="5"/>
      <c r="BX104" s="5" t="s">
        <v>74</v>
      </c>
      <c r="BY104" s="5"/>
      <c r="BZ104" s="5"/>
      <c r="CA104" s="10" t="s">
        <v>74</v>
      </c>
      <c r="CB104" s="5" t="s">
        <v>74</v>
      </c>
      <c r="CC104" s="5" t="s">
        <v>74</v>
      </c>
      <c r="CD104" s="5" t="s">
        <v>74</v>
      </c>
      <c r="CE104" s="5" t="s">
        <v>74</v>
      </c>
      <c r="CF104" s="8"/>
      <c r="CG104" s="5"/>
      <c r="CH104" s="5" t="s">
        <v>74</v>
      </c>
      <c r="CI104" s="5" t="s">
        <v>74</v>
      </c>
      <c r="CJ104" s="8" t="s">
        <v>74</v>
      </c>
      <c r="CK104" s="5"/>
      <c r="CL104" s="5" t="s">
        <v>74</v>
      </c>
      <c r="CM104" s="5" t="s">
        <v>74</v>
      </c>
      <c r="CN104" s="5" t="s">
        <v>74</v>
      </c>
      <c r="CO104" s="5"/>
      <c r="CP104" s="5" t="s">
        <v>74</v>
      </c>
    </row>
    <row r="105" spans="1:94" ht="25.25" customHeight="1">
      <c r="A105" s="5">
        <v>104</v>
      </c>
      <c r="B105" s="9" t="s">
        <v>179</v>
      </c>
      <c r="C105" s="9">
        <v>2024202213</v>
      </c>
      <c r="D105" s="5" t="s">
        <v>135</v>
      </c>
      <c r="E105" s="5">
        <f>SUM(G105:$XET105)</f>
        <v>38.5</v>
      </c>
      <c r="F105" s="5">
        <f>COUNT(G105:$XFD105)</f>
        <v>7</v>
      </c>
      <c r="G105" s="5"/>
      <c r="H105" s="5"/>
      <c r="I105" s="5"/>
      <c r="J105" s="5"/>
      <c r="K105" s="5">
        <v>10</v>
      </c>
      <c r="L105" s="5"/>
      <c r="M105" s="5"/>
      <c r="N105" s="5">
        <v>1.5</v>
      </c>
      <c r="O105" s="5"/>
      <c r="P105" s="5"/>
      <c r="Q105" s="5"/>
      <c r="R105" s="5">
        <v>6</v>
      </c>
      <c r="S105" s="5"/>
      <c r="T105" s="5"/>
      <c r="U105" s="5"/>
      <c r="V105" s="5"/>
      <c r="W105" s="5"/>
      <c r="X105" s="5"/>
      <c r="Y105" s="5"/>
      <c r="Z105" s="5"/>
      <c r="AA105" s="5"/>
      <c r="AB105" s="5" t="s">
        <v>74</v>
      </c>
      <c r="AC105" s="5" t="s">
        <v>74</v>
      </c>
      <c r="AD105" s="5"/>
      <c r="AE105" s="5"/>
      <c r="AF105" s="5"/>
      <c r="AG105" s="5" t="s">
        <v>74</v>
      </c>
      <c r="AH105" s="5" t="s">
        <v>74</v>
      </c>
      <c r="AI105" s="5" t="s">
        <v>74</v>
      </c>
      <c r="AJ105" s="5" t="s">
        <v>74</v>
      </c>
      <c r="AK105" s="5">
        <v>4</v>
      </c>
      <c r="AL105" s="5"/>
      <c r="AM105" s="5"/>
      <c r="AN105" s="5"/>
      <c r="AO105" s="5"/>
      <c r="AP105" s="5"/>
      <c r="AQ105" s="5"/>
      <c r="AR105" s="5" t="s">
        <v>74</v>
      </c>
      <c r="AS105" s="5" t="s">
        <v>74</v>
      </c>
      <c r="AT105" s="5" t="s">
        <v>74</v>
      </c>
      <c r="AU105" s="5" t="s">
        <v>74</v>
      </c>
      <c r="AV105" s="5" t="s">
        <v>74</v>
      </c>
      <c r="AW105" s="5" t="s">
        <v>74</v>
      </c>
      <c r="AX105" s="5" t="s">
        <v>74</v>
      </c>
      <c r="AY105" s="5" t="s">
        <v>74</v>
      </c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 t="s">
        <v>74</v>
      </c>
      <c r="BQ105" s="5" t="s">
        <v>74</v>
      </c>
      <c r="BR105" s="5" t="s">
        <v>74</v>
      </c>
      <c r="BS105" s="5"/>
      <c r="BT105" s="5" t="s">
        <v>74</v>
      </c>
      <c r="BU105" s="6" t="s">
        <v>51</v>
      </c>
      <c r="BV105" s="5" t="s">
        <v>74</v>
      </c>
      <c r="BW105" s="5"/>
      <c r="BX105" s="5">
        <v>11</v>
      </c>
      <c r="BY105" s="5"/>
      <c r="BZ105" s="5"/>
      <c r="CA105" s="10">
        <v>4</v>
      </c>
      <c r="CB105" s="5" t="s">
        <v>74</v>
      </c>
      <c r="CC105" s="5" t="s">
        <v>74</v>
      </c>
      <c r="CD105" s="5" t="s">
        <v>74</v>
      </c>
      <c r="CE105" s="5">
        <v>2</v>
      </c>
      <c r="CF105" s="8"/>
      <c r="CG105" s="5"/>
      <c r="CH105" s="5" t="s">
        <v>74</v>
      </c>
      <c r="CI105" s="5" t="s">
        <v>74</v>
      </c>
      <c r="CJ105" s="8" t="s">
        <v>74</v>
      </c>
      <c r="CK105" s="5"/>
      <c r="CL105" s="5" t="s">
        <v>74</v>
      </c>
      <c r="CM105" s="5" t="s">
        <v>74</v>
      </c>
      <c r="CN105" s="5" t="s">
        <v>74</v>
      </c>
      <c r="CO105" s="5"/>
      <c r="CP105" s="5" t="s">
        <v>74</v>
      </c>
    </row>
    <row r="106" spans="1:94" ht="25.25" customHeight="1">
      <c r="A106" s="5">
        <v>105</v>
      </c>
      <c r="B106" s="9" t="s">
        <v>180</v>
      </c>
      <c r="C106" s="9">
        <v>2024202228</v>
      </c>
      <c r="D106" s="5" t="s">
        <v>135</v>
      </c>
      <c r="E106" s="5">
        <f>SUM(G106:$XET106)</f>
        <v>39</v>
      </c>
      <c r="F106" s="5">
        <f>COUNT(G106:$XFD106)</f>
        <v>9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>
        <v>4</v>
      </c>
      <c r="R106" s="5"/>
      <c r="S106" s="5"/>
      <c r="T106" s="5"/>
      <c r="U106" s="5">
        <v>4</v>
      </c>
      <c r="V106" s="5"/>
      <c r="W106" s="5"/>
      <c r="X106" s="5"/>
      <c r="Y106" s="5"/>
      <c r="Z106" s="5"/>
      <c r="AA106" s="5"/>
      <c r="AB106" s="5">
        <v>3</v>
      </c>
      <c r="AC106" s="5">
        <v>2</v>
      </c>
      <c r="AD106" s="5"/>
      <c r="AE106" s="5"/>
      <c r="AF106" s="5"/>
      <c r="AG106" s="5" t="s">
        <v>74</v>
      </c>
      <c r="AH106" s="5">
        <v>16</v>
      </c>
      <c r="AI106" s="5" t="s">
        <v>74</v>
      </c>
      <c r="AJ106" s="5" t="s">
        <v>74</v>
      </c>
      <c r="AK106" s="5">
        <v>4</v>
      </c>
      <c r="AL106" s="5"/>
      <c r="AM106" s="5"/>
      <c r="AN106" s="5"/>
      <c r="AO106" s="5"/>
      <c r="AP106" s="5"/>
      <c r="AQ106" s="5"/>
      <c r="AR106" s="5" t="s">
        <v>74</v>
      </c>
      <c r="AS106" s="5" t="s">
        <v>74</v>
      </c>
      <c r="AT106" s="5" t="s">
        <v>74</v>
      </c>
      <c r="AU106" s="5" t="s">
        <v>74</v>
      </c>
      <c r="AV106" s="5" t="s">
        <v>74</v>
      </c>
      <c r="AW106" s="5" t="s">
        <v>74</v>
      </c>
      <c r="AX106" s="5" t="s">
        <v>74</v>
      </c>
      <c r="AY106" s="5" t="s">
        <v>74</v>
      </c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 t="s">
        <v>74</v>
      </c>
      <c r="BQ106" s="5" t="s">
        <v>74</v>
      </c>
      <c r="BR106" s="5" t="s">
        <v>74</v>
      </c>
      <c r="BS106" s="5"/>
      <c r="BT106" s="5" t="s">
        <v>74</v>
      </c>
      <c r="BU106" s="6" t="s">
        <v>51</v>
      </c>
      <c r="BV106" s="5">
        <v>1</v>
      </c>
      <c r="BW106" s="5"/>
      <c r="BX106" s="5" t="s">
        <v>74</v>
      </c>
      <c r="BY106" s="5"/>
      <c r="BZ106" s="5"/>
      <c r="CA106" s="10" t="s">
        <v>74</v>
      </c>
      <c r="CB106" s="5" t="s">
        <v>74</v>
      </c>
      <c r="CC106" s="5" t="s">
        <v>74</v>
      </c>
      <c r="CD106" s="5" t="s">
        <v>74</v>
      </c>
      <c r="CE106" s="5">
        <v>1.5</v>
      </c>
      <c r="CF106" s="8"/>
      <c r="CG106" s="5"/>
      <c r="CH106" s="5" t="s">
        <v>74</v>
      </c>
      <c r="CI106" s="5" t="s">
        <v>74</v>
      </c>
      <c r="CJ106" s="8" t="s">
        <v>74</v>
      </c>
      <c r="CK106" s="5"/>
      <c r="CL106" s="5" t="s">
        <v>74</v>
      </c>
      <c r="CM106" s="5" t="s">
        <v>74</v>
      </c>
      <c r="CN106" s="5">
        <v>3.5</v>
      </c>
      <c r="CO106" s="5"/>
      <c r="CP106" s="5" t="s">
        <v>74</v>
      </c>
    </row>
    <row r="107" spans="1:94" ht="25.25" customHeight="1">
      <c r="A107" s="5">
        <v>106</v>
      </c>
      <c r="B107" s="9" t="s">
        <v>181</v>
      </c>
      <c r="C107" s="9">
        <v>2024202247</v>
      </c>
      <c r="D107" s="5" t="s">
        <v>135</v>
      </c>
      <c r="E107" s="5">
        <f>SUM(G107:$XET107)</f>
        <v>46</v>
      </c>
      <c r="F107" s="5">
        <f>COUNT(G107:$XFD107)</f>
        <v>4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>
        <v>3</v>
      </c>
      <c r="X107" s="5"/>
      <c r="Y107" s="5"/>
      <c r="Z107" s="5"/>
      <c r="AA107" s="5"/>
      <c r="AB107" s="5" t="s">
        <v>74</v>
      </c>
      <c r="AC107" s="5" t="s">
        <v>74</v>
      </c>
      <c r="AD107" s="5"/>
      <c r="AE107" s="5"/>
      <c r="AF107" s="5"/>
      <c r="AG107" s="5" t="s">
        <v>74</v>
      </c>
      <c r="AH107" s="5" t="s">
        <v>74</v>
      </c>
      <c r="AI107" s="5" t="s">
        <v>74</v>
      </c>
      <c r="AJ107" s="5" t="s">
        <v>74</v>
      </c>
      <c r="AK107" s="5" t="s">
        <v>74</v>
      </c>
      <c r="AL107" s="5"/>
      <c r="AM107" s="5"/>
      <c r="AN107" s="5"/>
      <c r="AO107" s="5"/>
      <c r="AP107" s="5"/>
      <c r="AQ107" s="5"/>
      <c r="AR107" s="5" t="s">
        <v>74</v>
      </c>
      <c r="AS107" s="5" t="s">
        <v>74</v>
      </c>
      <c r="AT107" s="5" t="s">
        <v>74</v>
      </c>
      <c r="AU107" s="5" t="s">
        <v>74</v>
      </c>
      <c r="AV107" s="5" t="s">
        <v>74</v>
      </c>
      <c r="AW107" s="5" t="s">
        <v>74</v>
      </c>
      <c r="AX107" s="5" t="s">
        <v>74</v>
      </c>
      <c r="AY107" s="5" t="s">
        <v>74</v>
      </c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 t="s">
        <v>74</v>
      </c>
      <c r="BQ107" s="5" t="s">
        <v>74</v>
      </c>
      <c r="BR107" s="5" t="s">
        <v>74</v>
      </c>
      <c r="BS107" s="5"/>
      <c r="BT107" s="5">
        <v>40</v>
      </c>
      <c r="BU107" s="6" t="s">
        <v>51</v>
      </c>
      <c r="BV107" s="5">
        <v>1</v>
      </c>
      <c r="BW107" s="5"/>
      <c r="BX107" s="5" t="s">
        <v>74</v>
      </c>
      <c r="BY107" s="5"/>
      <c r="BZ107" s="5"/>
      <c r="CA107" s="10" t="s">
        <v>74</v>
      </c>
      <c r="CB107" s="5" t="s">
        <v>74</v>
      </c>
      <c r="CC107" s="5" t="s">
        <v>74</v>
      </c>
      <c r="CD107" s="5" t="s">
        <v>74</v>
      </c>
      <c r="CE107" s="5">
        <v>2</v>
      </c>
      <c r="CF107" s="8"/>
      <c r="CG107" s="5"/>
      <c r="CH107" s="5" t="s">
        <v>74</v>
      </c>
      <c r="CI107" s="5" t="s">
        <v>74</v>
      </c>
      <c r="CJ107" s="8" t="s">
        <v>74</v>
      </c>
      <c r="CK107" s="5"/>
      <c r="CL107" s="5" t="s">
        <v>74</v>
      </c>
      <c r="CM107" s="5" t="s">
        <v>74</v>
      </c>
      <c r="CN107" s="5" t="s">
        <v>74</v>
      </c>
      <c r="CO107" s="5"/>
      <c r="CP107" s="5" t="s">
        <v>74</v>
      </c>
    </row>
    <row r="108" spans="1:94" ht="25.25" customHeight="1">
      <c r="A108" s="5">
        <v>107</v>
      </c>
      <c r="B108" s="9" t="s">
        <v>182</v>
      </c>
      <c r="C108" s="9">
        <v>2024202220</v>
      </c>
      <c r="D108" s="5" t="s">
        <v>135</v>
      </c>
      <c r="E108" s="5">
        <f>SUM(G108:$XET108)</f>
        <v>131</v>
      </c>
      <c r="F108" s="5">
        <f>COUNT(G108:$XFD108)</f>
        <v>11</v>
      </c>
      <c r="G108" s="5"/>
      <c r="H108" s="5"/>
      <c r="I108" s="5"/>
      <c r="J108" s="5"/>
      <c r="K108" s="5"/>
      <c r="L108" s="5"/>
      <c r="M108" s="5"/>
      <c r="N108" s="5">
        <v>2</v>
      </c>
      <c r="O108" s="5"/>
      <c r="P108" s="5"/>
      <c r="Q108" s="5">
        <v>4</v>
      </c>
      <c r="R108" s="5"/>
      <c r="S108" s="5"/>
      <c r="T108" s="5"/>
      <c r="U108" s="5"/>
      <c r="V108" s="5"/>
      <c r="W108" s="5">
        <v>6</v>
      </c>
      <c r="X108" s="5"/>
      <c r="Y108" s="5"/>
      <c r="Z108" s="5">
        <v>4</v>
      </c>
      <c r="AA108" s="5"/>
      <c r="AB108" s="5">
        <v>3</v>
      </c>
      <c r="AC108" s="5" t="s">
        <v>74</v>
      </c>
      <c r="AD108" s="5"/>
      <c r="AE108" s="5"/>
      <c r="AF108" s="5"/>
      <c r="AG108" s="5" t="s">
        <v>74</v>
      </c>
      <c r="AH108" s="5" t="s">
        <v>74</v>
      </c>
      <c r="AI108" s="5" t="s">
        <v>74</v>
      </c>
      <c r="AJ108" s="5" t="s">
        <v>74</v>
      </c>
      <c r="AK108" s="5">
        <v>4</v>
      </c>
      <c r="AL108" s="5"/>
      <c r="AM108" s="5"/>
      <c r="AN108" s="5"/>
      <c r="AO108" s="5"/>
      <c r="AP108" s="5"/>
      <c r="AQ108" s="5"/>
      <c r="AR108" s="5" t="s">
        <v>74</v>
      </c>
      <c r="AS108" s="5" t="s">
        <v>74</v>
      </c>
      <c r="AT108" s="5">
        <v>72</v>
      </c>
      <c r="AU108" s="5">
        <v>5</v>
      </c>
      <c r="AV108" s="5" t="s">
        <v>74</v>
      </c>
      <c r="AW108" s="5" t="s">
        <v>74</v>
      </c>
      <c r="AX108" s="5" t="s">
        <v>74</v>
      </c>
      <c r="AY108" s="5" t="s">
        <v>74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 t="s">
        <v>74</v>
      </c>
      <c r="BQ108" s="5" t="s">
        <v>74</v>
      </c>
      <c r="BR108" s="5" t="s">
        <v>74</v>
      </c>
      <c r="BS108" s="5"/>
      <c r="BT108" s="5" t="s">
        <v>74</v>
      </c>
      <c r="BU108" s="6" t="s">
        <v>51</v>
      </c>
      <c r="BV108" s="5" t="s">
        <v>74</v>
      </c>
      <c r="BW108" s="5"/>
      <c r="BX108" s="5">
        <v>13</v>
      </c>
      <c r="BY108" s="5"/>
      <c r="BZ108" s="5"/>
      <c r="CA108" s="10" t="s">
        <v>74</v>
      </c>
      <c r="CB108" s="5" t="s">
        <v>74</v>
      </c>
      <c r="CC108" s="5" t="s">
        <v>74</v>
      </c>
      <c r="CD108" s="5" t="s">
        <v>74</v>
      </c>
      <c r="CE108" s="5">
        <v>6</v>
      </c>
      <c r="CF108" s="8"/>
      <c r="CG108" s="5"/>
      <c r="CH108" s="5" t="s">
        <v>74</v>
      </c>
      <c r="CI108" s="5" t="s">
        <v>74</v>
      </c>
      <c r="CJ108" s="8">
        <v>12</v>
      </c>
      <c r="CK108" s="5"/>
      <c r="CL108" s="5" t="s">
        <v>74</v>
      </c>
      <c r="CM108" s="5" t="s">
        <v>74</v>
      </c>
      <c r="CN108" s="5" t="s">
        <v>74</v>
      </c>
      <c r="CO108" s="5"/>
      <c r="CP108" s="5" t="s">
        <v>74</v>
      </c>
    </row>
    <row r="109" spans="1:94" ht="25.25" customHeight="1">
      <c r="A109" s="5">
        <v>108</v>
      </c>
      <c r="B109" s="9" t="s">
        <v>183</v>
      </c>
      <c r="C109" s="9">
        <v>2024202230</v>
      </c>
      <c r="D109" s="5" t="s">
        <v>135</v>
      </c>
      <c r="E109" s="5">
        <f>SUM(G109:$XET109)</f>
        <v>42</v>
      </c>
      <c r="F109" s="5">
        <f>COUNT(G109:$XFD109)</f>
        <v>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>
        <v>16</v>
      </c>
      <c r="U109" s="5"/>
      <c r="V109" s="5"/>
      <c r="W109" s="5"/>
      <c r="X109" s="5"/>
      <c r="Y109" s="5"/>
      <c r="Z109" s="5"/>
      <c r="AA109" s="5"/>
      <c r="AB109" s="5" t="s">
        <v>74</v>
      </c>
      <c r="AC109" s="5" t="s">
        <v>74</v>
      </c>
      <c r="AD109" s="5"/>
      <c r="AE109" s="5"/>
      <c r="AF109" s="5"/>
      <c r="AG109" s="5" t="s">
        <v>74</v>
      </c>
      <c r="AH109" s="5" t="s">
        <v>74</v>
      </c>
      <c r="AI109" s="5" t="s">
        <v>74</v>
      </c>
      <c r="AJ109" s="5" t="s">
        <v>74</v>
      </c>
      <c r="AK109" s="5">
        <v>4</v>
      </c>
      <c r="AL109" s="5"/>
      <c r="AM109" s="5"/>
      <c r="AN109" s="5"/>
      <c r="AO109" s="5"/>
      <c r="AP109" s="5"/>
      <c r="AQ109" s="5"/>
      <c r="AR109" s="5" t="s">
        <v>74</v>
      </c>
      <c r="AS109" s="5" t="s">
        <v>74</v>
      </c>
      <c r="AT109" s="5" t="s">
        <v>74</v>
      </c>
      <c r="AU109" s="5" t="s">
        <v>74</v>
      </c>
      <c r="AV109" s="5" t="s">
        <v>74</v>
      </c>
      <c r="AW109" s="5" t="s">
        <v>74</v>
      </c>
      <c r="AX109" s="5" t="s">
        <v>74</v>
      </c>
      <c r="AY109" s="5" t="s">
        <v>74</v>
      </c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 t="s">
        <v>74</v>
      </c>
      <c r="BQ109" s="5" t="s">
        <v>74</v>
      </c>
      <c r="BR109" s="5" t="s">
        <v>74</v>
      </c>
      <c r="BS109" s="5"/>
      <c r="BT109" s="5" t="s">
        <v>74</v>
      </c>
      <c r="BU109" s="6" t="s">
        <v>51</v>
      </c>
      <c r="BV109" s="5" t="s">
        <v>74</v>
      </c>
      <c r="BW109" s="5"/>
      <c r="BX109" s="5" t="s">
        <v>74</v>
      </c>
      <c r="BY109" s="5"/>
      <c r="BZ109" s="5"/>
      <c r="CA109" s="10" t="s">
        <v>74</v>
      </c>
      <c r="CB109" s="5" t="s">
        <v>74</v>
      </c>
      <c r="CC109" s="5" t="s">
        <v>74</v>
      </c>
      <c r="CD109" s="5" t="s">
        <v>74</v>
      </c>
      <c r="CE109" s="5" t="s">
        <v>74</v>
      </c>
      <c r="CF109" s="8"/>
      <c r="CG109" s="5">
        <v>2</v>
      </c>
      <c r="CH109" s="5" t="s">
        <v>74</v>
      </c>
      <c r="CI109" s="5">
        <v>16</v>
      </c>
      <c r="CJ109" s="8" t="s">
        <v>74</v>
      </c>
      <c r="CK109" s="5"/>
      <c r="CL109" s="5">
        <v>4</v>
      </c>
      <c r="CM109" s="5" t="s">
        <v>74</v>
      </c>
      <c r="CN109" s="5" t="s">
        <v>74</v>
      </c>
      <c r="CO109" s="5"/>
      <c r="CP109" s="5" t="s">
        <v>74</v>
      </c>
    </row>
    <row r="110" spans="1:94" ht="25.25" customHeight="1">
      <c r="A110" s="5">
        <v>109</v>
      </c>
      <c r="B110" s="9" t="s">
        <v>184</v>
      </c>
      <c r="C110" s="9">
        <v>2024202252</v>
      </c>
      <c r="D110" s="5" t="s">
        <v>135</v>
      </c>
      <c r="E110" s="5">
        <f>SUM(G110:$XET110)</f>
        <v>51.5</v>
      </c>
      <c r="F110" s="5">
        <f>COUNT(G110:$XFD110)</f>
        <v>10</v>
      </c>
      <c r="G110" s="5"/>
      <c r="H110" s="5"/>
      <c r="I110" s="5">
        <v>4</v>
      </c>
      <c r="J110" s="5"/>
      <c r="K110" s="5"/>
      <c r="L110" s="5"/>
      <c r="M110" s="5"/>
      <c r="N110" s="5">
        <v>0.5</v>
      </c>
      <c r="O110" s="5"/>
      <c r="P110" s="5"/>
      <c r="Q110" s="5"/>
      <c r="R110" s="5"/>
      <c r="S110" s="5"/>
      <c r="T110" s="5">
        <v>16</v>
      </c>
      <c r="U110" s="5">
        <v>4</v>
      </c>
      <c r="V110" s="5"/>
      <c r="W110" s="5">
        <v>5</v>
      </c>
      <c r="X110" s="5"/>
      <c r="Y110" s="5"/>
      <c r="Z110" s="5"/>
      <c r="AA110" s="5"/>
      <c r="AB110" s="5" t="s">
        <v>74</v>
      </c>
      <c r="AC110" s="5" t="s">
        <v>74</v>
      </c>
      <c r="AD110" s="5"/>
      <c r="AE110" s="5"/>
      <c r="AF110" s="5"/>
      <c r="AG110" s="5" t="s">
        <v>74</v>
      </c>
      <c r="AH110" s="5" t="s">
        <v>74</v>
      </c>
      <c r="AI110" s="5" t="s">
        <v>74</v>
      </c>
      <c r="AJ110" s="5" t="s">
        <v>74</v>
      </c>
      <c r="AK110" s="5">
        <v>4</v>
      </c>
      <c r="AL110" s="5"/>
      <c r="AM110" s="5"/>
      <c r="AN110" s="5"/>
      <c r="AO110" s="5"/>
      <c r="AP110" s="5"/>
      <c r="AQ110" s="5"/>
      <c r="AR110" s="5" t="s">
        <v>74</v>
      </c>
      <c r="AS110" s="5" t="s">
        <v>74</v>
      </c>
      <c r="AT110" s="5" t="s">
        <v>74</v>
      </c>
      <c r="AU110" s="5" t="s">
        <v>74</v>
      </c>
      <c r="AV110" s="5" t="s">
        <v>74</v>
      </c>
      <c r="AW110" s="5" t="s">
        <v>74</v>
      </c>
      <c r="AX110" s="5" t="s">
        <v>74</v>
      </c>
      <c r="AY110" s="5" t="s">
        <v>74</v>
      </c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>
        <v>4</v>
      </c>
      <c r="BQ110" s="5" t="s">
        <v>74</v>
      </c>
      <c r="BR110" s="5">
        <v>8</v>
      </c>
      <c r="BS110" s="5"/>
      <c r="BT110" s="5" t="s">
        <v>74</v>
      </c>
      <c r="BU110" s="6" t="s">
        <v>51</v>
      </c>
      <c r="BV110" s="5" t="s">
        <v>74</v>
      </c>
      <c r="BW110" s="5"/>
      <c r="BX110" s="5" t="s">
        <v>74</v>
      </c>
      <c r="BY110" s="5"/>
      <c r="BZ110" s="5"/>
      <c r="CA110" s="10" t="s">
        <v>74</v>
      </c>
      <c r="CB110" s="5" t="s">
        <v>74</v>
      </c>
      <c r="CC110" s="5" t="s">
        <v>74</v>
      </c>
      <c r="CD110" s="5" t="s">
        <v>74</v>
      </c>
      <c r="CE110" s="5">
        <v>1</v>
      </c>
      <c r="CF110" s="8"/>
      <c r="CG110" s="5"/>
      <c r="CH110" s="5" t="s">
        <v>74</v>
      </c>
      <c r="CI110" s="5" t="s">
        <v>74</v>
      </c>
      <c r="CJ110" s="8" t="s">
        <v>74</v>
      </c>
      <c r="CK110" s="5"/>
      <c r="CL110" s="5" t="s">
        <v>74</v>
      </c>
      <c r="CM110" s="5" t="s">
        <v>74</v>
      </c>
      <c r="CN110" s="5">
        <v>5</v>
      </c>
      <c r="CO110" s="5"/>
      <c r="CP110" s="5" t="s">
        <v>74</v>
      </c>
    </row>
    <row r="111" spans="1:94" ht="25.25" customHeight="1">
      <c r="A111" s="5">
        <v>110</v>
      </c>
      <c r="B111" s="9" t="s">
        <v>185</v>
      </c>
      <c r="C111" s="9">
        <v>2024202258</v>
      </c>
      <c r="D111" s="5" t="s">
        <v>135</v>
      </c>
      <c r="E111" s="5">
        <f>SUM(G111:$XET111)</f>
        <v>45</v>
      </c>
      <c r="F111" s="5">
        <f>COUNT(G111:$XFD111)</f>
        <v>5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>
        <v>6</v>
      </c>
      <c r="S111" s="5"/>
      <c r="T111" s="5"/>
      <c r="U111" s="5">
        <v>4.5</v>
      </c>
      <c r="V111" s="5"/>
      <c r="W111" s="5"/>
      <c r="X111" s="5">
        <v>6</v>
      </c>
      <c r="Y111" s="5">
        <v>24.5</v>
      </c>
      <c r="Z111" s="5"/>
      <c r="AA111" s="5"/>
      <c r="AB111" s="5" t="s">
        <v>74</v>
      </c>
      <c r="AC111" s="5" t="s">
        <v>74</v>
      </c>
      <c r="AD111" s="5"/>
      <c r="AE111" s="5"/>
      <c r="AF111" s="5"/>
      <c r="AG111" s="5" t="s">
        <v>74</v>
      </c>
      <c r="AH111" s="5" t="s">
        <v>74</v>
      </c>
      <c r="AI111" s="5" t="s">
        <v>74</v>
      </c>
      <c r="AJ111" s="5" t="s">
        <v>74</v>
      </c>
      <c r="AK111" s="5">
        <v>4</v>
      </c>
      <c r="AL111" s="5"/>
      <c r="AM111" s="5"/>
      <c r="AN111" s="5"/>
      <c r="AO111" s="5"/>
      <c r="AP111" s="5"/>
      <c r="AQ111" s="5"/>
      <c r="AR111" s="5" t="s">
        <v>74</v>
      </c>
      <c r="AS111" s="5" t="s">
        <v>74</v>
      </c>
      <c r="AT111" s="5" t="s">
        <v>74</v>
      </c>
      <c r="AU111" s="5" t="s">
        <v>74</v>
      </c>
      <c r="AV111" s="5" t="s">
        <v>74</v>
      </c>
      <c r="AW111" s="5" t="s">
        <v>74</v>
      </c>
      <c r="AX111" s="5" t="s">
        <v>74</v>
      </c>
      <c r="AY111" s="5" t="s">
        <v>74</v>
      </c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 t="s">
        <v>74</v>
      </c>
      <c r="BQ111" s="5" t="s">
        <v>74</v>
      </c>
      <c r="BR111" s="5" t="s">
        <v>74</v>
      </c>
      <c r="BS111" s="5"/>
      <c r="BT111" s="5" t="s">
        <v>74</v>
      </c>
      <c r="BU111" s="6" t="s">
        <v>51</v>
      </c>
      <c r="BV111" s="5" t="s">
        <v>74</v>
      </c>
      <c r="BW111" s="5"/>
      <c r="BX111" s="5" t="s">
        <v>74</v>
      </c>
      <c r="BY111" s="5"/>
      <c r="BZ111" s="5"/>
      <c r="CA111" s="10" t="s">
        <v>74</v>
      </c>
      <c r="CB111" s="5" t="s">
        <v>74</v>
      </c>
      <c r="CC111" s="5" t="s">
        <v>74</v>
      </c>
      <c r="CD111" s="5" t="s">
        <v>74</v>
      </c>
      <c r="CE111" s="5" t="s">
        <v>74</v>
      </c>
      <c r="CF111" s="8"/>
      <c r="CG111" s="5"/>
      <c r="CH111" s="5" t="s">
        <v>74</v>
      </c>
      <c r="CI111" s="5" t="s">
        <v>74</v>
      </c>
      <c r="CJ111" s="8" t="s">
        <v>74</v>
      </c>
      <c r="CK111" s="5"/>
      <c r="CL111" s="5" t="s">
        <v>74</v>
      </c>
      <c r="CM111" s="5" t="s">
        <v>74</v>
      </c>
      <c r="CN111" s="5" t="s">
        <v>74</v>
      </c>
      <c r="CO111" s="5"/>
      <c r="CP111" s="5" t="s">
        <v>74</v>
      </c>
    </row>
    <row r="112" spans="1:94" ht="25.25" customHeight="1">
      <c r="A112" s="5">
        <v>111</v>
      </c>
      <c r="B112" s="12" t="s">
        <v>186</v>
      </c>
      <c r="C112" s="12">
        <v>2023202656</v>
      </c>
      <c r="D112" s="5" t="s">
        <v>135</v>
      </c>
      <c r="E112" s="5">
        <f>SUM(G112:$XET112)</f>
        <v>16</v>
      </c>
      <c r="F112" s="5">
        <f>COUNT(G112:$XFD112)</f>
        <v>4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>
        <v>13</v>
      </c>
      <c r="AM112" s="5">
        <v>0</v>
      </c>
      <c r="AN112" s="5">
        <v>0</v>
      </c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6" t="s">
        <v>51</v>
      </c>
      <c r="BV112" s="5"/>
      <c r="BW112" s="5"/>
      <c r="BX112" s="5"/>
      <c r="BY112" s="5"/>
      <c r="BZ112" s="5"/>
      <c r="CA112" s="10"/>
      <c r="CB112" s="5"/>
      <c r="CC112" s="5"/>
      <c r="CD112" s="5"/>
      <c r="CE112" s="5"/>
      <c r="CF112" s="8"/>
      <c r="CG112" s="5"/>
      <c r="CH112" s="5"/>
      <c r="CI112" s="5"/>
      <c r="CJ112" s="8"/>
      <c r="CK112" s="5"/>
      <c r="CL112" s="5"/>
      <c r="CM112" s="5"/>
      <c r="CN112" s="5">
        <v>3</v>
      </c>
      <c r="CO112" s="5"/>
      <c r="CP112" s="5" t="s">
        <v>74</v>
      </c>
    </row>
    <row r="113" spans="1:94" ht="25.25" customHeight="1">
      <c r="A113" s="5">
        <v>112</v>
      </c>
      <c r="B113" s="9" t="s">
        <v>187</v>
      </c>
      <c r="C113" s="9">
        <v>2024201974</v>
      </c>
      <c r="D113" s="5" t="s">
        <v>135</v>
      </c>
      <c r="E113" s="5">
        <f>SUM(G113:$XET113)</f>
        <v>38</v>
      </c>
      <c r="F113" s="5">
        <f>COUNT(G113:$XFD113)</f>
        <v>4</v>
      </c>
      <c r="G113" s="5"/>
      <c r="H113" s="5"/>
      <c r="I113" s="5"/>
      <c r="J113" s="5"/>
      <c r="K113" s="5"/>
      <c r="L113" s="5">
        <v>20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>
        <v>8</v>
      </c>
      <c r="Y113" s="5"/>
      <c r="Z113" s="5"/>
      <c r="AA113" s="5"/>
      <c r="AB113" s="5" t="s">
        <v>74</v>
      </c>
      <c r="AC113" s="5" t="s">
        <v>74</v>
      </c>
      <c r="AD113" s="5"/>
      <c r="AE113" s="5"/>
      <c r="AF113" s="5"/>
      <c r="AG113" s="5" t="s">
        <v>74</v>
      </c>
      <c r="AH113" s="5" t="s">
        <v>74</v>
      </c>
      <c r="AI113" s="5" t="s">
        <v>74</v>
      </c>
      <c r="AJ113" s="5" t="s">
        <v>74</v>
      </c>
      <c r="AK113" s="5">
        <v>4</v>
      </c>
      <c r="AL113" s="5"/>
      <c r="AM113" s="5"/>
      <c r="AN113" s="5"/>
      <c r="AO113" s="5"/>
      <c r="AP113" s="5"/>
      <c r="AQ113" s="5"/>
      <c r="AR113" s="5" t="s">
        <v>74</v>
      </c>
      <c r="AS113" s="5" t="s">
        <v>74</v>
      </c>
      <c r="AT113" s="5" t="s">
        <v>74</v>
      </c>
      <c r="AU113" s="5" t="s">
        <v>74</v>
      </c>
      <c r="AV113" s="5" t="s">
        <v>74</v>
      </c>
      <c r="AW113" s="5">
        <v>6</v>
      </c>
      <c r="AX113" s="5" t="s">
        <v>74</v>
      </c>
      <c r="AY113" s="5" t="s">
        <v>74</v>
      </c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 t="s">
        <v>74</v>
      </c>
      <c r="BQ113" s="5" t="s">
        <v>74</v>
      </c>
      <c r="BR113" s="5" t="s">
        <v>74</v>
      </c>
      <c r="BS113" s="5"/>
      <c r="BT113" s="5" t="s">
        <v>74</v>
      </c>
      <c r="BU113" s="6" t="s">
        <v>51</v>
      </c>
      <c r="BV113" s="5" t="s">
        <v>74</v>
      </c>
      <c r="BW113" s="5"/>
      <c r="BX113" s="5" t="s">
        <v>74</v>
      </c>
      <c r="BY113" s="5"/>
      <c r="BZ113" s="5"/>
      <c r="CA113" s="10" t="s">
        <v>74</v>
      </c>
      <c r="CB113" s="5" t="s">
        <v>74</v>
      </c>
      <c r="CC113" s="5" t="s">
        <v>74</v>
      </c>
      <c r="CD113" s="5" t="s">
        <v>74</v>
      </c>
      <c r="CE113" s="5" t="s">
        <v>74</v>
      </c>
      <c r="CF113" s="8"/>
      <c r="CG113" s="5"/>
      <c r="CH113" s="5" t="s">
        <v>74</v>
      </c>
      <c r="CI113" s="5" t="s">
        <v>74</v>
      </c>
      <c r="CJ113" s="8" t="s">
        <v>74</v>
      </c>
      <c r="CK113" s="5"/>
      <c r="CL113" s="5" t="s">
        <v>74</v>
      </c>
      <c r="CM113" s="5" t="s">
        <v>74</v>
      </c>
      <c r="CN113" s="5" t="s">
        <v>74</v>
      </c>
      <c r="CO113" s="5"/>
      <c r="CP113" s="5" t="s">
        <v>74</v>
      </c>
    </row>
    <row r="114" spans="1:94" ht="25.25" customHeight="1">
      <c r="A114" s="5">
        <v>113</v>
      </c>
      <c r="B114" s="9" t="s">
        <v>188</v>
      </c>
      <c r="C114" s="9">
        <v>2024201980</v>
      </c>
      <c r="D114" s="5" t="s">
        <v>135</v>
      </c>
      <c r="E114" s="5">
        <f>SUM(G114:$XET114)</f>
        <v>28</v>
      </c>
      <c r="F114" s="5">
        <f>COUNT(G114:$XFD114)</f>
        <v>7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>
        <v>4</v>
      </c>
      <c r="V114" s="5"/>
      <c r="W114" s="5"/>
      <c r="X114" s="5">
        <v>6</v>
      </c>
      <c r="Y114" s="5"/>
      <c r="Z114" s="5"/>
      <c r="AA114" s="5"/>
      <c r="AB114" s="5">
        <v>5</v>
      </c>
      <c r="AC114" s="5">
        <v>2</v>
      </c>
      <c r="AD114" s="5"/>
      <c r="AE114" s="5"/>
      <c r="AF114" s="5"/>
      <c r="AG114" s="5" t="s">
        <v>74</v>
      </c>
      <c r="AH114" s="5" t="s">
        <v>74</v>
      </c>
      <c r="AI114" s="5" t="s">
        <v>74</v>
      </c>
      <c r="AJ114" s="5" t="s">
        <v>74</v>
      </c>
      <c r="AK114" s="5">
        <v>4</v>
      </c>
      <c r="AL114" s="5"/>
      <c r="AM114" s="5"/>
      <c r="AN114" s="5"/>
      <c r="AO114" s="5"/>
      <c r="AP114" s="5"/>
      <c r="AQ114" s="5"/>
      <c r="AR114" s="5" t="s">
        <v>74</v>
      </c>
      <c r="AS114" s="5" t="s">
        <v>74</v>
      </c>
      <c r="AT114" s="5" t="s">
        <v>74</v>
      </c>
      <c r="AU114" s="5" t="s">
        <v>74</v>
      </c>
      <c r="AV114" s="5" t="s">
        <v>74</v>
      </c>
      <c r="AW114" s="5" t="s">
        <v>74</v>
      </c>
      <c r="AX114" s="5" t="s">
        <v>74</v>
      </c>
      <c r="AY114" s="5" t="s">
        <v>74</v>
      </c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 t="s">
        <v>74</v>
      </c>
      <c r="BQ114" s="5" t="s">
        <v>74</v>
      </c>
      <c r="BR114" s="5" t="s">
        <v>74</v>
      </c>
      <c r="BS114" s="5"/>
      <c r="BT114" s="5" t="s">
        <v>74</v>
      </c>
      <c r="BU114" s="6" t="s">
        <v>51</v>
      </c>
      <c r="BV114" s="5" t="s">
        <v>74</v>
      </c>
      <c r="BW114" s="5"/>
      <c r="BX114" s="5" t="s">
        <v>74</v>
      </c>
      <c r="BY114" s="5"/>
      <c r="BZ114" s="5"/>
      <c r="CA114" s="10">
        <v>4</v>
      </c>
      <c r="CB114" s="5">
        <v>3</v>
      </c>
      <c r="CC114" s="5" t="s">
        <v>74</v>
      </c>
      <c r="CD114" s="5" t="s">
        <v>74</v>
      </c>
      <c r="CE114" s="5" t="s">
        <v>74</v>
      </c>
      <c r="CF114" s="8"/>
      <c r="CG114" s="5"/>
      <c r="CH114" s="5" t="s">
        <v>74</v>
      </c>
      <c r="CI114" s="5" t="s">
        <v>74</v>
      </c>
      <c r="CJ114" s="8" t="s">
        <v>74</v>
      </c>
      <c r="CK114" s="5"/>
      <c r="CL114" s="5" t="s">
        <v>74</v>
      </c>
      <c r="CM114" s="5" t="s">
        <v>74</v>
      </c>
      <c r="CN114" s="5" t="s">
        <v>74</v>
      </c>
      <c r="CO114" s="5"/>
      <c r="CP114" s="5" t="s">
        <v>74</v>
      </c>
    </row>
    <row r="115" spans="1:94" ht="25.25" customHeight="1">
      <c r="A115" s="5">
        <v>114</v>
      </c>
      <c r="B115" s="9" t="s">
        <v>189</v>
      </c>
      <c r="C115" s="9">
        <v>2024201989</v>
      </c>
      <c r="D115" s="5" t="s">
        <v>135</v>
      </c>
      <c r="E115" s="5">
        <f>SUM(G115:$XET115)</f>
        <v>70</v>
      </c>
      <c r="F115" s="5">
        <f>COUNT(G115:$XFD115)</f>
        <v>7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>
        <v>4</v>
      </c>
      <c r="X115" s="5"/>
      <c r="Y115" s="5"/>
      <c r="Z115" s="5"/>
      <c r="AA115" s="5"/>
      <c r="AB115" s="5" t="s">
        <v>74</v>
      </c>
      <c r="AC115" s="5" t="s">
        <v>74</v>
      </c>
      <c r="AD115" s="5"/>
      <c r="AE115" s="5"/>
      <c r="AF115" s="5"/>
      <c r="AG115" s="5" t="s">
        <v>74</v>
      </c>
      <c r="AH115" s="5" t="s">
        <v>74</v>
      </c>
      <c r="AI115" s="5" t="s">
        <v>74</v>
      </c>
      <c r="AJ115" s="5" t="s">
        <v>74</v>
      </c>
      <c r="AK115" s="5" t="s">
        <v>74</v>
      </c>
      <c r="AL115" s="5"/>
      <c r="AM115" s="5"/>
      <c r="AN115" s="5"/>
      <c r="AO115" s="5"/>
      <c r="AP115" s="5"/>
      <c r="AQ115" s="5"/>
      <c r="AR115" s="5" t="s">
        <v>74</v>
      </c>
      <c r="AS115" s="5" t="s">
        <v>74</v>
      </c>
      <c r="AT115" s="5" t="s">
        <v>74</v>
      </c>
      <c r="AU115" s="5" t="s">
        <v>74</v>
      </c>
      <c r="AV115" s="5" t="s">
        <v>74</v>
      </c>
      <c r="AW115" s="5" t="s">
        <v>74</v>
      </c>
      <c r="AX115" s="5" t="s">
        <v>74</v>
      </c>
      <c r="AY115" s="5" t="s">
        <v>74</v>
      </c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>
        <v>4</v>
      </c>
      <c r="BQ115" s="5" t="s">
        <v>74</v>
      </c>
      <c r="BR115" s="5">
        <v>9</v>
      </c>
      <c r="BS115" s="5">
        <v>4</v>
      </c>
      <c r="BT115" s="5" t="s">
        <v>74</v>
      </c>
      <c r="BU115" s="6" t="s">
        <v>51</v>
      </c>
      <c r="BV115" s="5">
        <v>40</v>
      </c>
      <c r="BW115" s="5"/>
      <c r="BX115" s="5">
        <v>5</v>
      </c>
      <c r="BY115" s="5"/>
      <c r="BZ115" s="5"/>
      <c r="CA115" s="10">
        <v>4</v>
      </c>
      <c r="CB115" s="5" t="s">
        <v>74</v>
      </c>
      <c r="CC115" s="5" t="s">
        <v>74</v>
      </c>
      <c r="CD115" s="5" t="s">
        <v>74</v>
      </c>
      <c r="CE115" s="5" t="s">
        <v>74</v>
      </c>
      <c r="CF115" s="8"/>
      <c r="CG115" s="5"/>
      <c r="CH115" s="5" t="s">
        <v>74</v>
      </c>
      <c r="CI115" s="5" t="s">
        <v>74</v>
      </c>
      <c r="CJ115" s="8" t="s">
        <v>74</v>
      </c>
      <c r="CK115" s="5"/>
      <c r="CL115" s="5" t="s">
        <v>74</v>
      </c>
      <c r="CM115" s="5" t="s">
        <v>74</v>
      </c>
      <c r="CN115" s="5" t="s">
        <v>74</v>
      </c>
      <c r="CO115" s="5"/>
      <c r="CP115" s="5" t="s">
        <v>74</v>
      </c>
    </row>
    <row r="116" spans="1:94" ht="25.25" customHeight="1">
      <c r="A116" s="5">
        <v>115</v>
      </c>
      <c r="B116" s="9" t="s">
        <v>190</v>
      </c>
      <c r="C116" s="9">
        <v>2024202016</v>
      </c>
      <c r="D116" s="5" t="s">
        <v>135</v>
      </c>
      <c r="E116" s="5">
        <f>SUM(G116:$XET116)</f>
        <v>34</v>
      </c>
      <c r="F116" s="5">
        <f>COUNT(G116:$XFD116)</f>
        <v>6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>
        <v>3</v>
      </c>
      <c r="R116" s="5"/>
      <c r="S116" s="5"/>
      <c r="T116" s="5"/>
      <c r="U116" s="5"/>
      <c r="V116" s="5"/>
      <c r="W116" s="5">
        <v>5</v>
      </c>
      <c r="X116" s="5"/>
      <c r="Y116" s="5"/>
      <c r="Z116" s="5"/>
      <c r="AA116" s="5">
        <v>4</v>
      </c>
      <c r="AB116" s="5" t="s">
        <v>74</v>
      </c>
      <c r="AC116" s="5" t="s">
        <v>74</v>
      </c>
      <c r="AD116" s="5"/>
      <c r="AE116" s="5"/>
      <c r="AF116" s="5"/>
      <c r="AG116" s="5" t="s">
        <v>74</v>
      </c>
      <c r="AH116" s="5" t="s">
        <v>74</v>
      </c>
      <c r="AI116" s="5" t="s">
        <v>74</v>
      </c>
      <c r="AJ116" s="5" t="s">
        <v>74</v>
      </c>
      <c r="AK116" s="5" t="s">
        <v>74</v>
      </c>
      <c r="AL116" s="5"/>
      <c r="AM116" s="5"/>
      <c r="AN116" s="5"/>
      <c r="AO116" s="5"/>
      <c r="AP116" s="5"/>
      <c r="AQ116" s="5"/>
      <c r="AR116" s="5">
        <v>6</v>
      </c>
      <c r="AS116" s="5" t="s">
        <v>74</v>
      </c>
      <c r="AT116" s="5" t="s">
        <v>74</v>
      </c>
      <c r="AU116" s="5" t="s">
        <v>74</v>
      </c>
      <c r="AV116" s="5" t="s">
        <v>74</v>
      </c>
      <c r="AW116" s="5" t="s">
        <v>74</v>
      </c>
      <c r="AX116" s="5" t="s">
        <v>74</v>
      </c>
      <c r="AY116" s="5" t="s">
        <v>74</v>
      </c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 t="s">
        <v>74</v>
      </c>
      <c r="BQ116" s="5" t="s">
        <v>74</v>
      </c>
      <c r="BR116" s="5">
        <v>15</v>
      </c>
      <c r="BS116" s="5"/>
      <c r="BT116" s="5" t="s">
        <v>74</v>
      </c>
      <c r="BU116" s="6" t="s">
        <v>51</v>
      </c>
      <c r="BV116" s="5" t="s">
        <v>74</v>
      </c>
      <c r="BW116" s="5"/>
      <c r="BX116" s="5" t="s">
        <v>74</v>
      </c>
      <c r="BY116" s="5"/>
      <c r="BZ116" s="5"/>
      <c r="CA116" s="10" t="s">
        <v>74</v>
      </c>
      <c r="CB116" s="5" t="s">
        <v>74</v>
      </c>
      <c r="CC116" s="5" t="s">
        <v>74</v>
      </c>
      <c r="CD116" s="5" t="s">
        <v>74</v>
      </c>
      <c r="CE116" s="5" t="s">
        <v>74</v>
      </c>
      <c r="CF116" s="8"/>
      <c r="CG116" s="5"/>
      <c r="CH116" s="5" t="s">
        <v>74</v>
      </c>
      <c r="CI116" s="5" t="s">
        <v>74</v>
      </c>
      <c r="CJ116" s="8" t="s">
        <v>74</v>
      </c>
      <c r="CK116" s="5"/>
      <c r="CL116" s="5" t="s">
        <v>74</v>
      </c>
      <c r="CM116" s="5" t="s">
        <v>74</v>
      </c>
      <c r="CN116" s="5">
        <v>1</v>
      </c>
      <c r="CO116" s="5"/>
      <c r="CP116" s="5" t="s">
        <v>74</v>
      </c>
    </row>
    <row r="117" spans="1:94" ht="25.25" customHeight="1">
      <c r="A117" s="5">
        <v>116</v>
      </c>
      <c r="B117" s="9" t="s">
        <v>191</v>
      </c>
      <c r="C117" s="9">
        <v>2024202020</v>
      </c>
      <c r="D117" s="5" t="s">
        <v>135</v>
      </c>
      <c r="E117" s="5">
        <f>SUM(G117:$XET117)</f>
        <v>10</v>
      </c>
      <c r="F117" s="5">
        <f>COUNT(G117:$XFD117)</f>
        <v>2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>
        <v>4</v>
      </c>
      <c r="V117" s="5"/>
      <c r="W117" s="5"/>
      <c r="X117" s="5"/>
      <c r="Y117" s="5"/>
      <c r="Z117" s="5"/>
      <c r="AA117" s="5"/>
      <c r="AB117" s="5" t="s">
        <v>74</v>
      </c>
      <c r="AC117" s="5" t="s">
        <v>74</v>
      </c>
      <c r="AD117" s="5"/>
      <c r="AE117" s="5"/>
      <c r="AF117" s="5"/>
      <c r="AG117" s="5" t="s">
        <v>74</v>
      </c>
      <c r="AH117" s="5" t="s">
        <v>74</v>
      </c>
      <c r="AI117" s="5" t="s">
        <v>74</v>
      </c>
      <c r="AJ117" s="5" t="s">
        <v>74</v>
      </c>
      <c r="AK117" s="5" t="s">
        <v>74</v>
      </c>
      <c r="AL117" s="5"/>
      <c r="AM117" s="5"/>
      <c r="AN117" s="5"/>
      <c r="AO117" s="5"/>
      <c r="AP117" s="5"/>
      <c r="AQ117" s="5"/>
      <c r="AR117" s="5">
        <v>6</v>
      </c>
      <c r="AS117" s="5" t="s">
        <v>74</v>
      </c>
      <c r="AT117" s="5" t="s">
        <v>74</v>
      </c>
      <c r="AU117" s="5" t="s">
        <v>74</v>
      </c>
      <c r="AV117" s="5" t="s">
        <v>74</v>
      </c>
      <c r="AW117" s="5" t="s">
        <v>74</v>
      </c>
      <c r="AX117" s="5" t="s">
        <v>74</v>
      </c>
      <c r="AY117" s="5" t="s">
        <v>74</v>
      </c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 t="s">
        <v>74</v>
      </c>
      <c r="BQ117" s="5" t="s">
        <v>74</v>
      </c>
      <c r="BR117" s="5" t="s">
        <v>74</v>
      </c>
      <c r="BS117" s="5"/>
      <c r="BT117" s="5" t="s">
        <v>74</v>
      </c>
      <c r="BU117" s="6" t="s">
        <v>51</v>
      </c>
      <c r="BV117" s="5" t="s">
        <v>74</v>
      </c>
      <c r="BW117" s="5"/>
      <c r="BX117" s="5" t="s">
        <v>74</v>
      </c>
      <c r="BY117" s="5"/>
      <c r="BZ117" s="5"/>
      <c r="CA117" s="10" t="s">
        <v>74</v>
      </c>
      <c r="CB117" s="5" t="s">
        <v>74</v>
      </c>
      <c r="CC117" s="5" t="s">
        <v>74</v>
      </c>
      <c r="CD117" s="5" t="s">
        <v>74</v>
      </c>
      <c r="CE117" s="5" t="s">
        <v>74</v>
      </c>
      <c r="CF117" s="8"/>
      <c r="CG117" s="5"/>
      <c r="CH117" s="5" t="s">
        <v>74</v>
      </c>
      <c r="CI117" s="5" t="s">
        <v>74</v>
      </c>
      <c r="CJ117" s="8" t="s">
        <v>74</v>
      </c>
      <c r="CK117" s="5"/>
      <c r="CL117" s="5" t="s">
        <v>74</v>
      </c>
      <c r="CM117" s="5" t="s">
        <v>74</v>
      </c>
      <c r="CN117" s="5" t="s">
        <v>74</v>
      </c>
      <c r="CO117" s="5"/>
      <c r="CP117" s="5" t="s">
        <v>74</v>
      </c>
    </row>
    <row r="118" spans="1:94" ht="25.25" customHeight="1">
      <c r="A118" s="5">
        <v>117</v>
      </c>
      <c r="B118" s="9" t="s">
        <v>192</v>
      </c>
      <c r="C118" s="9">
        <v>2024202039</v>
      </c>
      <c r="D118" s="5" t="s">
        <v>135</v>
      </c>
      <c r="E118" s="5">
        <f>SUM(G118:$XET118)</f>
        <v>63.5</v>
      </c>
      <c r="F118" s="5">
        <f>COUNT(G118:$XFD118)</f>
        <v>11</v>
      </c>
      <c r="G118" s="5"/>
      <c r="H118" s="5"/>
      <c r="I118" s="5"/>
      <c r="J118" s="5"/>
      <c r="K118" s="5">
        <v>10</v>
      </c>
      <c r="L118" s="5"/>
      <c r="M118" s="5"/>
      <c r="N118" s="5">
        <v>1</v>
      </c>
      <c r="O118" s="5"/>
      <c r="P118" s="5"/>
      <c r="Q118" s="5"/>
      <c r="R118" s="5"/>
      <c r="S118" s="5"/>
      <c r="T118" s="5"/>
      <c r="U118" s="5">
        <v>4</v>
      </c>
      <c r="V118" s="5"/>
      <c r="W118" s="5"/>
      <c r="X118" s="5">
        <v>10</v>
      </c>
      <c r="Y118" s="5"/>
      <c r="Z118" s="5"/>
      <c r="AA118" s="5"/>
      <c r="AB118" s="5">
        <v>3.5</v>
      </c>
      <c r="AC118" s="5">
        <v>2</v>
      </c>
      <c r="AD118" s="5"/>
      <c r="AE118" s="5"/>
      <c r="AF118" s="5"/>
      <c r="AG118" s="5" t="s">
        <v>74</v>
      </c>
      <c r="AH118" s="5" t="s">
        <v>74</v>
      </c>
      <c r="AI118" s="5" t="s">
        <v>74</v>
      </c>
      <c r="AJ118" s="5">
        <v>4</v>
      </c>
      <c r="AK118" s="5">
        <v>4</v>
      </c>
      <c r="AL118" s="5"/>
      <c r="AM118" s="5"/>
      <c r="AN118" s="5"/>
      <c r="AO118" s="5"/>
      <c r="AP118" s="5"/>
      <c r="AQ118" s="5"/>
      <c r="AR118" s="5">
        <v>6</v>
      </c>
      <c r="AS118" s="5" t="s">
        <v>74</v>
      </c>
      <c r="AT118" s="5" t="s">
        <v>74</v>
      </c>
      <c r="AU118" s="5" t="s">
        <v>74</v>
      </c>
      <c r="AV118" s="5" t="s">
        <v>74</v>
      </c>
      <c r="AW118" s="5">
        <v>6</v>
      </c>
      <c r="AX118" s="5" t="s">
        <v>74</v>
      </c>
      <c r="AY118" s="5" t="s">
        <v>74</v>
      </c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 t="s">
        <v>74</v>
      </c>
      <c r="BQ118" s="5" t="s">
        <v>74</v>
      </c>
      <c r="BR118" s="5" t="s">
        <v>74</v>
      </c>
      <c r="BS118" s="5"/>
      <c r="BT118" s="5" t="s">
        <v>74</v>
      </c>
      <c r="BU118" s="6" t="s">
        <v>51</v>
      </c>
      <c r="BV118" s="5" t="s">
        <v>74</v>
      </c>
      <c r="BW118" s="5"/>
      <c r="BX118" s="5">
        <v>13</v>
      </c>
      <c r="BY118" s="5"/>
      <c r="BZ118" s="5"/>
      <c r="CA118" s="10" t="s">
        <v>74</v>
      </c>
      <c r="CB118" s="5" t="s">
        <v>74</v>
      </c>
      <c r="CC118" s="5" t="s">
        <v>74</v>
      </c>
      <c r="CD118" s="5" t="s">
        <v>74</v>
      </c>
      <c r="CE118" s="5" t="s">
        <v>74</v>
      </c>
      <c r="CF118" s="8"/>
      <c r="CG118" s="5"/>
      <c r="CH118" s="5" t="s">
        <v>74</v>
      </c>
      <c r="CI118" s="5" t="s">
        <v>74</v>
      </c>
      <c r="CJ118" s="8" t="s">
        <v>74</v>
      </c>
      <c r="CK118" s="5"/>
      <c r="CL118" s="5" t="s">
        <v>74</v>
      </c>
      <c r="CM118" s="5" t="s">
        <v>74</v>
      </c>
      <c r="CN118" s="5" t="s">
        <v>74</v>
      </c>
      <c r="CO118" s="5"/>
      <c r="CP118" s="5" t="s">
        <v>74</v>
      </c>
    </row>
    <row r="119" spans="1:94" ht="25.25" customHeight="1">
      <c r="A119" s="5">
        <v>118</v>
      </c>
      <c r="B119" s="9" t="s">
        <v>193</v>
      </c>
      <c r="C119" s="9">
        <v>2024202086</v>
      </c>
      <c r="D119" s="5" t="s">
        <v>135</v>
      </c>
      <c r="E119" s="5">
        <f>SUM(G119:$XET119)</f>
        <v>14.5</v>
      </c>
      <c r="F119" s="5">
        <f>COUNT(G119:$XFD119)</f>
        <v>4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>
        <v>4.5</v>
      </c>
      <c r="V119" s="5"/>
      <c r="W119" s="5"/>
      <c r="X119" s="5"/>
      <c r="Y119" s="5"/>
      <c r="Z119" s="5"/>
      <c r="AA119" s="5"/>
      <c r="AB119" s="5" t="s">
        <v>74</v>
      </c>
      <c r="AC119" s="5" t="s">
        <v>74</v>
      </c>
      <c r="AD119" s="5"/>
      <c r="AE119" s="5"/>
      <c r="AF119" s="5"/>
      <c r="AG119" s="5" t="s">
        <v>74</v>
      </c>
      <c r="AH119" s="5" t="s">
        <v>74</v>
      </c>
      <c r="AI119" s="5" t="s">
        <v>74</v>
      </c>
      <c r="AJ119" s="5">
        <v>2</v>
      </c>
      <c r="AK119" s="5">
        <v>4</v>
      </c>
      <c r="AL119" s="5"/>
      <c r="AM119" s="5"/>
      <c r="AN119" s="5"/>
      <c r="AO119" s="5"/>
      <c r="AP119" s="5"/>
      <c r="AQ119" s="5"/>
      <c r="AR119" s="5" t="s">
        <v>74</v>
      </c>
      <c r="AS119" s="5" t="s">
        <v>74</v>
      </c>
      <c r="AT119" s="5" t="s">
        <v>74</v>
      </c>
      <c r="AU119" s="5" t="s">
        <v>74</v>
      </c>
      <c r="AV119" s="5" t="s">
        <v>74</v>
      </c>
      <c r="AW119" s="5" t="s">
        <v>74</v>
      </c>
      <c r="AX119" s="5" t="s">
        <v>74</v>
      </c>
      <c r="AY119" s="5" t="s">
        <v>74</v>
      </c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>
        <v>4</v>
      </c>
      <c r="BQ119" s="5" t="s">
        <v>74</v>
      </c>
      <c r="BR119" s="5" t="s">
        <v>74</v>
      </c>
      <c r="BS119" s="5"/>
      <c r="BT119" s="5" t="s">
        <v>74</v>
      </c>
      <c r="BU119" s="6" t="s">
        <v>51</v>
      </c>
      <c r="BV119" s="5" t="s">
        <v>74</v>
      </c>
      <c r="BW119" s="5"/>
      <c r="BX119" s="5" t="s">
        <v>74</v>
      </c>
      <c r="BY119" s="5"/>
      <c r="BZ119" s="5"/>
      <c r="CA119" s="10" t="s">
        <v>74</v>
      </c>
      <c r="CB119" s="5" t="s">
        <v>74</v>
      </c>
      <c r="CC119" s="5" t="s">
        <v>74</v>
      </c>
      <c r="CD119" s="5" t="s">
        <v>74</v>
      </c>
      <c r="CE119" s="5" t="s">
        <v>74</v>
      </c>
      <c r="CF119" s="8"/>
      <c r="CG119" s="5"/>
      <c r="CH119" s="5" t="s">
        <v>74</v>
      </c>
      <c r="CI119" s="5" t="s">
        <v>74</v>
      </c>
      <c r="CJ119" s="8" t="s">
        <v>74</v>
      </c>
      <c r="CK119" s="5"/>
      <c r="CL119" s="5" t="s">
        <v>74</v>
      </c>
      <c r="CM119" s="5" t="s">
        <v>74</v>
      </c>
      <c r="CN119" s="5" t="s">
        <v>74</v>
      </c>
      <c r="CO119" s="5"/>
      <c r="CP119" s="5" t="s">
        <v>74</v>
      </c>
    </row>
    <row r="120" spans="1:94" ht="25.25" customHeight="1">
      <c r="A120" s="5">
        <v>119</v>
      </c>
      <c r="B120" s="9" t="s">
        <v>194</v>
      </c>
      <c r="C120" s="9">
        <v>2024202107</v>
      </c>
      <c r="D120" s="5" t="s">
        <v>135</v>
      </c>
      <c r="E120" s="5">
        <f>SUM(G120:$XET120)</f>
        <v>0</v>
      </c>
      <c r="F120" s="5">
        <f>COUNT(G120:$XFD120)</f>
        <v>0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 t="s">
        <v>74</v>
      </c>
      <c r="AC120" s="5" t="s">
        <v>74</v>
      </c>
      <c r="AD120" s="5"/>
      <c r="AE120" s="5"/>
      <c r="AF120" s="5"/>
      <c r="AG120" s="5" t="s">
        <v>74</v>
      </c>
      <c r="AH120" s="5" t="s">
        <v>74</v>
      </c>
      <c r="AI120" s="5" t="s">
        <v>74</v>
      </c>
      <c r="AJ120" s="5" t="s">
        <v>74</v>
      </c>
      <c r="AK120" s="5" t="s">
        <v>74</v>
      </c>
      <c r="AL120" s="5"/>
      <c r="AM120" s="5"/>
      <c r="AN120" s="5"/>
      <c r="AO120" s="5"/>
      <c r="AP120" s="5"/>
      <c r="AQ120" s="5"/>
      <c r="AR120" s="5" t="s">
        <v>74</v>
      </c>
      <c r="AS120" s="5" t="s">
        <v>74</v>
      </c>
      <c r="AT120" s="5" t="s">
        <v>74</v>
      </c>
      <c r="AU120" s="5" t="s">
        <v>74</v>
      </c>
      <c r="AV120" s="5" t="s">
        <v>74</v>
      </c>
      <c r="AW120" s="5" t="s">
        <v>74</v>
      </c>
      <c r="AX120" s="5" t="s">
        <v>74</v>
      </c>
      <c r="AY120" s="5" t="s">
        <v>74</v>
      </c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 t="s">
        <v>74</v>
      </c>
      <c r="BQ120" s="5" t="s">
        <v>74</v>
      </c>
      <c r="BR120" s="5" t="s">
        <v>74</v>
      </c>
      <c r="BS120" s="5"/>
      <c r="BT120" s="5" t="s">
        <v>74</v>
      </c>
      <c r="BU120" s="6" t="s">
        <v>51</v>
      </c>
      <c r="BV120" s="5" t="s">
        <v>74</v>
      </c>
      <c r="BW120" s="5"/>
      <c r="BX120" s="5" t="s">
        <v>74</v>
      </c>
      <c r="BY120" s="5"/>
      <c r="BZ120" s="5"/>
      <c r="CA120" s="10" t="s">
        <v>74</v>
      </c>
      <c r="CB120" s="5" t="s">
        <v>74</v>
      </c>
      <c r="CC120" s="5" t="s">
        <v>74</v>
      </c>
      <c r="CD120" s="5" t="s">
        <v>74</v>
      </c>
      <c r="CE120" s="5" t="s">
        <v>74</v>
      </c>
      <c r="CF120" s="8"/>
      <c r="CG120" s="5"/>
      <c r="CH120" s="5" t="s">
        <v>74</v>
      </c>
      <c r="CI120" s="5" t="s">
        <v>74</v>
      </c>
      <c r="CJ120" s="8" t="s">
        <v>74</v>
      </c>
      <c r="CK120" s="5"/>
      <c r="CL120" s="5" t="s">
        <v>74</v>
      </c>
      <c r="CM120" s="5" t="s">
        <v>74</v>
      </c>
      <c r="CN120" s="5" t="s">
        <v>74</v>
      </c>
      <c r="CO120" s="5"/>
      <c r="CP120" s="5" t="s">
        <v>74</v>
      </c>
    </row>
    <row r="121" spans="1:94" ht="25.25" customHeight="1">
      <c r="A121" s="5">
        <v>120</v>
      </c>
      <c r="B121" s="9" t="s">
        <v>195</v>
      </c>
      <c r="C121" s="9">
        <v>2024202023</v>
      </c>
      <c r="D121" s="5" t="s">
        <v>135</v>
      </c>
      <c r="E121" s="5">
        <f>SUM(G121:$XET121)</f>
        <v>75</v>
      </c>
      <c r="F121" s="5">
        <f>COUNT(G121:$XFD121)</f>
        <v>10</v>
      </c>
      <c r="G121" s="5"/>
      <c r="H121" s="5"/>
      <c r="I121" s="5"/>
      <c r="J121" s="5"/>
      <c r="K121" s="5"/>
      <c r="L121" s="5"/>
      <c r="M121" s="5"/>
      <c r="N121" s="5">
        <v>2</v>
      </c>
      <c r="O121" s="5"/>
      <c r="P121" s="5"/>
      <c r="Q121" s="5"/>
      <c r="R121" s="5"/>
      <c r="S121" s="5">
        <v>20</v>
      </c>
      <c r="T121" s="5">
        <v>16</v>
      </c>
      <c r="U121" s="5"/>
      <c r="V121" s="5"/>
      <c r="W121" s="5"/>
      <c r="X121" s="5"/>
      <c r="Y121" s="5"/>
      <c r="Z121" s="5"/>
      <c r="AA121" s="5"/>
      <c r="AB121" s="5" t="s">
        <v>74</v>
      </c>
      <c r="AC121" s="5" t="s">
        <v>74</v>
      </c>
      <c r="AD121" s="5"/>
      <c r="AE121" s="5"/>
      <c r="AF121" s="5"/>
      <c r="AG121" s="5" t="s">
        <v>74</v>
      </c>
      <c r="AH121" s="5" t="s">
        <v>74</v>
      </c>
      <c r="AI121" s="5" t="s">
        <v>74</v>
      </c>
      <c r="AJ121" s="5" t="s">
        <v>74</v>
      </c>
      <c r="AK121" s="5">
        <v>4</v>
      </c>
      <c r="AL121" s="5"/>
      <c r="AM121" s="5"/>
      <c r="AN121" s="5"/>
      <c r="AO121" s="5"/>
      <c r="AP121" s="5"/>
      <c r="AQ121" s="5"/>
      <c r="AR121" s="5" t="s">
        <v>74</v>
      </c>
      <c r="AS121" s="5" t="s">
        <v>74</v>
      </c>
      <c r="AT121" s="5" t="s">
        <v>74</v>
      </c>
      <c r="AU121" s="5" t="s">
        <v>74</v>
      </c>
      <c r="AV121" s="5">
        <v>2</v>
      </c>
      <c r="AW121" s="5" t="s">
        <v>74</v>
      </c>
      <c r="AX121" s="5" t="s">
        <v>74</v>
      </c>
      <c r="AY121" s="5" t="s">
        <v>74</v>
      </c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 t="s">
        <v>74</v>
      </c>
      <c r="BQ121" s="5" t="s">
        <v>74</v>
      </c>
      <c r="BR121" s="5" t="s">
        <v>74</v>
      </c>
      <c r="BS121" s="5"/>
      <c r="BT121" s="5" t="s">
        <v>74</v>
      </c>
      <c r="BU121" s="6" t="s">
        <v>51</v>
      </c>
      <c r="BV121" s="5" t="s">
        <v>74</v>
      </c>
      <c r="BW121" s="5"/>
      <c r="BX121" s="5">
        <v>5</v>
      </c>
      <c r="BY121" s="5"/>
      <c r="BZ121" s="5"/>
      <c r="CA121" s="10" t="s">
        <v>74</v>
      </c>
      <c r="CB121" s="5" t="s">
        <v>74</v>
      </c>
      <c r="CC121" s="5" t="s">
        <v>74</v>
      </c>
      <c r="CD121" s="5" t="s">
        <v>74</v>
      </c>
      <c r="CE121" s="5" t="s">
        <v>74</v>
      </c>
      <c r="CF121" s="8"/>
      <c r="CG121" s="5">
        <v>2</v>
      </c>
      <c r="CH121" s="5" t="s">
        <v>74</v>
      </c>
      <c r="CI121" s="5">
        <v>16</v>
      </c>
      <c r="CJ121" s="8">
        <v>4</v>
      </c>
      <c r="CK121" s="5"/>
      <c r="CL121" s="5">
        <v>4</v>
      </c>
      <c r="CM121" s="5" t="s">
        <v>74</v>
      </c>
      <c r="CN121" s="5" t="s">
        <v>74</v>
      </c>
      <c r="CO121" s="5"/>
      <c r="CP121" s="5" t="s">
        <v>74</v>
      </c>
    </row>
    <row r="122" spans="1:94" ht="25.25" customHeight="1">
      <c r="A122" s="5">
        <v>121</v>
      </c>
      <c r="B122" s="9" t="s">
        <v>196</v>
      </c>
      <c r="C122" s="9">
        <v>2024202050</v>
      </c>
      <c r="D122" s="5" t="s">
        <v>135</v>
      </c>
      <c r="E122" s="5">
        <f>SUM(G122:$XET122)</f>
        <v>41</v>
      </c>
      <c r="F122" s="5">
        <f>COUNT(G122:$XFD122)</f>
        <v>7</v>
      </c>
      <c r="G122" s="5"/>
      <c r="H122" s="5"/>
      <c r="I122" s="5"/>
      <c r="J122" s="5"/>
      <c r="K122" s="5"/>
      <c r="L122" s="5"/>
      <c r="M122" s="5"/>
      <c r="N122" s="5">
        <v>1</v>
      </c>
      <c r="O122" s="5"/>
      <c r="P122" s="5">
        <v>6</v>
      </c>
      <c r="Q122" s="5"/>
      <c r="R122" s="5"/>
      <c r="S122" s="5">
        <v>20</v>
      </c>
      <c r="T122" s="5"/>
      <c r="U122" s="5"/>
      <c r="V122" s="5"/>
      <c r="W122" s="5"/>
      <c r="X122" s="5"/>
      <c r="Y122" s="5"/>
      <c r="Z122" s="5"/>
      <c r="AA122" s="5"/>
      <c r="AB122" s="5" t="s">
        <v>74</v>
      </c>
      <c r="AC122" s="5" t="s">
        <v>74</v>
      </c>
      <c r="AD122" s="5"/>
      <c r="AE122" s="5"/>
      <c r="AF122" s="5"/>
      <c r="AG122" s="5" t="s">
        <v>74</v>
      </c>
      <c r="AH122" s="5" t="s">
        <v>74</v>
      </c>
      <c r="AI122" s="5" t="s">
        <v>74</v>
      </c>
      <c r="AJ122" s="5" t="s">
        <v>74</v>
      </c>
      <c r="AK122" s="5">
        <v>4</v>
      </c>
      <c r="AL122" s="5"/>
      <c r="AM122" s="5"/>
      <c r="AN122" s="5"/>
      <c r="AO122" s="5"/>
      <c r="AP122" s="5"/>
      <c r="AQ122" s="5"/>
      <c r="AR122" s="5" t="s">
        <v>74</v>
      </c>
      <c r="AS122" s="5" t="s">
        <v>74</v>
      </c>
      <c r="AT122" s="5" t="s">
        <v>74</v>
      </c>
      <c r="AU122" s="5" t="s">
        <v>74</v>
      </c>
      <c r="AV122" s="5">
        <v>2</v>
      </c>
      <c r="AW122" s="5" t="s">
        <v>74</v>
      </c>
      <c r="AX122" s="5" t="s">
        <v>74</v>
      </c>
      <c r="AY122" s="5" t="s">
        <v>74</v>
      </c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 t="s">
        <v>74</v>
      </c>
      <c r="BQ122" s="5" t="s">
        <v>74</v>
      </c>
      <c r="BR122" s="5" t="s">
        <v>74</v>
      </c>
      <c r="BS122" s="5"/>
      <c r="BT122" s="5" t="s">
        <v>74</v>
      </c>
      <c r="BU122" s="6" t="s">
        <v>51</v>
      </c>
      <c r="BV122" s="5" t="s">
        <v>74</v>
      </c>
      <c r="BW122" s="5"/>
      <c r="BX122" s="5" t="s">
        <v>74</v>
      </c>
      <c r="BY122" s="5"/>
      <c r="BZ122" s="5"/>
      <c r="CA122" s="10">
        <v>4</v>
      </c>
      <c r="CB122" s="5" t="s">
        <v>74</v>
      </c>
      <c r="CC122" s="5" t="s">
        <v>74</v>
      </c>
      <c r="CD122" s="5" t="s">
        <v>74</v>
      </c>
      <c r="CE122" s="5" t="s">
        <v>74</v>
      </c>
      <c r="CF122" s="8"/>
      <c r="CG122" s="5"/>
      <c r="CH122" s="5" t="s">
        <v>74</v>
      </c>
      <c r="CI122" s="5" t="s">
        <v>74</v>
      </c>
      <c r="CJ122" s="8">
        <v>4</v>
      </c>
      <c r="CK122" s="5"/>
      <c r="CL122" s="5" t="s">
        <v>74</v>
      </c>
      <c r="CM122" s="5" t="s">
        <v>74</v>
      </c>
      <c r="CN122" s="5" t="s">
        <v>74</v>
      </c>
      <c r="CO122" s="5"/>
      <c r="CP122" s="5" t="s">
        <v>74</v>
      </c>
    </row>
    <row r="123" spans="1:94" ht="25.25" customHeight="1">
      <c r="A123" s="5">
        <v>122</v>
      </c>
      <c r="B123" s="9" t="s">
        <v>197</v>
      </c>
      <c r="C123" s="9">
        <v>2024202108</v>
      </c>
      <c r="D123" s="5" t="s">
        <v>135</v>
      </c>
      <c r="E123" s="5">
        <f>SUM(G123:$XET123)</f>
        <v>39</v>
      </c>
      <c r="F123" s="5">
        <f>COUNT(G123:$XFD123)</f>
        <v>10</v>
      </c>
      <c r="G123" s="5"/>
      <c r="H123" s="5"/>
      <c r="I123" s="5"/>
      <c r="J123" s="5"/>
      <c r="K123" s="5"/>
      <c r="L123" s="5"/>
      <c r="M123" s="5"/>
      <c r="N123" s="5">
        <v>2</v>
      </c>
      <c r="O123" s="5"/>
      <c r="P123" s="5"/>
      <c r="Q123" s="5"/>
      <c r="R123" s="5">
        <v>6</v>
      </c>
      <c r="S123" s="5"/>
      <c r="T123" s="5"/>
      <c r="U123" s="5">
        <v>4</v>
      </c>
      <c r="V123" s="5"/>
      <c r="W123" s="5"/>
      <c r="X123" s="5"/>
      <c r="Y123" s="5"/>
      <c r="Z123" s="5"/>
      <c r="AA123" s="5"/>
      <c r="AB123" s="5">
        <v>3</v>
      </c>
      <c r="AC123" s="5">
        <v>4</v>
      </c>
      <c r="AD123" s="5"/>
      <c r="AE123" s="5"/>
      <c r="AF123" s="5"/>
      <c r="AG123" s="5" t="s">
        <v>74</v>
      </c>
      <c r="AH123" s="5" t="s">
        <v>74</v>
      </c>
      <c r="AI123" s="5" t="s">
        <v>74</v>
      </c>
      <c r="AJ123" s="5" t="s">
        <v>74</v>
      </c>
      <c r="AK123" s="5">
        <v>4</v>
      </c>
      <c r="AL123" s="5"/>
      <c r="AM123" s="5"/>
      <c r="AN123" s="5"/>
      <c r="AO123" s="5"/>
      <c r="AP123" s="5"/>
      <c r="AQ123" s="5"/>
      <c r="AR123" s="5">
        <v>6</v>
      </c>
      <c r="AS123" s="5" t="s">
        <v>74</v>
      </c>
      <c r="AT123" s="5" t="s">
        <v>74</v>
      </c>
      <c r="AU123" s="5" t="s">
        <v>74</v>
      </c>
      <c r="AV123" s="5" t="s">
        <v>74</v>
      </c>
      <c r="AW123" s="5" t="s">
        <v>74</v>
      </c>
      <c r="AX123" s="5" t="s">
        <v>74</v>
      </c>
      <c r="AY123" s="5" t="s">
        <v>74</v>
      </c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 t="s">
        <v>74</v>
      </c>
      <c r="BQ123" s="5" t="s">
        <v>74</v>
      </c>
      <c r="BR123" s="5" t="s">
        <v>74</v>
      </c>
      <c r="BS123" s="5"/>
      <c r="BT123" s="5" t="s">
        <v>74</v>
      </c>
      <c r="BU123" s="6" t="s">
        <v>51</v>
      </c>
      <c r="BV123" s="5">
        <v>1.5</v>
      </c>
      <c r="BW123" s="5"/>
      <c r="BX123" s="5">
        <v>3.5</v>
      </c>
      <c r="BY123" s="5"/>
      <c r="BZ123" s="5"/>
      <c r="CA123" s="10" t="s">
        <v>74</v>
      </c>
      <c r="CB123" s="5" t="s">
        <v>74</v>
      </c>
      <c r="CC123" s="5" t="s">
        <v>74</v>
      </c>
      <c r="CD123" s="5" t="s">
        <v>74</v>
      </c>
      <c r="CE123" s="5" t="s">
        <v>74</v>
      </c>
      <c r="CF123" s="8"/>
      <c r="CG123" s="5"/>
      <c r="CH123" s="5" t="s">
        <v>74</v>
      </c>
      <c r="CI123" s="5" t="s">
        <v>74</v>
      </c>
      <c r="CJ123" s="8" t="s">
        <v>74</v>
      </c>
      <c r="CK123" s="5"/>
      <c r="CL123" s="5" t="s">
        <v>74</v>
      </c>
      <c r="CM123" s="5" t="s">
        <v>74</v>
      </c>
      <c r="CN123" s="5">
        <v>5</v>
      </c>
      <c r="CO123" s="5"/>
      <c r="CP123" s="5" t="s">
        <v>74</v>
      </c>
    </row>
    <row r="124" spans="1:94" ht="25.25" customHeight="1">
      <c r="A124" s="5">
        <v>123</v>
      </c>
      <c r="B124" s="9" t="s">
        <v>198</v>
      </c>
      <c r="C124" s="9">
        <v>2024202141</v>
      </c>
      <c r="D124" s="5" t="s">
        <v>135</v>
      </c>
      <c r="E124" s="5">
        <f>SUM(G124:$XET124)</f>
        <v>2</v>
      </c>
      <c r="F124" s="5">
        <f>COUNT(G124:$XFD124)</f>
        <v>1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 t="s">
        <v>74</v>
      </c>
      <c r="AC124" s="5" t="s">
        <v>74</v>
      </c>
      <c r="AD124" s="5"/>
      <c r="AE124" s="5"/>
      <c r="AF124" s="5"/>
      <c r="AG124" s="5" t="s">
        <v>74</v>
      </c>
      <c r="AH124" s="5" t="s">
        <v>74</v>
      </c>
      <c r="AI124" s="5" t="s">
        <v>74</v>
      </c>
      <c r="AJ124" s="5" t="s">
        <v>74</v>
      </c>
      <c r="AK124" s="5" t="s">
        <v>74</v>
      </c>
      <c r="AL124" s="5"/>
      <c r="AM124" s="5"/>
      <c r="AN124" s="5"/>
      <c r="AO124" s="5"/>
      <c r="AP124" s="5"/>
      <c r="AQ124" s="5"/>
      <c r="AR124" s="5" t="s">
        <v>74</v>
      </c>
      <c r="AS124" s="5" t="s">
        <v>74</v>
      </c>
      <c r="AT124" s="5" t="s">
        <v>74</v>
      </c>
      <c r="AU124" s="5" t="s">
        <v>74</v>
      </c>
      <c r="AV124" s="5" t="s">
        <v>74</v>
      </c>
      <c r="AW124" s="5" t="s">
        <v>74</v>
      </c>
      <c r="AX124" s="5" t="s">
        <v>74</v>
      </c>
      <c r="AY124" s="5" t="s">
        <v>74</v>
      </c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 t="s">
        <v>74</v>
      </c>
      <c r="BQ124" s="5" t="s">
        <v>74</v>
      </c>
      <c r="BR124" s="5" t="s">
        <v>74</v>
      </c>
      <c r="BS124" s="5"/>
      <c r="BT124" s="5" t="s">
        <v>74</v>
      </c>
      <c r="BU124" s="6" t="s">
        <v>51</v>
      </c>
      <c r="BV124" s="5" t="s">
        <v>74</v>
      </c>
      <c r="BW124" s="5"/>
      <c r="BX124" s="5" t="s">
        <v>74</v>
      </c>
      <c r="BY124" s="5"/>
      <c r="BZ124" s="5"/>
      <c r="CA124" s="10" t="s">
        <v>74</v>
      </c>
      <c r="CB124" s="5" t="s">
        <v>74</v>
      </c>
      <c r="CC124" s="5" t="s">
        <v>74</v>
      </c>
      <c r="CD124" s="5" t="s">
        <v>74</v>
      </c>
      <c r="CE124" s="5">
        <v>2</v>
      </c>
      <c r="CF124" s="8"/>
      <c r="CG124" s="5"/>
      <c r="CH124" s="5" t="s">
        <v>74</v>
      </c>
      <c r="CI124" s="5" t="s">
        <v>74</v>
      </c>
      <c r="CJ124" s="8" t="s">
        <v>74</v>
      </c>
      <c r="CK124" s="5"/>
      <c r="CL124" s="5" t="s">
        <v>74</v>
      </c>
      <c r="CM124" s="5" t="s">
        <v>74</v>
      </c>
      <c r="CN124" s="5" t="s">
        <v>74</v>
      </c>
      <c r="CO124" s="5"/>
      <c r="CP124" s="5" t="s">
        <v>74</v>
      </c>
    </row>
    <row r="125" spans="1:94" ht="25.25" customHeight="1">
      <c r="A125" s="5">
        <v>124</v>
      </c>
      <c r="B125" s="9" t="s">
        <v>199</v>
      </c>
      <c r="C125" s="9">
        <v>2024202113</v>
      </c>
      <c r="D125" s="5" t="s">
        <v>135</v>
      </c>
      <c r="E125" s="5">
        <f>SUM(G125:$XET125)</f>
        <v>21</v>
      </c>
      <c r="F125" s="5">
        <f>COUNT(G125:$XFD125)</f>
        <v>4</v>
      </c>
      <c r="G125" s="5"/>
      <c r="H125" s="5"/>
      <c r="I125" s="5"/>
      <c r="J125" s="5"/>
      <c r="K125" s="5"/>
      <c r="L125" s="5"/>
      <c r="M125" s="5"/>
      <c r="N125" s="5">
        <v>1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 t="s">
        <v>74</v>
      </c>
      <c r="AC125" s="5" t="s">
        <v>74</v>
      </c>
      <c r="AD125" s="5"/>
      <c r="AE125" s="5"/>
      <c r="AF125" s="5"/>
      <c r="AG125" s="5" t="s">
        <v>74</v>
      </c>
      <c r="AH125" s="5" t="s">
        <v>74</v>
      </c>
      <c r="AI125" s="5" t="s">
        <v>74</v>
      </c>
      <c r="AJ125" s="5" t="s">
        <v>74</v>
      </c>
      <c r="AK125" s="5">
        <v>4</v>
      </c>
      <c r="AL125" s="5"/>
      <c r="AM125" s="5"/>
      <c r="AN125" s="5"/>
      <c r="AO125" s="5"/>
      <c r="AP125" s="5"/>
      <c r="AQ125" s="5"/>
      <c r="AR125" s="5" t="s">
        <v>74</v>
      </c>
      <c r="AS125" s="5">
        <v>12</v>
      </c>
      <c r="AT125" s="5" t="s">
        <v>74</v>
      </c>
      <c r="AU125" s="5" t="s">
        <v>74</v>
      </c>
      <c r="AV125" s="5" t="s">
        <v>74</v>
      </c>
      <c r="AW125" s="5" t="s">
        <v>74</v>
      </c>
      <c r="AX125" s="5" t="s">
        <v>74</v>
      </c>
      <c r="AY125" s="5" t="s">
        <v>74</v>
      </c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>
        <v>4</v>
      </c>
      <c r="BQ125" s="5" t="s">
        <v>74</v>
      </c>
      <c r="BR125" s="5" t="s">
        <v>74</v>
      </c>
      <c r="BS125" s="5"/>
      <c r="BT125" s="5" t="s">
        <v>74</v>
      </c>
      <c r="BU125" s="6" t="s">
        <v>51</v>
      </c>
      <c r="BV125" s="5" t="s">
        <v>74</v>
      </c>
      <c r="BW125" s="5"/>
      <c r="BX125" s="5" t="s">
        <v>74</v>
      </c>
      <c r="BY125" s="5"/>
      <c r="BZ125" s="5"/>
      <c r="CA125" s="10" t="s">
        <v>74</v>
      </c>
      <c r="CB125" s="5" t="s">
        <v>74</v>
      </c>
      <c r="CC125" s="5" t="s">
        <v>74</v>
      </c>
      <c r="CD125" s="5" t="s">
        <v>74</v>
      </c>
      <c r="CE125" s="5" t="s">
        <v>74</v>
      </c>
      <c r="CF125" s="8"/>
      <c r="CG125" s="5"/>
      <c r="CH125" s="5" t="s">
        <v>74</v>
      </c>
      <c r="CI125" s="5" t="s">
        <v>74</v>
      </c>
      <c r="CJ125" s="8" t="s">
        <v>74</v>
      </c>
      <c r="CK125" s="5"/>
      <c r="CL125" s="5" t="s">
        <v>74</v>
      </c>
      <c r="CM125" s="5" t="s">
        <v>74</v>
      </c>
      <c r="CN125" s="5" t="s">
        <v>74</v>
      </c>
      <c r="CO125" s="5"/>
      <c r="CP125" s="5" t="s">
        <v>74</v>
      </c>
    </row>
    <row r="126" spans="1:94" ht="25.25" customHeight="1">
      <c r="A126" s="5">
        <v>125</v>
      </c>
      <c r="B126" s="9" t="s">
        <v>200</v>
      </c>
      <c r="C126" s="9">
        <v>2024202152</v>
      </c>
      <c r="D126" s="5" t="s">
        <v>135</v>
      </c>
      <c r="E126" s="5">
        <f>SUM(G126:$XET126)</f>
        <v>59.5</v>
      </c>
      <c r="F126" s="5">
        <f>COUNT(G126:$XFD126)</f>
        <v>4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>
        <v>16</v>
      </c>
      <c r="U126" s="5"/>
      <c r="V126" s="5"/>
      <c r="W126" s="5"/>
      <c r="X126" s="5"/>
      <c r="Y126" s="5">
        <v>35.5</v>
      </c>
      <c r="Z126" s="5"/>
      <c r="AA126" s="5"/>
      <c r="AB126" s="5" t="s">
        <v>74</v>
      </c>
      <c r="AC126" s="5" t="s">
        <v>74</v>
      </c>
      <c r="AD126" s="5"/>
      <c r="AE126" s="5"/>
      <c r="AF126" s="5"/>
      <c r="AG126" s="5" t="s">
        <v>74</v>
      </c>
      <c r="AH126" s="5" t="s">
        <v>74</v>
      </c>
      <c r="AI126" s="5" t="s">
        <v>74</v>
      </c>
      <c r="AJ126" s="5" t="s">
        <v>74</v>
      </c>
      <c r="AK126" s="5">
        <v>4</v>
      </c>
      <c r="AL126" s="5"/>
      <c r="AM126" s="5"/>
      <c r="AN126" s="5"/>
      <c r="AO126" s="5"/>
      <c r="AP126" s="5"/>
      <c r="AQ126" s="5"/>
      <c r="AR126" s="5" t="s">
        <v>74</v>
      </c>
      <c r="AS126" s="5" t="s">
        <v>74</v>
      </c>
      <c r="AT126" s="5" t="s">
        <v>74</v>
      </c>
      <c r="AU126" s="5" t="s">
        <v>74</v>
      </c>
      <c r="AV126" s="5" t="s">
        <v>74</v>
      </c>
      <c r="AW126" s="5" t="s">
        <v>74</v>
      </c>
      <c r="AX126" s="5" t="s">
        <v>74</v>
      </c>
      <c r="AY126" s="5" t="s">
        <v>74</v>
      </c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 t="s">
        <v>74</v>
      </c>
      <c r="BQ126" s="5" t="s">
        <v>74</v>
      </c>
      <c r="BR126" s="5" t="s">
        <v>74</v>
      </c>
      <c r="BS126" s="5"/>
      <c r="BT126" s="5" t="s">
        <v>74</v>
      </c>
      <c r="BU126" s="6" t="s">
        <v>51</v>
      </c>
      <c r="BV126" s="5" t="s">
        <v>74</v>
      </c>
      <c r="BW126" s="5"/>
      <c r="BX126" s="5" t="s">
        <v>74</v>
      </c>
      <c r="BY126" s="5"/>
      <c r="BZ126" s="5"/>
      <c r="CA126" s="10" t="s">
        <v>74</v>
      </c>
      <c r="CB126" s="5" t="s">
        <v>74</v>
      </c>
      <c r="CC126" s="5" t="s">
        <v>74</v>
      </c>
      <c r="CD126" s="5" t="s">
        <v>74</v>
      </c>
      <c r="CE126" s="5" t="s">
        <v>74</v>
      </c>
      <c r="CF126" s="8"/>
      <c r="CG126" s="5"/>
      <c r="CH126" s="5" t="s">
        <v>74</v>
      </c>
      <c r="CI126" s="5" t="s">
        <v>74</v>
      </c>
      <c r="CJ126" s="8" t="s">
        <v>74</v>
      </c>
      <c r="CK126" s="5"/>
      <c r="CL126" s="5" t="s">
        <v>74</v>
      </c>
      <c r="CM126" s="5" t="s">
        <v>74</v>
      </c>
      <c r="CN126" s="5" t="s">
        <v>74</v>
      </c>
      <c r="CO126" s="5"/>
      <c r="CP126" s="5">
        <v>4</v>
      </c>
    </row>
    <row r="127" spans="1:94" ht="25.25" customHeight="1">
      <c r="A127" s="5">
        <v>126</v>
      </c>
      <c r="B127" s="9" t="s">
        <v>201</v>
      </c>
      <c r="C127" s="9">
        <v>2024202197</v>
      </c>
      <c r="D127" s="5" t="s">
        <v>135</v>
      </c>
      <c r="E127" s="5">
        <f>SUM(G127:$XET127)</f>
        <v>41</v>
      </c>
      <c r="F127" s="5">
        <f>COUNT(G127:$XFD127)</f>
        <v>5</v>
      </c>
      <c r="G127" s="5"/>
      <c r="H127" s="5"/>
      <c r="I127" s="5"/>
      <c r="J127" s="5"/>
      <c r="K127" s="5"/>
      <c r="L127" s="5"/>
      <c r="M127" s="5"/>
      <c r="N127" s="5">
        <v>0.5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 t="s">
        <v>74</v>
      </c>
      <c r="AC127" s="5" t="s">
        <v>74</v>
      </c>
      <c r="AD127" s="5"/>
      <c r="AE127" s="5"/>
      <c r="AF127" s="5"/>
      <c r="AG127" s="5" t="s">
        <v>74</v>
      </c>
      <c r="AH127" s="5" t="s">
        <v>74</v>
      </c>
      <c r="AI127" s="5" t="s">
        <v>74</v>
      </c>
      <c r="AJ127" s="5" t="s">
        <v>74</v>
      </c>
      <c r="AK127" s="5">
        <v>4</v>
      </c>
      <c r="AL127" s="5"/>
      <c r="AM127" s="5"/>
      <c r="AN127" s="5"/>
      <c r="AO127" s="5"/>
      <c r="AP127" s="5"/>
      <c r="AQ127" s="5"/>
      <c r="AR127" s="5" t="s">
        <v>74</v>
      </c>
      <c r="AS127" s="5" t="s">
        <v>74</v>
      </c>
      <c r="AT127" s="5" t="s">
        <v>74</v>
      </c>
      <c r="AU127" s="5" t="s">
        <v>74</v>
      </c>
      <c r="AV127" s="5" t="s">
        <v>74</v>
      </c>
      <c r="AW127" s="5" t="s">
        <v>74</v>
      </c>
      <c r="AX127" s="5" t="s">
        <v>74</v>
      </c>
      <c r="AY127" s="5" t="s">
        <v>74</v>
      </c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 t="s">
        <v>74</v>
      </c>
      <c r="BQ127" s="5" t="s">
        <v>74</v>
      </c>
      <c r="BR127" s="5" t="s">
        <v>74</v>
      </c>
      <c r="BS127" s="5"/>
      <c r="BT127" s="5" t="s">
        <v>74</v>
      </c>
      <c r="BU127" s="6" t="s">
        <v>51</v>
      </c>
      <c r="BV127" s="5">
        <v>32.5</v>
      </c>
      <c r="BW127" s="5">
        <v>0</v>
      </c>
      <c r="BX127" s="5" t="s">
        <v>74</v>
      </c>
      <c r="BY127" s="5"/>
      <c r="BZ127" s="5"/>
      <c r="CA127" s="10" t="s">
        <v>74</v>
      </c>
      <c r="CB127" s="5" t="s">
        <v>74</v>
      </c>
      <c r="CC127" s="5" t="s">
        <v>74</v>
      </c>
      <c r="CD127" s="5" t="s">
        <v>74</v>
      </c>
      <c r="CE127" s="5" t="s">
        <v>74</v>
      </c>
      <c r="CF127" s="8"/>
      <c r="CG127" s="5"/>
      <c r="CH127" s="5" t="s">
        <v>74</v>
      </c>
      <c r="CI127" s="5" t="s">
        <v>74</v>
      </c>
      <c r="CJ127" s="8" t="s">
        <v>74</v>
      </c>
      <c r="CK127" s="5">
        <v>4</v>
      </c>
      <c r="CL127" s="5" t="s">
        <v>74</v>
      </c>
      <c r="CM127" s="5" t="s">
        <v>74</v>
      </c>
      <c r="CN127" s="5" t="s">
        <v>74</v>
      </c>
      <c r="CO127" s="5"/>
      <c r="CP127" s="5" t="s">
        <v>74</v>
      </c>
    </row>
    <row r="128" spans="1:94" ht="25.25" customHeight="1">
      <c r="A128" s="5">
        <v>127</v>
      </c>
      <c r="B128" s="9" t="s">
        <v>202</v>
      </c>
      <c r="C128" s="9">
        <v>2024202203</v>
      </c>
      <c r="D128" s="5" t="s">
        <v>135</v>
      </c>
      <c r="E128" s="5">
        <f>SUM(G128:$XET128)</f>
        <v>17.5</v>
      </c>
      <c r="F128" s="5">
        <f>COUNT(G128:$XFD128)</f>
        <v>2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>
        <v>14.5</v>
      </c>
      <c r="S128" s="5"/>
      <c r="T128" s="5"/>
      <c r="U128" s="5"/>
      <c r="V128" s="5"/>
      <c r="W128" s="5"/>
      <c r="X128" s="5"/>
      <c r="Y128" s="5"/>
      <c r="Z128" s="5"/>
      <c r="AA128" s="5"/>
      <c r="AB128" s="5">
        <v>3</v>
      </c>
      <c r="AC128" s="5" t="s">
        <v>74</v>
      </c>
      <c r="AD128" s="5"/>
      <c r="AE128" s="5"/>
      <c r="AF128" s="5"/>
      <c r="AG128" s="5" t="s">
        <v>74</v>
      </c>
      <c r="AH128" s="5" t="s">
        <v>74</v>
      </c>
      <c r="AI128" s="5" t="s">
        <v>74</v>
      </c>
      <c r="AJ128" s="5" t="s">
        <v>74</v>
      </c>
      <c r="AK128" s="5" t="s">
        <v>74</v>
      </c>
      <c r="AL128" s="5"/>
      <c r="AM128" s="5"/>
      <c r="AN128" s="5"/>
      <c r="AO128" s="5"/>
      <c r="AP128" s="5"/>
      <c r="AQ128" s="5"/>
      <c r="AR128" s="5" t="s">
        <v>74</v>
      </c>
      <c r="AS128" s="5" t="s">
        <v>74</v>
      </c>
      <c r="AT128" s="5" t="s">
        <v>74</v>
      </c>
      <c r="AU128" s="5" t="s">
        <v>74</v>
      </c>
      <c r="AV128" s="5" t="s">
        <v>74</v>
      </c>
      <c r="AW128" s="5" t="s">
        <v>74</v>
      </c>
      <c r="AX128" s="5" t="s">
        <v>74</v>
      </c>
      <c r="AY128" s="5" t="s">
        <v>74</v>
      </c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 t="s">
        <v>74</v>
      </c>
      <c r="BQ128" s="5" t="s">
        <v>74</v>
      </c>
      <c r="BR128" s="5" t="s">
        <v>74</v>
      </c>
      <c r="BS128" s="5"/>
      <c r="BT128" s="5" t="s">
        <v>74</v>
      </c>
      <c r="BU128" s="6" t="s">
        <v>51</v>
      </c>
      <c r="BV128" s="5" t="s">
        <v>74</v>
      </c>
      <c r="BW128" s="5"/>
      <c r="BX128" s="5" t="s">
        <v>74</v>
      </c>
      <c r="BY128" s="5"/>
      <c r="BZ128" s="5"/>
      <c r="CA128" s="10" t="s">
        <v>74</v>
      </c>
      <c r="CB128" s="5" t="s">
        <v>74</v>
      </c>
      <c r="CC128" s="5" t="s">
        <v>74</v>
      </c>
      <c r="CD128" s="5" t="s">
        <v>74</v>
      </c>
      <c r="CE128" s="5" t="s">
        <v>74</v>
      </c>
      <c r="CF128" s="8"/>
      <c r="CG128" s="5"/>
      <c r="CH128" s="5" t="s">
        <v>74</v>
      </c>
      <c r="CI128" s="5" t="s">
        <v>74</v>
      </c>
      <c r="CJ128" s="8" t="s">
        <v>74</v>
      </c>
      <c r="CK128" s="5"/>
      <c r="CL128" s="5" t="s">
        <v>74</v>
      </c>
      <c r="CM128" s="5" t="s">
        <v>74</v>
      </c>
      <c r="CN128" s="5" t="s">
        <v>74</v>
      </c>
      <c r="CO128" s="5"/>
      <c r="CP128" s="5" t="s">
        <v>74</v>
      </c>
    </row>
    <row r="129" spans="1:94" ht="25.25" customHeight="1">
      <c r="A129" s="5">
        <v>128</v>
      </c>
      <c r="B129" s="9" t="s">
        <v>203</v>
      </c>
      <c r="C129" s="9">
        <v>2024202117</v>
      </c>
      <c r="D129" s="5" t="s">
        <v>135</v>
      </c>
      <c r="E129" s="5">
        <f>SUM(G129:$XET129)</f>
        <v>45</v>
      </c>
      <c r="F129" s="5">
        <f>COUNT(G129:$XFD129)</f>
        <v>7</v>
      </c>
      <c r="G129" s="5"/>
      <c r="H129" s="5"/>
      <c r="I129" s="5"/>
      <c r="J129" s="5"/>
      <c r="K129" s="5"/>
      <c r="L129" s="5"/>
      <c r="M129" s="5"/>
      <c r="N129" s="5"/>
      <c r="O129" s="5">
        <v>4</v>
      </c>
      <c r="P129" s="5">
        <v>6</v>
      </c>
      <c r="Q129" s="5"/>
      <c r="R129" s="5"/>
      <c r="S129" s="5"/>
      <c r="T129" s="5"/>
      <c r="U129" s="5"/>
      <c r="V129" s="5"/>
      <c r="W129" s="5"/>
      <c r="X129" s="5">
        <v>18</v>
      </c>
      <c r="Y129" s="5"/>
      <c r="Z129" s="5"/>
      <c r="AA129" s="5"/>
      <c r="AB129" s="5">
        <v>3</v>
      </c>
      <c r="AC129" s="5" t="s">
        <v>74</v>
      </c>
      <c r="AD129" s="5"/>
      <c r="AE129" s="5"/>
      <c r="AF129" s="5"/>
      <c r="AG129" s="5" t="s">
        <v>74</v>
      </c>
      <c r="AH129" s="5" t="s">
        <v>74</v>
      </c>
      <c r="AI129" s="5" t="s">
        <v>74</v>
      </c>
      <c r="AJ129" s="5" t="s">
        <v>74</v>
      </c>
      <c r="AK129" s="5">
        <v>4</v>
      </c>
      <c r="AL129" s="5"/>
      <c r="AM129" s="5"/>
      <c r="AN129" s="5"/>
      <c r="AO129" s="5"/>
      <c r="AP129" s="5"/>
      <c r="AQ129" s="5"/>
      <c r="AR129" s="5">
        <v>6</v>
      </c>
      <c r="AS129" s="5" t="s">
        <v>74</v>
      </c>
      <c r="AT129" s="5" t="s">
        <v>74</v>
      </c>
      <c r="AU129" s="5" t="s">
        <v>74</v>
      </c>
      <c r="AV129" s="5" t="s">
        <v>74</v>
      </c>
      <c r="AW129" s="5" t="s">
        <v>74</v>
      </c>
      <c r="AX129" s="5" t="s">
        <v>74</v>
      </c>
      <c r="AY129" s="5" t="s">
        <v>74</v>
      </c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 t="s">
        <v>74</v>
      </c>
      <c r="BQ129" s="5" t="s">
        <v>74</v>
      </c>
      <c r="BR129" s="5" t="s">
        <v>74</v>
      </c>
      <c r="BS129" s="5"/>
      <c r="BT129" s="5" t="s">
        <v>74</v>
      </c>
      <c r="BU129" s="6" t="s">
        <v>51</v>
      </c>
      <c r="BV129" s="5" t="s">
        <v>74</v>
      </c>
      <c r="BW129" s="5"/>
      <c r="BX129" s="5" t="s">
        <v>74</v>
      </c>
      <c r="BY129" s="5"/>
      <c r="BZ129" s="5"/>
      <c r="CA129" s="10" t="s">
        <v>74</v>
      </c>
      <c r="CB129" s="5" t="s">
        <v>74</v>
      </c>
      <c r="CC129" s="5" t="s">
        <v>74</v>
      </c>
      <c r="CD129" s="5" t="s">
        <v>74</v>
      </c>
      <c r="CE129" s="5" t="s">
        <v>74</v>
      </c>
      <c r="CF129" s="8"/>
      <c r="CG129" s="5"/>
      <c r="CH129" s="5" t="s">
        <v>74</v>
      </c>
      <c r="CI129" s="5" t="s">
        <v>74</v>
      </c>
      <c r="CJ129" s="8">
        <v>4</v>
      </c>
      <c r="CK129" s="5"/>
      <c r="CL129" s="5" t="s">
        <v>74</v>
      </c>
      <c r="CM129" s="5" t="s">
        <v>74</v>
      </c>
      <c r="CN129" s="5" t="s">
        <v>74</v>
      </c>
      <c r="CO129" s="5"/>
      <c r="CP129" s="5" t="s">
        <v>74</v>
      </c>
    </row>
    <row r="130" spans="1:94" ht="25.25" customHeight="1">
      <c r="A130" s="5">
        <v>129</v>
      </c>
      <c r="B130" s="9" t="s">
        <v>204</v>
      </c>
      <c r="C130" s="9">
        <v>2024202204</v>
      </c>
      <c r="D130" s="5" t="s">
        <v>135</v>
      </c>
      <c r="E130" s="5">
        <f>SUM(G130:$XET130)</f>
        <v>13</v>
      </c>
      <c r="F130" s="5">
        <f>COUNT(G130:$XFD130)</f>
        <v>2</v>
      </c>
      <c r="G130" s="5"/>
      <c r="H130" s="5"/>
      <c r="I130" s="5"/>
      <c r="J130" s="5"/>
      <c r="K130" s="5">
        <v>9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 t="s">
        <v>74</v>
      </c>
      <c r="AC130" s="5" t="s">
        <v>74</v>
      </c>
      <c r="AD130" s="5"/>
      <c r="AE130" s="5"/>
      <c r="AF130" s="5"/>
      <c r="AG130" s="5" t="s">
        <v>74</v>
      </c>
      <c r="AH130" s="5" t="s">
        <v>74</v>
      </c>
      <c r="AI130" s="5" t="s">
        <v>74</v>
      </c>
      <c r="AJ130" s="5" t="s">
        <v>74</v>
      </c>
      <c r="AK130" s="5" t="s">
        <v>74</v>
      </c>
      <c r="AL130" s="5"/>
      <c r="AM130" s="5"/>
      <c r="AN130" s="5"/>
      <c r="AO130" s="5"/>
      <c r="AP130" s="5"/>
      <c r="AQ130" s="5"/>
      <c r="AR130" s="5" t="s">
        <v>74</v>
      </c>
      <c r="AS130" s="5" t="s">
        <v>74</v>
      </c>
      <c r="AT130" s="5" t="s">
        <v>74</v>
      </c>
      <c r="AU130" s="5" t="s">
        <v>74</v>
      </c>
      <c r="AV130" s="5" t="s">
        <v>74</v>
      </c>
      <c r="AW130" s="5" t="s">
        <v>74</v>
      </c>
      <c r="AX130" s="5" t="s">
        <v>74</v>
      </c>
      <c r="AY130" s="5" t="s">
        <v>74</v>
      </c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 t="s">
        <v>74</v>
      </c>
      <c r="BQ130" s="5" t="s">
        <v>74</v>
      </c>
      <c r="BR130" s="5" t="s">
        <v>74</v>
      </c>
      <c r="BS130" s="5"/>
      <c r="BT130" s="5" t="s">
        <v>74</v>
      </c>
      <c r="BU130" s="6" t="s">
        <v>51</v>
      </c>
      <c r="BV130" s="5" t="s">
        <v>74</v>
      </c>
      <c r="BW130" s="5"/>
      <c r="BX130" s="5" t="s">
        <v>74</v>
      </c>
      <c r="BY130" s="5"/>
      <c r="BZ130" s="5"/>
      <c r="CA130" s="10">
        <v>4</v>
      </c>
      <c r="CB130" s="5" t="s">
        <v>74</v>
      </c>
      <c r="CC130" s="5" t="s">
        <v>74</v>
      </c>
      <c r="CD130" s="5" t="s">
        <v>74</v>
      </c>
      <c r="CE130" s="5" t="s">
        <v>74</v>
      </c>
      <c r="CF130" s="8"/>
      <c r="CG130" s="5"/>
      <c r="CH130" s="5" t="s">
        <v>74</v>
      </c>
      <c r="CI130" s="5" t="s">
        <v>74</v>
      </c>
      <c r="CJ130" s="8" t="s">
        <v>74</v>
      </c>
      <c r="CK130" s="5"/>
      <c r="CL130" s="5" t="s">
        <v>74</v>
      </c>
      <c r="CM130" s="5" t="s">
        <v>74</v>
      </c>
      <c r="CN130" s="5" t="s">
        <v>74</v>
      </c>
      <c r="CO130" s="5"/>
      <c r="CP130" s="5" t="s">
        <v>74</v>
      </c>
    </row>
    <row r="131" spans="1:94" ht="25.25" customHeight="1">
      <c r="A131" s="5">
        <v>130</v>
      </c>
      <c r="B131" s="9" t="s">
        <v>205</v>
      </c>
      <c r="C131" s="9">
        <v>2024202210</v>
      </c>
      <c r="D131" s="5" t="s">
        <v>135</v>
      </c>
      <c r="E131" s="5">
        <f>SUM(G131:$XET131)</f>
        <v>0</v>
      </c>
      <c r="F131" s="5">
        <f>COUNT(G131:$XFD131)</f>
        <v>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 t="s">
        <v>74</v>
      </c>
      <c r="AC131" s="5" t="s">
        <v>74</v>
      </c>
      <c r="AD131" s="5"/>
      <c r="AE131" s="5"/>
      <c r="AF131" s="5"/>
      <c r="AG131" s="5" t="s">
        <v>74</v>
      </c>
      <c r="AH131" s="5" t="s">
        <v>74</v>
      </c>
      <c r="AI131" s="5" t="s">
        <v>74</v>
      </c>
      <c r="AJ131" s="5" t="s">
        <v>74</v>
      </c>
      <c r="AK131" s="5" t="s">
        <v>74</v>
      </c>
      <c r="AL131" s="5"/>
      <c r="AM131" s="5"/>
      <c r="AN131" s="5"/>
      <c r="AO131" s="5"/>
      <c r="AP131" s="5"/>
      <c r="AQ131" s="5"/>
      <c r="AR131" s="5" t="s">
        <v>74</v>
      </c>
      <c r="AS131" s="5" t="s">
        <v>74</v>
      </c>
      <c r="AT131" s="5" t="s">
        <v>74</v>
      </c>
      <c r="AU131" s="5" t="s">
        <v>74</v>
      </c>
      <c r="AV131" s="5" t="s">
        <v>74</v>
      </c>
      <c r="AW131" s="5" t="s">
        <v>74</v>
      </c>
      <c r="AX131" s="5" t="s">
        <v>74</v>
      </c>
      <c r="AY131" s="5" t="s">
        <v>74</v>
      </c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 t="s">
        <v>74</v>
      </c>
      <c r="BQ131" s="5" t="s">
        <v>74</v>
      </c>
      <c r="BR131" s="5" t="s">
        <v>74</v>
      </c>
      <c r="BS131" s="5"/>
      <c r="BT131" s="5" t="s">
        <v>74</v>
      </c>
      <c r="BU131" s="6" t="s">
        <v>51</v>
      </c>
      <c r="BV131" s="5" t="s">
        <v>74</v>
      </c>
      <c r="BW131" s="5"/>
      <c r="BX131" s="5" t="s">
        <v>74</v>
      </c>
      <c r="BY131" s="5"/>
      <c r="BZ131" s="5"/>
      <c r="CA131" s="10" t="s">
        <v>74</v>
      </c>
      <c r="CB131" s="5" t="s">
        <v>74</v>
      </c>
      <c r="CC131" s="5" t="s">
        <v>74</v>
      </c>
      <c r="CD131" s="5" t="s">
        <v>74</v>
      </c>
      <c r="CE131" s="5" t="s">
        <v>74</v>
      </c>
      <c r="CF131" s="8"/>
      <c r="CG131" s="5"/>
      <c r="CH131" s="5" t="s">
        <v>74</v>
      </c>
      <c r="CI131" s="5" t="s">
        <v>74</v>
      </c>
      <c r="CJ131" s="8" t="s">
        <v>74</v>
      </c>
      <c r="CK131" s="5"/>
      <c r="CL131" s="5" t="s">
        <v>74</v>
      </c>
      <c r="CM131" s="5" t="s">
        <v>74</v>
      </c>
      <c r="CN131" s="5" t="s">
        <v>74</v>
      </c>
      <c r="CO131" s="5"/>
      <c r="CP131" s="5" t="s">
        <v>74</v>
      </c>
    </row>
    <row r="132" spans="1:94" ht="25.25" customHeight="1">
      <c r="A132" s="5">
        <v>131</v>
      </c>
      <c r="B132" s="9" t="s">
        <v>206</v>
      </c>
      <c r="C132" s="9">
        <v>2024202238</v>
      </c>
      <c r="D132" s="5" t="s">
        <v>135</v>
      </c>
      <c r="E132" s="5">
        <f>SUM(G132:$XET132)</f>
        <v>45.5</v>
      </c>
      <c r="F132" s="5">
        <f>COUNT(G132:$XFD132)</f>
        <v>4</v>
      </c>
      <c r="G132" s="5"/>
      <c r="H132" s="5"/>
      <c r="I132" s="5"/>
      <c r="J132" s="5"/>
      <c r="K132" s="5">
        <v>15</v>
      </c>
      <c r="L132" s="5"/>
      <c r="M132" s="5"/>
      <c r="N132" s="5"/>
      <c r="O132" s="5"/>
      <c r="P132" s="5"/>
      <c r="Q132" s="5"/>
      <c r="R132" s="5">
        <v>20.5</v>
      </c>
      <c r="S132" s="5"/>
      <c r="T132" s="5"/>
      <c r="U132" s="5"/>
      <c r="V132" s="5"/>
      <c r="W132" s="5"/>
      <c r="X132" s="5">
        <v>6</v>
      </c>
      <c r="Y132" s="5"/>
      <c r="Z132" s="5"/>
      <c r="AA132" s="5"/>
      <c r="AB132" s="5" t="s">
        <v>74</v>
      </c>
      <c r="AC132" s="5" t="s">
        <v>74</v>
      </c>
      <c r="AD132" s="5"/>
      <c r="AE132" s="5"/>
      <c r="AF132" s="5"/>
      <c r="AG132" s="5" t="s">
        <v>74</v>
      </c>
      <c r="AH132" s="5" t="s">
        <v>74</v>
      </c>
      <c r="AI132" s="5" t="s">
        <v>74</v>
      </c>
      <c r="AJ132" s="5" t="s">
        <v>74</v>
      </c>
      <c r="AK132" s="5" t="s">
        <v>74</v>
      </c>
      <c r="AL132" s="5"/>
      <c r="AM132" s="5"/>
      <c r="AN132" s="5"/>
      <c r="AO132" s="5"/>
      <c r="AP132" s="5"/>
      <c r="AQ132" s="5"/>
      <c r="AR132" s="5" t="s">
        <v>74</v>
      </c>
      <c r="AS132" s="5" t="s">
        <v>74</v>
      </c>
      <c r="AT132" s="5" t="s">
        <v>74</v>
      </c>
      <c r="AU132" s="5" t="s">
        <v>74</v>
      </c>
      <c r="AV132" s="5" t="s">
        <v>74</v>
      </c>
      <c r="AW132" s="5" t="s">
        <v>74</v>
      </c>
      <c r="AX132" s="5" t="s">
        <v>74</v>
      </c>
      <c r="AY132" s="5" t="s">
        <v>74</v>
      </c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 t="s">
        <v>74</v>
      </c>
      <c r="BQ132" s="5" t="s">
        <v>74</v>
      </c>
      <c r="BR132" s="5" t="s">
        <v>74</v>
      </c>
      <c r="BS132" s="5"/>
      <c r="BT132" s="5" t="s">
        <v>74</v>
      </c>
      <c r="BU132" s="6" t="s">
        <v>51</v>
      </c>
      <c r="BV132" s="5" t="s">
        <v>74</v>
      </c>
      <c r="BW132" s="5"/>
      <c r="BX132" s="5" t="s">
        <v>74</v>
      </c>
      <c r="BY132" s="5"/>
      <c r="BZ132" s="5"/>
      <c r="CA132" s="10">
        <v>4</v>
      </c>
      <c r="CB132" s="5" t="s">
        <v>74</v>
      </c>
      <c r="CC132" s="5" t="s">
        <v>74</v>
      </c>
      <c r="CD132" s="5" t="s">
        <v>74</v>
      </c>
      <c r="CE132" s="5" t="s">
        <v>74</v>
      </c>
      <c r="CF132" s="8"/>
      <c r="CG132" s="5"/>
      <c r="CH132" s="5" t="s">
        <v>74</v>
      </c>
      <c r="CI132" s="5" t="s">
        <v>74</v>
      </c>
      <c r="CJ132" s="8" t="s">
        <v>74</v>
      </c>
      <c r="CK132" s="5"/>
      <c r="CL132" s="5" t="s">
        <v>74</v>
      </c>
      <c r="CM132" s="5" t="s">
        <v>74</v>
      </c>
      <c r="CN132" s="5" t="s">
        <v>74</v>
      </c>
      <c r="CO132" s="5"/>
      <c r="CP132" s="5" t="s">
        <v>74</v>
      </c>
    </row>
    <row r="133" spans="1:94" ht="25.25" customHeight="1">
      <c r="A133" s="5">
        <v>132</v>
      </c>
      <c r="B133" s="9" t="s">
        <v>207</v>
      </c>
      <c r="C133" s="9">
        <v>2024202207</v>
      </c>
      <c r="D133" s="5" t="s">
        <v>135</v>
      </c>
      <c r="E133" s="5">
        <f>SUM(G133:$XET133)</f>
        <v>122.5</v>
      </c>
      <c r="F133" s="5">
        <f>COUNT(G133:$XFD133)</f>
        <v>7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>
        <v>16</v>
      </c>
      <c r="U133" s="5"/>
      <c r="V133" s="5"/>
      <c r="W133" s="5"/>
      <c r="X133" s="5"/>
      <c r="Y133" s="5"/>
      <c r="Z133" s="5"/>
      <c r="AA133" s="5"/>
      <c r="AB133" s="5">
        <v>6.5</v>
      </c>
      <c r="AC133" s="5" t="s">
        <v>74</v>
      </c>
      <c r="AD133" s="5"/>
      <c r="AE133" s="5"/>
      <c r="AF133" s="5"/>
      <c r="AG133" s="5" t="s">
        <v>74</v>
      </c>
      <c r="AH133" s="5" t="s">
        <v>74</v>
      </c>
      <c r="AI133" s="5" t="s">
        <v>74</v>
      </c>
      <c r="AJ133" s="5">
        <v>2</v>
      </c>
      <c r="AK133" s="5">
        <v>4</v>
      </c>
      <c r="AL133" s="5"/>
      <c r="AM133" s="5"/>
      <c r="AN133" s="5"/>
      <c r="AO133" s="5"/>
      <c r="AP133" s="5"/>
      <c r="AQ133" s="5"/>
      <c r="AR133" s="5" t="s">
        <v>74</v>
      </c>
      <c r="AS133" s="5" t="s">
        <v>74</v>
      </c>
      <c r="AT133" s="5">
        <v>72</v>
      </c>
      <c r="AU133" s="5" t="s">
        <v>74</v>
      </c>
      <c r="AV133" s="5" t="s">
        <v>74</v>
      </c>
      <c r="AW133" s="5" t="s">
        <v>74</v>
      </c>
      <c r="AX133" s="5" t="s">
        <v>74</v>
      </c>
      <c r="AY133" s="5" t="s">
        <v>74</v>
      </c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 t="s">
        <v>74</v>
      </c>
      <c r="BQ133" s="5" t="s">
        <v>74</v>
      </c>
      <c r="BR133" s="5" t="s">
        <v>74</v>
      </c>
      <c r="BS133" s="5"/>
      <c r="BT133" s="5" t="s">
        <v>74</v>
      </c>
      <c r="BU133" s="6" t="s">
        <v>51</v>
      </c>
      <c r="BV133" s="5" t="s">
        <v>74</v>
      </c>
      <c r="BW133" s="5"/>
      <c r="BX133" s="5" t="s">
        <v>74</v>
      </c>
      <c r="BY133" s="5"/>
      <c r="BZ133" s="5"/>
      <c r="CA133" s="10" t="s">
        <v>74</v>
      </c>
      <c r="CB133" s="5" t="s">
        <v>74</v>
      </c>
      <c r="CC133" s="5" t="s">
        <v>74</v>
      </c>
      <c r="CD133" s="5" t="s">
        <v>74</v>
      </c>
      <c r="CE133" s="5" t="s">
        <v>74</v>
      </c>
      <c r="CF133" s="8"/>
      <c r="CG133" s="5"/>
      <c r="CH133" s="5" t="s">
        <v>74</v>
      </c>
      <c r="CI133" s="5">
        <v>16</v>
      </c>
      <c r="CJ133" s="8">
        <v>6</v>
      </c>
      <c r="CK133" s="5"/>
      <c r="CL133" s="5" t="s">
        <v>74</v>
      </c>
      <c r="CM133" s="5" t="s">
        <v>74</v>
      </c>
      <c r="CN133" s="5" t="s">
        <v>74</v>
      </c>
      <c r="CO133" s="5"/>
      <c r="CP133" s="5" t="s">
        <v>74</v>
      </c>
    </row>
    <row r="134" spans="1:94" ht="25.25" customHeight="1">
      <c r="A134" s="5">
        <v>133</v>
      </c>
      <c r="B134" s="9" t="s">
        <v>208</v>
      </c>
      <c r="C134" s="9">
        <v>2024202262</v>
      </c>
      <c r="D134" s="5" t="s">
        <v>135</v>
      </c>
      <c r="E134" s="5">
        <f>SUM(G134:$XET134)</f>
        <v>85</v>
      </c>
      <c r="F134" s="5">
        <f>COUNT(G134:$XFD134)</f>
        <v>6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>
        <v>29</v>
      </c>
      <c r="S134" s="5"/>
      <c r="T134" s="5">
        <v>16</v>
      </c>
      <c r="U134" s="5"/>
      <c r="V134" s="5"/>
      <c r="W134" s="5"/>
      <c r="X134" s="5"/>
      <c r="Y134" s="5"/>
      <c r="Z134" s="5"/>
      <c r="AA134" s="5"/>
      <c r="AB134" s="5">
        <v>3</v>
      </c>
      <c r="AC134" s="5">
        <v>1</v>
      </c>
      <c r="AD134" s="5"/>
      <c r="AE134" s="5"/>
      <c r="AF134" s="5"/>
      <c r="AG134" s="5" t="s">
        <v>74</v>
      </c>
      <c r="AH134" s="5" t="s">
        <v>74</v>
      </c>
      <c r="AI134" s="5" t="s">
        <v>74</v>
      </c>
      <c r="AJ134" s="5" t="s">
        <v>74</v>
      </c>
      <c r="AK134" s="5">
        <v>4</v>
      </c>
      <c r="AL134" s="5"/>
      <c r="AM134" s="5"/>
      <c r="AN134" s="5"/>
      <c r="AO134" s="5"/>
      <c r="AP134" s="5"/>
      <c r="AQ134" s="5"/>
      <c r="AR134" s="5" t="s">
        <v>74</v>
      </c>
      <c r="AS134" s="5" t="s">
        <v>74</v>
      </c>
      <c r="AT134" s="5" t="s">
        <v>74</v>
      </c>
      <c r="AU134" s="5" t="s">
        <v>74</v>
      </c>
      <c r="AV134" s="5" t="s">
        <v>74</v>
      </c>
      <c r="AW134" s="5" t="s">
        <v>74</v>
      </c>
      <c r="AX134" s="5" t="s">
        <v>74</v>
      </c>
      <c r="AY134" s="5" t="s">
        <v>74</v>
      </c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 t="s">
        <v>74</v>
      </c>
      <c r="BQ134" s="5" t="s">
        <v>74</v>
      </c>
      <c r="BR134" s="5">
        <v>32</v>
      </c>
      <c r="BS134" s="5"/>
      <c r="BT134" s="5" t="s">
        <v>74</v>
      </c>
      <c r="BU134" s="6" t="s">
        <v>51</v>
      </c>
      <c r="BV134" s="5" t="s">
        <v>74</v>
      </c>
      <c r="BW134" s="5"/>
      <c r="BX134" s="5" t="s">
        <v>74</v>
      </c>
      <c r="BY134" s="5"/>
      <c r="BZ134" s="5"/>
      <c r="CA134" s="10" t="s">
        <v>74</v>
      </c>
      <c r="CB134" s="5" t="s">
        <v>74</v>
      </c>
      <c r="CC134" s="5" t="s">
        <v>74</v>
      </c>
      <c r="CD134" s="5" t="s">
        <v>74</v>
      </c>
      <c r="CE134" s="5" t="s">
        <v>74</v>
      </c>
      <c r="CF134" s="8"/>
      <c r="CG134" s="5"/>
      <c r="CH134" s="5" t="s">
        <v>74</v>
      </c>
      <c r="CI134" s="5" t="s">
        <v>74</v>
      </c>
      <c r="CJ134" s="8" t="s">
        <v>74</v>
      </c>
      <c r="CK134" s="5"/>
      <c r="CL134" s="5" t="s">
        <v>74</v>
      </c>
      <c r="CM134" s="5" t="s">
        <v>74</v>
      </c>
      <c r="CN134" s="5" t="s">
        <v>74</v>
      </c>
      <c r="CO134" s="5"/>
      <c r="CP134" s="5" t="s">
        <v>74</v>
      </c>
    </row>
    <row r="135" spans="1:94" ht="25.25" customHeight="1">
      <c r="A135" s="5">
        <v>134</v>
      </c>
      <c r="B135" s="9" t="s">
        <v>209</v>
      </c>
      <c r="C135" s="9">
        <v>2024202882</v>
      </c>
      <c r="D135" s="5" t="s">
        <v>135</v>
      </c>
      <c r="E135" s="5">
        <f>SUM(G135:$XET135)</f>
        <v>129.5</v>
      </c>
      <c r="F135" s="5">
        <f>COUNT(G135:$XFD135)</f>
        <v>10</v>
      </c>
      <c r="G135" s="5">
        <v>8</v>
      </c>
      <c r="H135" s="5"/>
      <c r="I135" s="5"/>
      <c r="J135" s="5"/>
      <c r="K135" s="5">
        <v>10</v>
      </c>
      <c r="L135" s="5">
        <v>15</v>
      </c>
      <c r="M135" s="5">
        <v>8</v>
      </c>
      <c r="N135" s="5">
        <v>0.5</v>
      </c>
      <c r="O135" s="5"/>
      <c r="P135" s="5"/>
      <c r="Q135" s="5"/>
      <c r="R135" s="5"/>
      <c r="S135" s="5"/>
      <c r="T135" s="5"/>
      <c r="U135" s="5"/>
      <c r="V135" s="5"/>
      <c r="W135" s="5">
        <v>4</v>
      </c>
      <c r="X135" s="5"/>
      <c r="Y135" s="5"/>
      <c r="Z135" s="5"/>
      <c r="AA135" s="5"/>
      <c r="AB135" s="5" t="s">
        <v>74</v>
      </c>
      <c r="AC135" s="5" t="s">
        <v>74</v>
      </c>
      <c r="AD135" s="5"/>
      <c r="AE135" s="5"/>
      <c r="AF135" s="5"/>
      <c r="AG135" s="5" t="s">
        <v>74</v>
      </c>
      <c r="AH135" s="5" t="s">
        <v>74</v>
      </c>
      <c r="AI135" s="5" t="s">
        <v>74</v>
      </c>
      <c r="AJ135" s="5">
        <v>2</v>
      </c>
      <c r="AK135" s="5">
        <v>4</v>
      </c>
      <c r="AL135" s="5"/>
      <c r="AM135" s="5"/>
      <c r="AN135" s="5"/>
      <c r="AO135" s="5"/>
      <c r="AP135" s="5"/>
      <c r="AQ135" s="5"/>
      <c r="AR135" s="5" t="s">
        <v>74</v>
      </c>
      <c r="AS135" s="5" t="s">
        <v>74</v>
      </c>
      <c r="AT135" s="5">
        <v>72</v>
      </c>
      <c r="AU135" s="5" t="s">
        <v>74</v>
      </c>
      <c r="AV135" s="5" t="s">
        <v>74</v>
      </c>
      <c r="AW135" s="5" t="s">
        <v>74</v>
      </c>
      <c r="AX135" s="5" t="s">
        <v>74</v>
      </c>
      <c r="AY135" s="5" t="s">
        <v>74</v>
      </c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 t="s">
        <v>74</v>
      </c>
      <c r="BQ135" s="5" t="s">
        <v>74</v>
      </c>
      <c r="BR135" s="5" t="s">
        <v>74</v>
      </c>
      <c r="BS135" s="5"/>
      <c r="BT135" s="5" t="s">
        <v>74</v>
      </c>
      <c r="BU135" s="6" t="s">
        <v>51</v>
      </c>
      <c r="BV135" s="5" t="s">
        <v>74</v>
      </c>
      <c r="BW135" s="5"/>
      <c r="BX135" s="5" t="s">
        <v>74</v>
      </c>
      <c r="BY135" s="5"/>
      <c r="BZ135" s="5"/>
      <c r="CA135" s="10" t="s">
        <v>74</v>
      </c>
      <c r="CB135" s="5" t="s">
        <v>74</v>
      </c>
      <c r="CC135" s="5" t="s">
        <v>74</v>
      </c>
      <c r="CD135" s="5" t="s">
        <v>74</v>
      </c>
      <c r="CE135" s="5" t="s">
        <v>74</v>
      </c>
      <c r="CF135" s="8"/>
      <c r="CG135" s="5"/>
      <c r="CH135" s="5" t="s">
        <v>74</v>
      </c>
      <c r="CI135" s="5" t="s">
        <v>74</v>
      </c>
      <c r="CJ135" s="8">
        <v>6</v>
      </c>
      <c r="CK135" s="5"/>
      <c r="CL135" s="5" t="s">
        <v>74</v>
      </c>
      <c r="CM135" s="5" t="s">
        <v>74</v>
      </c>
      <c r="CN135" s="5" t="s">
        <v>74</v>
      </c>
      <c r="CO135" s="5"/>
      <c r="CP135" s="5" t="s">
        <v>74</v>
      </c>
    </row>
    <row r="136" spans="1:94" ht="25.25" customHeight="1">
      <c r="A136" s="5">
        <v>135</v>
      </c>
      <c r="B136" s="9" t="s">
        <v>210</v>
      </c>
      <c r="C136" s="9">
        <v>2024201960</v>
      </c>
      <c r="D136" s="5" t="s">
        <v>135</v>
      </c>
      <c r="E136" s="5">
        <f>SUM(G136:$XET136)</f>
        <v>24.5</v>
      </c>
      <c r="F136" s="5">
        <f>COUNT(G136:$XFD136)</f>
        <v>5</v>
      </c>
      <c r="G136" s="5"/>
      <c r="H136" s="5"/>
      <c r="I136" s="5"/>
      <c r="J136" s="5"/>
      <c r="K136" s="5"/>
      <c r="L136" s="5"/>
      <c r="M136" s="5"/>
      <c r="N136" s="5">
        <v>2</v>
      </c>
      <c r="O136" s="5"/>
      <c r="P136" s="5"/>
      <c r="Q136" s="5"/>
      <c r="R136" s="5">
        <v>14.5</v>
      </c>
      <c r="S136" s="5"/>
      <c r="T136" s="5"/>
      <c r="U136" s="5"/>
      <c r="V136" s="5"/>
      <c r="W136" s="5"/>
      <c r="X136" s="5"/>
      <c r="Y136" s="5"/>
      <c r="Z136" s="5"/>
      <c r="AA136" s="5"/>
      <c r="AB136" s="5" t="s">
        <v>74</v>
      </c>
      <c r="AC136" s="5">
        <v>2</v>
      </c>
      <c r="AD136" s="5"/>
      <c r="AE136" s="5"/>
      <c r="AF136" s="5"/>
      <c r="AG136" s="5" t="s">
        <v>74</v>
      </c>
      <c r="AH136" s="5" t="s">
        <v>74</v>
      </c>
      <c r="AI136" s="5" t="s">
        <v>74</v>
      </c>
      <c r="AJ136" s="5" t="s">
        <v>74</v>
      </c>
      <c r="AK136" s="5" t="s">
        <v>74</v>
      </c>
      <c r="AL136" s="5"/>
      <c r="AM136" s="5"/>
      <c r="AN136" s="5"/>
      <c r="AO136" s="5"/>
      <c r="AP136" s="5"/>
      <c r="AQ136" s="5"/>
      <c r="AR136" s="5" t="s">
        <v>74</v>
      </c>
      <c r="AS136" s="5" t="s">
        <v>74</v>
      </c>
      <c r="AT136" s="5" t="s">
        <v>74</v>
      </c>
      <c r="AU136" s="5" t="s">
        <v>74</v>
      </c>
      <c r="AV136" s="5" t="s">
        <v>74</v>
      </c>
      <c r="AW136" s="5" t="s">
        <v>74</v>
      </c>
      <c r="AX136" s="5" t="s">
        <v>74</v>
      </c>
      <c r="AY136" s="5" t="s">
        <v>74</v>
      </c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 t="s">
        <v>74</v>
      </c>
      <c r="BQ136" s="5" t="s">
        <v>74</v>
      </c>
      <c r="BR136" s="5" t="s">
        <v>74</v>
      </c>
      <c r="BS136" s="5"/>
      <c r="BT136" s="5" t="s">
        <v>74</v>
      </c>
      <c r="BU136" s="6" t="s">
        <v>51</v>
      </c>
      <c r="BV136" s="5" t="s">
        <v>74</v>
      </c>
      <c r="BW136" s="5"/>
      <c r="BX136" s="5" t="s">
        <v>74</v>
      </c>
      <c r="BY136" s="5"/>
      <c r="BZ136" s="5"/>
      <c r="CA136" s="10" t="s">
        <v>74</v>
      </c>
      <c r="CB136" s="5" t="s">
        <v>74</v>
      </c>
      <c r="CC136" s="5" t="s">
        <v>74</v>
      </c>
      <c r="CD136" s="5" t="s">
        <v>74</v>
      </c>
      <c r="CE136" s="5">
        <v>2</v>
      </c>
      <c r="CF136" s="8"/>
      <c r="CG136" s="5"/>
      <c r="CH136" s="5" t="s">
        <v>74</v>
      </c>
      <c r="CI136" s="5" t="s">
        <v>74</v>
      </c>
      <c r="CJ136" s="8" t="s">
        <v>74</v>
      </c>
      <c r="CK136" s="5">
        <v>4</v>
      </c>
      <c r="CL136" s="5" t="s">
        <v>74</v>
      </c>
      <c r="CM136" s="5" t="s">
        <v>74</v>
      </c>
      <c r="CN136" s="5" t="s">
        <v>74</v>
      </c>
      <c r="CO136" s="5"/>
      <c r="CP136" s="5" t="s">
        <v>74</v>
      </c>
    </row>
    <row r="137" spans="1:94" ht="25.25" customHeight="1">
      <c r="A137" s="5">
        <v>136</v>
      </c>
      <c r="B137" s="9" t="s">
        <v>211</v>
      </c>
      <c r="C137" s="9">
        <v>2024201978</v>
      </c>
      <c r="D137" s="5" t="s">
        <v>135</v>
      </c>
      <c r="E137" s="5">
        <f>SUM(G137:$XET137)</f>
        <v>22.5</v>
      </c>
      <c r="F137" s="5">
        <f>COUNT(G137:$XFD137)</f>
        <v>5</v>
      </c>
      <c r="G137" s="5"/>
      <c r="H137" s="5"/>
      <c r="I137" s="5"/>
      <c r="J137" s="5"/>
      <c r="K137" s="5">
        <v>10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 t="s">
        <v>74</v>
      </c>
      <c r="AC137" s="5">
        <v>2</v>
      </c>
      <c r="AD137" s="5"/>
      <c r="AE137" s="5"/>
      <c r="AF137" s="5"/>
      <c r="AG137" s="5" t="s">
        <v>74</v>
      </c>
      <c r="AH137" s="5">
        <v>4.5</v>
      </c>
      <c r="AI137" s="5" t="s">
        <v>74</v>
      </c>
      <c r="AJ137" s="5" t="s">
        <v>74</v>
      </c>
      <c r="AK137" s="5">
        <v>4</v>
      </c>
      <c r="AL137" s="5"/>
      <c r="AM137" s="5"/>
      <c r="AN137" s="5"/>
      <c r="AO137" s="5"/>
      <c r="AP137" s="5"/>
      <c r="AQ137" s="5"/>
      <c r="AR137" s="5" t="s">
        <v>74</v>
      </c>
      <c r="AS137" s="5" t="s">
        <v>74</v>
      </c>
      <c r="AT137" s="5" t="s">
        <v>74</v>
      </c>
      <c r="AU137" s="5" t="s">
        <v>74</v>
      </c>
      <c r="AV137" s="5" t="s">
        <v>74</v>
      </c>
      <c r="AW137" s="5" t="s">
        <v>74</v>
      </c>
      <c r="AX137" s="5" t="s">
        <v>74</v>
      </c>
      <c r="AY137" s="5" t="s">
        <v>74</v>
      </c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 t="s">
        <v>74</v>
      </c>
      <c r="BQ137" s="5" t="s">
        <v>74</v>
      </c>
      <c r="BR137" s="5" t="s">
        <v>74</v>
      </c>
      <c r="BS137" s="5"/>
      <c r="BT137" s="5" t="s">
        <v>74</v>
      </c>
      <c r="BU137" s="6" t="s">
        <v>51</v>
      </c>
      <c r="BV137" s="5" t="s">
        <v>74</v>
      </c>
      <c r="BW137" s="5"/>
      <c r="BX137" s="5" t="s">
        <v>74</v>
      </c>
      <c r="BY137" s="5"/>
      <c r="BZ137" s="5"/>
      <c r="CA137" s="10" t="s">
        <v>74</v>
      </c>
      <c r="CB137" s="5" t="s">
        <v>74</v>
      </c>
      <c r="CC137" s="5" t="s">
        <v>74</v>
      </c>
      <c r="CD137" s="5" t="s">
        <v>74</v>
      </c>
      <c r="CE137" s="5">
        <v>2</v>
      </c>
      <c r="CF137" s="8"/>
      <c r="CG137" s="5"/>
      <c r="CH137" s="5" t="s">
        <v>74</v>
      </c>
      <c r="CI137" s="5" t="s">
        <v>74</v>
      </c>
      <c r="CJ137" s="8" t="s">
        <v>74</v>
      </c>
      <c r="CK137" s="5"/>
      <c r="CL137" s="5" t="s">
        <v>74</v>
      </c>
      <c r="CM137" s="5" t="s">
        <v>74</v>
      </c>
      <c r="CN137" s="5" t="s">
        <v>74</v>
      </c>
      <c r="CO137" s="5"/>
      <c r="CP137" s="5" t="s">
        <v>74</v>
      </c>
    </row>
    <row r="138" spans="1:94" ht="25.25" customHeight="1">
      <c r="A138" s="5">
        <v>137</v>
      </c>
      <c r="B138" s="9" t="s">
        <v>212</v>
      </c>
      <c r="C138" s="9">
        <v>2024202007</v>
      </c>
      <c r="D138" s="5" t="s">
        <v>135</v>
      </c>
      <c r="E138" s="5">
        <f>SUM(G138:$XET138)</f>
        <v>152.5</v>
      </c>
      <c r="F138" s="5">
        <f>COUNT(G138:$XFD138)</f>
        <v>9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>
        <v>7.5</v>
      </c>
      <c r="S138" s="5"/>
      <c r="T138" s="5"/>
      <c r="U138" s="5"/>
      <c r="V138" s="5"/>
      <c r="W138" s="5"/>
      <c r="X138" s="5"/>
      <c r="Y138" s="5">
        <v>34.5</v>
      </c>
      <c r="Z138" s="5">
        <v>4</v>
      </c>
      <c r="AA138" s="5"/>
      <c r="AB138" s="5" t="s">
        <v>74</v>
      </c>
      <c r="AC138" s="5">
        <v>2</v>
      </c>
      <c r="AD138" s="5"/>
      <c r="AE138" s="5"/>
      <c r="AF138" s="5"/>
      <c r="AG138" s="5" t="s">
        <v>74</v>
      </c>
      <c r="AH138" s="5" t="s">
        <v>74</v>
      </c>
      <c r="AI138" s="5" t="s">
        <v>74</v>
      </c>
      <c r="AJ138" s="5">
        <v>2</v>
      </c>
      <c r="AK138" s="5">
        <v>4</v>
      </c>
      <c r="AL138" s="5"/>
      <c r="AM138" s="5"/>
      <c r="AN138" s="5"/>
      <c r="AO138" s="5"/>
      <c r="AP138" s="5"/>
      <c r="AQ138" s="5"/>
      <c r="AR138" s="5" t="s">
        <v>74</v>
      </c>
      <c r="AS138" s="5" t="s">
        <v>74</v>
      </c>
      <c r="AT138" s="5" t="s">
        <v>74</v>
      </c>
      <c r="AU138" s="5" t="s">
        <v>74</v>
      </c>
      <c r="AV138" s="5" t="s">
        <v>74</v>
      </c>
      <c r="AW138" s="5" t="s">
        <v>74</v>
      </c>
      <c r="AX138" s="5" t="s">
        <v>74</v>
      </c>
      <c r="AY138" s="5">
        <v>83.5</v>
      </c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 t="s">
        <v>74</v>
      </c>
      <c r="BQ138" s="5" t="s">
        <v>74</v>
      </c>
      <c r="BR138" s="5" t="s">
        <v>74</v>
      </c>
      <c r="BS138" s="5"/>
      <c r="BT138" s="5" t="s">
        <v>74</v>
      </c>
      <c r="BU138" s="6" t="s">
        <v>51</v>
      </c>
      <c r="BV138" s="5" t="s">
        <v>74</v>
      </c>
      <c r="BW138" s="5"/>
      <c r="BX138" s="5">
        <v>12</v>
      </c>
      <c r="BY138" s="5"/>
      <c r="BZ138" s="5"/>
      <c r="CA138" s="10" t="s">
        <v>74</v>
      </c>
      <c r="CB138" s="5">
        <v>3</v>
      </c>
      <c r="CC138" s="5" t="s">
        <v>74</v>
      </c>
      <c r="CD138" s="5" t="s">
        <v>74</v>
      </c>
      <c r="CE138" s="5" t="s">
        <v>74</v>
      </c>
      <c r="CF138" s="8"/>
      <c r="CG138" s="5"/>
      <c r="CH138" s="5" t="s">
        <v>74</v>
      </c>
      <c r="CI138" s="5" t="s">
        <v>74</v>
      </c>
      <c r="CJ138" s="8" t="s">
        <v>74</v>
      </c>
      <c r="CK138" s="5"/>
      <c r="CL138" s="5" t="s">
        <v>74</v>
      </c>
      <c r="CM138" s="5" t="s">
        <v>74</v>
      </c>
      <c r="CN138" s="5" t="s">
        <v>74</v>
      </c>
      <c r="CO138" s="5"/>
      <c r="CP138" s="5" t="s">
        <v>74</v>
      </c>
    </row>
    <row r="139" spans="1:94" ht="25.25" customHeight="1">
      <c r="A139" s="5">
        <v>138</v>
      </c>
      <c r="B139" s="9" t="s">
        <v>213</v>
      </c>
      <c r="C139" s="9">
        <v>2024202026</v>
      </c>
      <c r="D139" s="5" t="s">
        <v>135</v>
      </c>
      <c r="E139" s="5">
        <f>SUM(G139:$XET139)</f>
        <v>70.5</v>
      </c>
      <c r="F139" s="5">
        <f>COUNT(G139:$XFD139)</f>
        <v>9</v>
      </c>
      <c r="G139" s="5"/>
      <c r="H139" s="5"/>
      <c r="I139" s="5"/>
      <c r="J139" s="5"/>
      <c r="K139" s="5">
        <v>9</v>
      </c>
      <c r="L139" s="5"/>
      <c r="M139" s="5"/>
      <c r="N139" s="5"/>
      <c r="O139" s="5"/>
      <c r="P139" s="5"/>
      <c r="Q139" s="5"/>
      <c r="R139" s="5"/>
      <c r="S139" s="5"/>
      <c r="T139" s="5">
        <v>16</v>
      </c>
      <c r="U139" s="5"/>
      <c r="V139" s="5">
        <v>4</v>
      </c>
      <c r="W139" s="5">
        <v>4</v>
      </c>
      <c r="X139" s="5">
        <v>9</v>
      </c>
      <c r="Y139" s="5"/>
      <c r="Z139" s="5"/>
      <c r="AA139" s="5"/>
      <c r="AB139" s="5" t="s">
        <v>74</v>
      </c>
      <c r="AC139" s="5">
        <v>2.5</v>
      </c>
      <c r="AD139" s="5"/>
      <c r="AE139" s="5"/>
      <c r="AF139" s="5"/>
      <c r="AG139" s="5" t="s">
        <v>74</v>
      </c>
      <c r="AH139" s="5" t="s">
        <v>74</v>
      </c>
      <c r="AI139" s="5" t="s">
        <v>74</v>
      </c>
      <c r="AJ139" s="5">
        <v>6</v>
      </c>
      <c r="AK139" s="5">
        <v>4</v>
      </c>
      <c r="AL139" s="5"/>
      <c r="AM139" s="5"/>
      <c r="AN139" s="5"/>
      <c r="AO139" s="5"/>
      <c r="AP139" s="5"/>
      <c r="AQ139" s="5"/>
      <c r="AR139" s="5" t="s">
        <v>74</v>
      </c>
      <c r="AS139" s="5" t="s">
        <v>74</v>
      </c>
      <c r="AT139" s="5" t="s">
        <v>74</v>
      </c>
      <c r="AU139" s="5" t="s">
        <v>74</v>
      </c>
      <c r="AV139" s="5" t="s">
        <v>74</v>
      </c>
      <c r="AW139" s="5" t="s">
        <v>74</v>
      </c>
      <c r="AX139" s="5" t="s">
        <v>74</v>
      </c>
      <c r="AY139" s="5" t="s">
        <v>74</v>
      </c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 t="s">
        <v>74</v>
      </c>
      <c r="BQ139" s="5" t="s">
        <v>74</v>
      </c>
      <c r="BR139" s="5" t="s">
        <v>74</v>
      </c>
      <c r="BS139" s="5"/>
      <c r="BT139" s="5" t="s">
        <v>74</v>
      </c>
      <c r="BU139" s="6" t="s">
        <v>51</v>
      </c>
      <c r="BV139" s="5" t="s">
        <v>74</v>
      </c>
      <c r="BW139" s="5"/>
      <c r="BX139" s="5" t="s">
        <v>74</v>
      </c>
      <c r="BY139" s="5"/>
      <c r="BZ139" s="5"/>
      <c r="CA139" s="10" t="s">
        <v>74</v>
      </c>
      <c r="CB139" s="5" t="s">
        <v>74</v>
      </c>
      <c r="CC139" s="5" t="s">
        <v>74</v>
      </c>
      <c r="CD139" s="5" t="s">
        <v>74</v>
      </c>
      <c r="CE139" s="5" t="s">
        <v>74</v>
      </c>
      <c r="CF139" s="8"/>
      <c r="CG139" s="5"/>
      <c r="CH139" s="5" t="s">
        <v>74</v>
      </c>
      <c r="CI139" s="5">
        <v>16</v>
      </c>
      <c r="CJ139" s="8" t="s">
        <v>74</v>
      </c>
      <c r="CK139" s="5"/>
      <c r="CL139" s="5" t="s">
        <v>74</v>
      </c>
      <c r="CM139" s="5" t="s">
        <v>74</v>
      </c>
      <c r="CN139" s="5" t="s">
        <v>74</v>
      </c>
      <c r="CO139" s="5"/>
      <c r="CP139" s="5" t="s">
        <v>74</v>
      </c>
    </row>
    <row r="140" spans="1:94" ht="25.25" customHeight="1">
      <c r="A140" s="5">
        <v>139</v>
      </c>
      <c r="B140" s="9" t="s">
        <v>214</v>
      </c>
      <c r="C140" s="9">
        <v>2024201967</v>
      </c>
      <c r="D140" s="5" t="s">
        <v>135</v>
      </c>
      <c r="E140" s="5">
        <f>SUM(G140:$XET140)</f>
        <v>116</v>
      </c>
      <c r="F140" s="5">
        <f>COUNT(G140:$XFD140)</f>
        <v>8</v>
      </c>
      <c r="G140" s="5">
        <v>4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>
        <v>4</v>
      </c>
      <c r="X140" s="5">
        <v>7</v>
      </c>
      <c r="Y140" s="5"/>
      <c r="Z140" s="5"/>
      <c r="AA140" s="5"/>
      <c r="AB140" s="5">
        <v>3</v>
      </c>
      <c r="AC140" s="5">
        <v>1</v>
      </c>
      <c r="AD140" s="5"/>
      <c r="AE140" s="5"/>
      <c r="AF140" s="5"/>
      <c r="AG140" s="5" t="s">
        <v>74</v>
      </c>
      <c r="AH140" s="5" t="s">
        <v>74</v>
      </c>
      <c r="AI140" s="5">
        <v>12</v>
      </c>
      <c r="AJ140" s="5" t="s">
        <v>74</v>
      </c>
      <c r="AK140" s="5" t="s">
        <v>74</v>
      </c>
      <c r="AL140" s="5"/>
      <c r="AM140" s="5"/>
      <c r="AN140" s="5"/>
      <c r="AO140" s="5"/>
      <c r="AP140" s="5"/>
      <c r="AQ140" s="5"/>
      <c r="AR140" s="5" t="s">
        <v>74</v>
      </c>
      <c r="AS140" s="5" t="s">
        <v>74</v>
      </c>
      <c r="AT140" s="5" t="s">
        <v>74</v>
      </c>
      <c r="AU140" s="5" t="s">
        <v>74</v>
      </c>
      <c r="AV140" s="5" t="s">
        <v>74</v>
      </c>
      <c r="AW140" s="5" t="s">
        <v>74</v>
      </c>
      <c r="AX140" s="5" t="s">
        <v>74</v>
      </c>
      <c r="AY140" s="5" t="s">
        <v>74</v>
      </c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 t="s">
        <v>74</v>
      </c>
      <c r="BQ140" s="5" t="s">
        <v>74</v>
      </c>
      <c r="BR140" s="5">
        <v>84</v>
      </c>
      <c r="BS140" s="5"/>
      <c r="BT140" s="5" t="s">
        <v>74</v>
      </c>
      <c r="BU140" s="6" t="s">
        <v>51</v>
      </c>
      <c r="BV140" s="5" t="s">
        <v>74</v>
      </c>
      <c r="BW140" s="5"/>
      <c r="BX140" s="5" t="s">
        <v>74</v>
      </c>
      <c r="BY140" s="5"/>
      <c r="BZ140" s="5"/>
      <c r="CA140" s="10" t="s">
        <v>74</v>
      </c>
      <c r="CB140" s="5" t="s">
        <v>74</v>
      </c>
      <c r="CC140" s="5" t="s">
        <v>74</v>
      </c>
      <c r="CD140" s="5" t="s">
        <v>74</v>
      </c>
      <c r="CE140" s="5" t="s">
        <v>74</v>
      </c>
      <c r="CF140" s="8"/>
      <c r="CG140" s="5"/>
      <c r="CH140" s="5" t="s">
        <v>74</v>
      </c>
      <c r="CI140" s="5" t="s">
        <v>74</v>
      </c>
      <c r="CJ140" s="8" t="s">
        <v>74</v>
      </c>
      <c r="CK140" s="5"/>
      <c r="CL140" s="5" t="s">
        <v>74</v>
      </c>
      <c r="CM140" s="5">
        <v>1</v>
      </c>
      <c r="CN140" s="5" t="s">
        <v>74</v>
      </c>
      <c r="CO140" s="5"/>
      <c r="CP140" s="5" t="s">
        <v>74</v>
      </c>
    </row>
    <row r="141" spans="1:94" ht="25.25" customHeight="1">
      <c r="A141" s="5">
        <v>140</v>
      </c>
      <c r="B141" s="9" t="s">
        <v>215</v>
      </c>
      <c r="C141" s="9">
        <v>2024202027</v>
      </c>
      <c r="D141" s="5" t="s">
        <v>135</v>
      </c>
      <c r="E141" s="5">
        <f>SUM(G141:$XET141)</f>
        <v>8</v>
      </c>
      <c r="F141" s="5">
        <f>COUNT(G141:$XFD141)</f>
        <v>3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>
        <v>3</v>
      </c>
      <c r="AC141" s="5">
        <v>1</v>
      </c>
      <c r="AD141" s="5"/>
      <c r="AE141" s="5"/>
      <c r="AF141" s="5"/>
      <c r="AG141" s="5" t="s">
        <v>74</v>
      </c>
      <c r="AH141" s="5" t="s">
        <v>74</v>
      </c>
      <c r="AI141" s="5" t="s">
        <v>74</v>
      </c>
      <c r="AJ141" s="5" t="s">
        <v>74</v>
      </c>
      <c r="AK141" s="5">
        <v>4</v>
      </c>
      <c r="AL141" s="5"/>
      <c r="AM141" s="5"/>
      <c r="AN141" s="5"/>
      <c r="AO141" s="5"/>
      <c r="AP141" s="5"/>
      <c r="AQ141" s="5"/>
      <c r="AR141" s="5" t="s">
        <v>74</v>
      </c>
      <c r="AS141" s="5" t="s">
        <v>74</v>
      </c>
      <c r="AT141" s="5" t="s">
        <v>74</v>
      </c>
      <c r="AU141" s="5" t="s">
        <v>74</v>
      </c>
      <c r="AV141" s="5" t="s">
        <v>74</v>
      </c>
      <c r="AW141" s="5" t="s">
        <v>74</v>
      </c>
      <c r="AX141" s="5" t="s">
        <v>74</v>
      </c>
      <c r="AY141" s="5" t="s">
        <v>74</v>
      </c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 t="s">
        <v>74</v>
      </c>
      <c r="BQ141" s="5" t="s">
        <v>74</v>
      </c>
      <c r="BR141" s="5" t="s">
        <v>74</v>
      </c>
      <c r="BS141" s="5"/>
      <c r="BT141" s="5" t="s">
        <v>74</v>
      </c>
      <c r="BU141" s="6" t="s">
        <v>51</v>
      </c>
      <c r="BV141" s="5" t="s">
        <v>74</v>
      </c>
      <c r="BW141" s="5"/>
      <c r="BX141" s="5" t="s">
        <v>74</v>
      </c>
      <c r="BY141" s="5"/>
      <c r="BZ141" s="5"/>
      <c r="CA141" s="10" t="s">
        <v>74</v>
      </c>
      <c r="CB141" s="5" t="s">
        <v>74</v>
      </c>
      <c r="CC141" s="5" t="s">
        <v>74</v>
      </c>
      <c r="CD141" s="5" t="s">
        <v>74</v>
      </c>
      <c r="CE141" s="5" t="s">
        <v>74</v>
      </c>
      <c r="CF141" s="8"/>
      <c r="CG141" s="5"/>
      <c r="CH141" s="5" t="s">
        <v>74</v>
      </c>
      <c r="CI141" s="5" t="s">
        <v>74</v>
      </c>
      <c r="CJ141" s="8" t="s">
        <v>74</v>
      </c>
      <c r="CK141" s="5"/>
      <c r="CL141" s="5" t="s">
        <v>74</v>
      </c>
      <c r="CM141" s="5" t="s">
        <v>74</v>
      </c>
      <c r="CN141" s="5" t="s">
        <v>74</v>
      </c>
      <c r="CO141" s="5"/>
      <c r="CP141" s="5" t="s">
        <v>74</v>
      </c>
    </row>
    <row r="142" spans="1:94" ht="25.25" customHeight="1">
      <c r="A142" s="5">
        <v>141</v>
      </c>
      <c r="B142" s="9" t="s">
        <v>216</v>
      </c>
      <c r="C142" s="9">
        <v>2024202051</v>
      </c>
      <c r="D142" s="5" t="s">
        <v>135</v>
      </c>
      <c r="E142" s="5">
        <f>SUM(G142:$XET142)</f>
        <v>21.5</v>
      </c>
      <c r="F142" s="5">
        <f>COUNT(G142:$XFD142)</f>
        <v>4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>
        <v>14.5</v>
      </c>
      <c r="S142" s="5"/>
      <c r="T142" s="5"/>
      <c r="U142" s="5"/>
      <c r="V142" s="5"/>
      <c r="W142" s="5"/>
      <c r="X142" s="5"/>
      <c r="Y142" s="5"/>
      <c r="Z142" s="5"/>
      <c r="AA142" s="5"/>
      <c r="AB142" s="5">
        <v>3</v>
      </c>
      <c r="AC142" s="5">
        <v>2</v>
      </c>
      <c r="AD142" s="5"/>
      <c r="AE142" s="5"/>
      <c r="AF142" s="5"/>
      <c r="AG142" s="5" t="s">
        <v>74</v>
      </c>
      <c r="AH142" s="5" t="s">
        <v>74</v>
      </c>
      <c r="AI142" s="5" t="s">
        <v>74</v>
      </c>
      <c r="AJ142" s="5" t="s">
        <v>74</v>
      </c>
      <c r="AK142" s="5" t="s">
        <v>74</v>
      </c>
      <c r="AL142" s="5"/>
      <c r="AM142" s="5"/>
      <c r="AN142" s="5"/>
      <c r="AO142" s="5"/>
      <c r="AP142" s="5"/>
      <c r="AQ142" s="5"/>
      <c r="AR142" s="5" t="s">
        <v>74</v>
      </c>
      <c r="AS142" s="5" t="s">
        <v>74</v>
      </c>
      <c r="AT142" s="5" t="s">
        <v>74</v>
      </c>
      <c r="AU142" s="5" t="s">
        <v>74</v>
      </c>
      <c r="AV142" s="5">
        <v>2</v>
      </c>
      <c r="AW142" s="5" t="s">
        <v>74</v>
      </c>
      <c r="AX142" s="5" t="s">
        <v>74</v>
      </c>
      <c r="AY142" s="5" t="s">
        <v>74</v>
      </c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 t="s">
        <v>74</v>
      </c>
      <c r="BQ142" s="5" t="s">
        <v>74</v>
      </c>
      <c r="BR142" s="5" t="s">
        <v>74</v>
      </c>
      <c r="BS142" s="5"/>
      <c r="BT142" s="5" t="s">
        <v>74</v>
      </c>
      <c r="BU142" s="6" t="s">
        <v>51</v>
      </c>
      <c r="BV142" s="5" t="s">
        <v>74</v>
      </c>
      <c r="BW142" s="5"/>
      <c r="BX142" s="5" t="s">
        <v>74</v>
      </c>
      <c r="BY142" s="5"/>
      <c r="BZ142" s="5"/>
      <c r="CA142" s="10" t="s">
        <v>74</v>
      </c>
      <c r="CB142" s="5" t="s">
        <v>74</v>
      </c>
      <c r="CC142" s="5" t="s">
        <v>74</v>
      </c>
      <c r="CD142" s="5" t="s">
        <v>74</v>
      </c>
      <c r="CE142" s="5" t="s">
        <v>74</v>
      </c>
      <c r="CF142" s="8"/>
      <c r="CG142" s="5"/>
      <c r="CH142" s="5" t="s">
        <v>74</v>
      </c>
      <c r="CI142" s="5" t="s">
        <v>74</v>
      </c>
      <c r="CJ142" s="8" t="s">
        <v>74</v>
      </c>
      <c r="CK142" s="5"/>
      <c r="CL142" s="5" t="s">
        <v>74</v>
      </c>
      <c r="CM142" s="5" t="s">
        <v>74</v>
      </c>
      <c r="CN142" s="5" t="s">
        <v>74</v>
      </c>
      <c r="CO142" s="5"/>
      <c r="CP142" s="5" t="s">
        <v>74</v>
      </c>
    </row>
    <row r="143" spans="1:94" ht="25.25" customHeight="1">
      <c r="A143" s="5">
        <v>142</v>
      </c>
      <c r="B143" s="9" t="s">
        <v>217</v>
      </c>
      <c r="C143" s="9">
        <v>2024202071</v>
      </c>
      <c r="D143" s="5" t="s">
        <v>135</v>
      </c>
      <c r="E143" s="5">
        <f>SUM(G143:$XET143)</f>
        <v>1</v>
      </c>
      <c r="F143" s="5">
        <f>COUNT(G143:$XFD143)</f>
        <v>1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 t="s">
        <v>74</v>
      </c>
      <c r="AC143" s="5" t="s">
        <v>74</v>
      </c>
      <c r="AD143" s="5"/>
      <c r="AE143" s="5"/>
      <c r="AF143" s="5"/>
      <c r="AG143" s="5" t="s">
        <v>74</v>
      </c>
      <c r="AH143" s="5" t="s">
        <v>74</v>
      </c>
      <c r="AI143" s="5" t="s">
        <v>74</v>
      </c>
      <c r="AJ143" s="5" t="s">
        <v>74</v>
      </c>
      <c r="AK143" s="5" t="s">
        <v>74</v>
      </c>
      <c r="AL143" s="5"/>
      <c r="AM143" s="5"/>
      <c r="AN143" s="5"/>
      <c r="AO143" s="5"/>
      <c r="AP143" s="5"/>
      <c r="AQ143" s="5"/>
      <c r="AR143" s="5" t="s">
        <v>74</v>
      </c>
      <c r="AS143" s="5" t="s">
        <v>74</v>
      </c>
      <c r="AT143" s="5" t="s">
        <v>74</v>
      </c>
      <c r="AU143" s="5" t="s">
        <v>74</v>
      </c>
      <c r="AV143" s="5" t="s">
        <v>74</v>
      </c>
      <c r="AW143" s="5" t="s">
        <v>74</v>
      </c>
      <c r="AX143" s="5" t="s">
        <v>74</v>
      </c>
      <c r="AY143" s="5" t="s">
        <v>74</v>
      </c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 t="s">
        <v>74</v>
      </c>
      <c r="BQ143" s="5" t="s">
        <v>74</v>
      </c>
      <c r="BR143" s="5" t="s">
        <v>74</v>
      </c>
      <c r="BS143" s="5"/>
      <c r="BT143" s="5" t="s">
        <v>74</v>
      </c>
      <c r="BU143" s="6" t="s">
        <v>51</v>
      </c>
      <c r="BV143" s="5">
        <v>1</v>
      </c>
      <c r="BW143" s="5"/>
      <c r="BX143" s="5" t="s">
        <v>74</v>
      </c>
      <c r="BY143" s="5"/>
      <c r="BZ143" s="5"/>
      <c r="CA143" s="10" t="s">
        <v>74</v>
      </c>
      <c r="CB143" s="5" t="s">
        <v>74</v>
      </c>
      <c r="CC143" s="5" t="s">
        <v>74</v>
      </c>
      <c r="CD143" s="5" t="s">
        <v>74</v>
      </c>
      <c r="CE143" s="5" t="s">
        <v>74</v>
      </c>
      <c r="CF143" s="8"/>
      <c r="CG143" s="5"/>
      <c r="CH143" s="5" t="s">
        <v>74</v>
      </c>
      <c r="CI143" s="5" t="s">
        <v>74</v>
      </c>
      <c r="CJ143" s="8" t="s">
        <v>74</v>
      </c>
      <c r="CK143" s="5"/>
      <c r="CL143" s="5" t="s">
        <v>74</v>
      </c>
      <c r="CM143" s="5" t="s">
        <v>74</v>
      </c>
      <c r="CN143" s="5" t="s">
        <v>74</v>
      </c>
      <c r="CO143" s="5"/>
      <c r="CP143" s="5" t="s">
        <v>74</v>
      </c>
    </row>
    <row r="144" spans="1:94" ht="25.25" customHeight="1">
      <c r="A144" s="5">
        <v>143</v>
      </c>
      <c r="B144" s="9" t="s">
        <v>218</v>
      </c>
      <c r="C144" s="9">
        <v>2024202072</v>
      </c>
      <c r="D144" s="5" t="s">
        <v>135</v>
      </c>
      <c r="E144" s="5">
        <f>SUM(G144:$XET144)</f>
        <v>4</v>
      </c>
      <c r="F144" s="5">
        <f>COUNT(G144:$XFD144)</f>
        <v>1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 t="s">
        <v>74</v>
      </c>
      <c r="AC144" s="5" t="s">
        <v>74</v>
      </c>
      <c r="AD144" s="5"/>
      <c r="AE144" s="5"/>
      <c r="AF144" s="5"/>
      <c r="AG144" s="5" t="s">
        <v>74</v>
      </c>
      <c r="AH144" s="5" t="s">
        <v>74</v>
      </c>
      <c r="AI144" s="5" t="s">
        <v>74</v>
      </c>
      <c r="AJ144" s="5" t="s">
        <v>74</v>
      </c>
      <c r="AK144" s="5">
        <v>4</v>
      </c>
      <c r="AL144" s="5"/>
      <c r="AM144" s="5"/>
      <c r="AN144" s="5"/>
      <c r="AO144" s="5"/>
      <c r="AP144" s="5"/>
      <c r="AQ144" s="5"/>
      <c r="AR144" s="5" t="s">
        <v>74</v>
      </c>
      <c r="AS144" s="5" t="s">
        <v>74</v>
      </c>
      <c r="AT144" s="5" t="s">
        <v>74</v>
      </c>
      <c r="AU144" s="5" t="s">
        <v>74</v>
      </c>
      <c r="AV144" s="5" t="s">
        <v>74</v>
      </c>
      <c r="AW144" s="5" t="s">
        <v>74</v>
      </c>
      <c r="AX144" s="5" t="s">
        <v>74</v>
      </c>
      <c r="AY144" s="5" t="s">
        <v>74</v>
      </c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 t="s">
        <v>74</v>
      </c>
      <c r="BQ144" s="5" t="s">
        <v>74</v>
      </c>
      <c r="BR144" s="5" t="s">
        <v>74</v>
      </c>
      <c r="BS144" s="5"/>
      <c r="BT144" s="5" t="s">
        <v>74</v>
      </c>
      <c r="BU144" s="6" t="s">
        <v>51</v>
      </c>
      <c r="BV144" s="5" t="s">
        <v>74</v>
      </c>
      <c r="BW144" s="5"/>
      <c r="BX144" s="5" t="s">
        <v>74</v>
      </c>
      <c r="BY144" s="5"/>
      <c r="BZ144" s="5"/>
      <c r="CA144" s="10" t="s">
        <v>74</v>
      </c>
      <c r="CB144" s="5" t="s">
        <v>74</v>
      </c>
      <c r="CC144" s="5" t="s">
        <v>74</v>
      </c>
      <c r="CD144" s="5" t="s">
        <v>74</v>
      </c>
      <c r="CE144" s="5" t="s">
        <v>74</v>
      </c>
      <c r="CF144" s="8"/>
      <c r="CG144" s="5"/>
      <c r="CH144" s="5" t="s">
        <v>74</v>
      </c>
      <c r="CI144" s="5" t="s">
        <v>74</v>
      </c>
      <c r="CJ144" s="8" t="s">
        <v>74</v>
      </c>
      <c r="CK144" s="5"/>
      <c r="CL144" s="5" t="s">
        <v>74</v>
      </c>
      <c r="CM144" s="5" t="s">
        <v>74</v>
      </c>
      <c r="CN144" s="5" t="s">
        <v>74</v>
      </c>
      <c r="CO144" s="5"/>
      <c r="CP144" s="5" t="s">
        <v>74</v>
      </c>
    </row>
    <row r="145" spans="1:94" ht="25.25" customHeight="1">
      <c r="A145" s="5">
        <v>144</v>
      </c>
      <c r="B145" s="9" t="s">
        <v>219</v>
      </c>
      <c r="C145" s="9">
        <v>2024202125</v>
      </c>
      <c r="D145" s="5" t="s">
        <v>135</v>
      </c>
      <c r="E145" s="5">
        <f>SUM(G145:$XET145)</f>
        <v>5</v>
      </c>
      <c r="F145" s="5">
        <f>COUNT(G145:$XFD145)</f>
        <v>2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 t="s">
        <v>74</v>
      </c>
      <c r="AC145" s="5" t="s">
        <v>74</v>
      </c>
      <c r="AD145" s="5"/>
      <c r="AE145" s="5"/>
      <c r="AF145" s="5"/>
      <c r="AG145" s="5" t="s">
        <v>74</v>
      </c>
      <c r="AH145" s="5" t="s">
        <v>74</v>
      </c>
      <c r="AI145" s="5" t="s">
        <v>74</v>
      </c>
      <c r="AJ145" s="5" t="s">
        <v>74</v>
      </c>
      <c r="AK145" s="5">
        <v>4</v>
      </c>
      <c r="AL145" s="5"/>
      <c r="AM145" s="5"/>
      <c r="AN145" s="5"/>
      <c r="AO145" s="5"/>
      <c r="AP145" s="5"/>
      <c r="AQ145" s="5"/>
      <c r="AR145" s="5" t="s">
        <v>74</v>
      </c>
      <c r="AS145" s="5" t="s">
        <v>74</v>
      </c>
      <c r="AT145" s="5" t="s">
        <v>74</v>
      </c>
      <c r="AU145" s="5" t="s">
        <v>74</v>
      </c>
      <c r="AV145" s="5" t="s">
        <v>74</v>
      </c>
      <c r="AW145" s="5" t="s">
        <v>74</v>
      </c>
      <c r="AX145" s="5" t="s">
        <v>74</v>
      </c>
      <c r="AY145" s="5" t="s">
        <v>74</v>
      </c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 t="s">
        <v>74</v>
      </c>
      <c r="BQ145" s="5" t="s">
        <v>74</v>
      </c>
      <c r="BR145" s="5" t="s">
        <v>74</v>
      </c>
      <c r="BS145" s="5"/>
      <c r="BT145" s="5" t="s">
        <v>74</v>
      </c>
      <c r="BU145" s="6" t="s">
        <v>51</v>
      </c>
      <c r="BV145" s="5" t="s">
        <v>74</v>
      </c>
      <c r="BW145" s="5"/>
      <c r="BX145" s="5" t="s">
        <v>74</v>
      </c>
      <c r="BY145" s="5"/>
      <c r="BZ145" s="5"/>
      <c r="CA145" s="10" t="s">
        <v>74</v>
      </c>
      <c r="CB145" s="5" t="s">
        <v>74</v>
      </c>
      <c r="CC145" s="5" t="s">
        <v>74</v>
      </c>
      <c r="CD145" s="5" t="s">
        <v>74</v>
      </c>
      <c r="CE145" s="5" t="s">
        <v>74</v>
      </c>
      <c r="CF145" s="8"/>
      <c r="CG145" s="5"/>
      <c r="CH145" s="5" t="s">
        <v>74</v>
      </c>
      <c r="CI145" s="5" t="s">
        <v>74</v>
      </c>
      <c r="CJ145" s="8" t="s">
        <v>74</v>
      </c>
      <c r="CK145" s="5"/>
      <c r="CL145" s="5" t="s">
        <v>74</v>
      </c>
      <c r="CM145" s="5" t="s">
        <v>74</v>
      </c>
      <c r="CN145" s="5">
        <v>1</v>
      </c>
      <c r="CO145" s="5"/>
      <c r="CP145" s="5" t="s">
        <v>74</v>
      </c>
    </row>
    <row r="146" spans="1:94" ht="25.25" customHeight="1">
      <c r="A146" s="5">
        <v>145</v>
      </c>
      <c r="B146" s="9" t="s">
        <v>220</v>
      </c>
      <c r="C146" s="9">
        <v>2024202229</v>
      </c>
      <c r="D146" s="5" t="s">
        <v>135</v>
      </c>
      <c r="E146" s="5">
        <f>SUM(G146:$XET146)</f>
        <v>10.5</v>
      </c>
      <c r="F146" s="5">
        <f>COUNT(G146:$XFD146)</f>
        <v>3</v>
      </c>
      <c r="G146" s="5"/>
      <c r="H146" s="5"/>
      <c r="I146" s="5"/>
      <c r="J146" s="5"/>
      <c r="K146" s="5"/>
      <c r="L146" s="5">
        <v>6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 t="s">
        <v>74</v>
      </c>
      <c r="AC146" s="5" t="s">
        <v>74</v>
      </c>
      <c r="AD146" s="5"/>
      <c r="AE146" s="5"/>
      <c r="AF146" s="5"/>
      <c r="AG146" s="5" t="s">
        <v>74</v>
      </c>
      <c r="AH146" s="5" t="s">
        <v>74</v>
      </c>
      <c r="AI146" s="5" t="s">
        <v>74</v>
      </c>
      <c r="AJ146" s="5" t="s">
        <v>74</v>
      </c>
      <c r="AK146" s="5">
        <v>4</v>
      </c>
      <c r="AL146" s="5"/>
      <c r="AM146" s="5"/>
      <c r="AN146" s="5"/>
      <c r="AO146" s="5"/>
      <c r="AP146" s="5"/>
      <c r="AQ146" s="5"/>
      <c r="AR146" s="5" t="s">
        <v>74</v>
      </c>
      <c r="AS146" s="5" t="s">
        <v>74</v>
      </c>
      <c r="AT146" s="5" t="s">
        <v>74</v>
      </c>
      <c r="AU146" s="5" t="s">
        <v>74</v>
      </c>
      <c r="AV146" s="5" t="s">
        <v>74</v>
      </c>
      <c r="AW146" s="5" t="s">
        <v>74</v>
      </c>
      <c r="AX146" s="5" t="s">
        <v>74</v>
      </c>
      <c r="AY146" s="5" t="s">
        <v>74</v>
      </c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 t="s">
        <v>74</v>
      </c>
      <c r="BQ146" s="5" t="s">
        <v>74</v>
      </c>
      <c r="BR146" s="5" t="s">
        <v>74</v>
      </c>
      <c r="BS146" s="5"/>
      <c r="BT146" s="5" t="s">
        <v>74</v>
      </c>
      <c r="BU146" s="6" t="s">
        <v>51</v>
      </c>
      <c r="BV146" s="5" t="s">
        <v>74</v>
      </c>
      <c r="BW146" s="5"/>
      <c r="BX146" s="5" t="s">
        <v>74</v>
      </c>
      <c r="BY146" s="5"/>
      <c r="BZ146" s="5"/>
      <c r="CA146" s="10" t="s">
        <v>74</v>
      </c>
      <c r="CB146" s="5" t="s">
        <v>74</v>
      </c>
      <c r="CC146" s="5" t="s">
        <v>74</v>
      </c>
      <c r="CD146" s="5" t="s">
        <v>74</v>
      </c>
      <c r="CE146" s="5" t="s">
        <v>74</v>
      </c>
      <c r="CF146" s="8"/>
      <c r="CG146" s="5"/>
      <c r="CH146" s="5" t="s">
        <v>74</v>
      </c>
      <c r="CI146" s="5" t="s">
        <v>74</v>
      </c>
      <c r="CJ146" s="8" t="s">
        <v>74</v>
      </c>
      <c r="CK146" s="5"/>
      <c r="CL146" s="5" t="s">
        <v>74</v>
      </c>
      <c r="CM146" s="5">
        <v>0.5</v>
      </c>
      <c r="CN146" s="5" t="s">
        <v>74</v>
      </c>
      <c r="CO146" s="5"/>
      <c r="CP146" s="5" t="s">
        <v>74</v>
      </c>
    </row>
    <row r="147" spans="1:94" ht="25.25" customHeight="1">
      <c r="A147" s="5">
        <v>146</v>
      </c>
      <c r="B147" s="9" t="s">
        <v>221</v>
      </c>
      <c r="C147" s="9">
        <v>2024202240</v>
      </c>
      <c r="D147" s="5" t="s">
        <v>135</v>
      </c>
      <c r="E147" s="5">
        <f>SUM(G147:$XET147)</f>
        <v>29</v>
      </c>
      <c r="F147" s="5">
        <f>COUNT(G147:$XFD147)</f>
        <v>3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>
        <v>24</v>
      </c>
      <c r="Y147" s="5"/>
      <c r="Z147" s="5"/>
      <c r="AA147" s="5"/>
      <c r="AB147" s="5" t="s">
        <v>74</v>
      </c>
      <c r="AC147" s="5" t="s">
        <v>74</v>
      </c>
      <c r="AD147" s="5"/>
      <c r="AE147" s="5"/>
      <c r="AF147" s="5"/>
      <c r="AG147" s="5" t="s">
        <v>74</v>
      </c>
      <c r="AH147" s="5" t="s">
        <v>74</v>
      </c>
      <c r="AI147" s="5" t="s">
        <v>74</v>
      </c>
      <c r="AJ147" s="5" t="s">
        <v>74</v>
      </c>
      <c r="AK147" s="5">
        <v>4</v>
      </c>
      <c r="AL147" s="5"/>
      <c r="AM147" s="5"/>
      <c r="AN147" s="5"/>
      <c r="AO147" s="5"/>
      <c r="AP147" s="5"/>
      <c r="AQ147" s="5"/>
      <c r="AR147" s="5" t="s">
        <v>74</v>
      </c>
      <c r="AS147" s="5" t="s">
        <v>74</v>
      </c>
      <c r="AT147" s="5" t="s">
        <v>74</v>
      </c>
      <c r="AU147" s="5" t="s">
        <v>74</v>
      </c>
      <c r="AV147" s="5" t="s">
        <v>74</v>
      </c>
      <c r="AW147" s="5" t="s">
        <v>74</v>
      </c>
      <c r="AX147" s="5" t="s">
        <v>74</v>
      </c>
      <c r="AY147" s="5" t="s">
        <v>74</v>
      </c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 t="s">
        <v>74</v>
      </c>
      <c r="BQ147" s="5" t="s">
        <v>74</v>
      </c>
      <c r="BR147" s="5" t="s">
        <v>74</v>
      </c>
      <c r="BS147" s="5"/>
      <c r="BT147" s="5" t="s">
        <v>74</v>
      </c>
      <c r="BU147" s="6" t="s">
        <v>51</v>
      </c>
      <c r="BV147" s="5">
        <v>1</v>
      </c>
      <c r="BW147" s="5"/>
      <c r="BX147" s="5" t="s">
        <v>74</v>
      </c>
      <c r="BY147" s="5"/>
      <c r="BZ147" s="5"/>
      <c r="CA147" s="10" t="s">
        <v>74</v>
      </c>
      <c r="CB147" s="5" t="s">
        <v>74</v>
      </c>
      <c r="CC147" s="5" t="s">
        <v>74</v>
      </c>
      <c r="CD147" s="5" t="s">
        <v>74</v>
      </c>
      <c r="CE147" s="5" t="s">
        <v>74</v>
      </c>
      <c r="CF147" s="8"/>
      <c r="CG147" s="5"/>
      <c r="CH147" s="5" t="s">
        <v>74</v>
      </c>
      <c r="CI147" s="5" t="s">
        <v>74</v>
      </c>
      <c r="CJ147" s="8" t="s">
        <v>74</v>
      </c>
      <c r="CK147" s="5"/>
      <c r="CL147" s="5" t="s">
        <v>74</v>
      </c>
      <c r="CM147" s="5" t="s">
        <v>74</v>
      </c>
      <c r="CN147" s="5" t="s">
        <v>74</v>
      </c>
      <c r="CO147" s="5"/>
      <c r="CP147" s="5" t="s">
        <v>74</v>
      </c>
    </row>
    <row r="148" spans="1:94" ht="25.25" customHeight="1">
      <c r="A148" s="5">
        <v>147</v>
      </c>
      <c r="B148" s="9" t="s">
        <v>222</v>
      </c>
      <c r="C148" s="9">
        <v>2024202058</v>
      </c>
      <c r="D148" s="5" t="s">
        <v>135</v>
      </c>
      <c r="E148" s="5">
        <f>SUM(G148:$XET148)</f>
        <v>21</v>
      </c>
      <c r="F148" s="5">
        <f>COUNT(G148:$XFD148)</f>
        <v>4</v>
      </c>
      <c r="G148" s="5"/>
      <c r="H148" s="5"/>
      <c r="I148" s="5"/>
      <c r="J148" s="5"/>
      <c r="K148" s="5"/>
      <c r="L148" s="5"/>
      <c r="M148" s="5"/>
      <c r="N148" s="5">
        <v>0.5</v>
      </c>
      <c r="O148" s="5"/>
      <c r="P148" s="5"/>
      <c r="Q148" s="5"/>
      <c r="R148" s="5">
        <v>14.5</v>
      </c>
      <c r="S148" s="5"/>
      <c r="T148" s="5"/>
      <c r="U148" s="5"/>
      <c r="V148" s="5"/>
      <c r="W148" s="5"/>
      <c r="X148" s="5"/>
      <c r="Y148" s="5"/>
      <c r="Z148" s="5">
        <v>4</v>
      </c>
      <c r="AA148" s="5"/>
      <c r="AB148" s="5" t="s">
        <v>74</v>
      </c>
      <c r="AC148" s="5" t="s">
        <v>74</v>
      </c>
      <c r="AD148" s="5"/>
      <c r="AE148" s="5"/>
      <c r="AF148" s="5"/>
      <c r="AG148" s="5" t="s">
        <v>74</v>
      </c>
      <c r="AH148" s="5" t="s">
        <v>74</v>
      </c>
      <c r="AI148" s="5" t="s">
        <v>74</v>
      </c>
      <c r="AJ148" s="5" t="s">
        <v>74</v>
      </c>
      <c r="AK148" s="5" t="s">
        <v>74</v>
      </c>
      <c r="AL148" s="5"/>
      <c r="AM148" s="5"/>
      <c r="AN148" s="5"/>
      <c r="AO148" s="5"/>
      <c r="AP148" s="5"/>
      <c r="AQ148" s="5"/>
      <c r="AR148" s="5" t="s">
        <v>74</v>
      </c>
      <c r="AS148" s="5" t="s">
        <v>74</v>
      </c>
      <c r="AT148" s="5" t="s">
        <v>74</v>
      </c>
      <c r="AU148" s="5" t="s">
        <v>74</v>
      </c>
      <c r="AV148" s="5" t="s">
        <v>74</v>
      </c>
      <c r="AW148" s="5" t="s">
        <v>74</v>
      </c>
      <c r="AX148" s="5" t="s">
        <v>74</v>
      </c>
      <c r="AY148" s="5" t="s">
        <v>74</v>
      </c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 t="s">
        <v>74</v>
      </c>
      <c r="BQ148" s="5" t="s">
        <v>74</v>
      </c>
      <c r="BR148" s="5" t="s">
        <v>74</v>
      </c>
      <c r="BS148" s="5"/>
      <c r="BT148" s="5" t="s">
        <v>74</v>
      </c>
      <c r="BU148" s="6" t="s">
        <v>51</v>
      </c>
      <c r="BV148" s="5" t="s">
        <v>74</v>
      </c>
      <c r="BW148" s="5"/>
      <c r="BX148" s="5" t="s">
        <v>74</v>
      </c>
      <c r="BY148" s="5"/>
      <c r="BZ148" s="5"/>
      <c r="CA148" s="10" t="s">
        <v>74</v>
      </c>
      <c r="CB148" s="5" t="s">
        <v>74</v>
      </c>
      <c r="CC148" s="5" t="s">
        <v>74</v>
      </c>
      <c r="CD148" s="5" t="s">
        <v>74</v>
      </c>
      <c r="CE148" s="5">
        <v>2</v>
      </c>
      <c r="CF148" s="8"/>
      <c r="CG148" s="5"/>
      <c r="CH148" s="5" t="s">
        <v>74</v>
      </c>
      <c r="CI148" s="5" t="s">
        <v>74</v>
      </c>
      <c r="CJ148" s="8" t="s">
        <v>74</v>
      </c>
      <c r="CK148" s="5"/>
      <c r="CL148" s="5" t="s">
        <v>74</v>
      </c>
      <c r="CM148" s="5" t="s">
        <v>74</v>
      </c>
      <c r="CN148" s="5" t="s">
        <v>74</v>
      </c>
      <c r="CO148" s="5"/>
      <c r="CP148" s="5" t="s">
        <v>74</v>
      </c>
    </row>
    <row r="149" spans="1:94" ht="25.25" customHeight="1">
      <c r="A149" s="5">
        <v>148</v>
      </c>
      <c r="B149" s="9" t="s">
        <v>223</v>
      </c>
      <c r="C149" s="9">
        <v>2024202089</v>
      </c>
      <c r="D149" s="5" t="s">
        <v>135</v>
      </c>
      <c r="E149" s="5">
        <f>SUM(G149:$XET149)</f>
        <v>7.5</v>
      </c>
      <c r="F149" s="5">
        <f>COUNT(G149:$XFD149)</f>
        <v>3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>
        <v>0.5</v>
      </c>
      <c r="S149" s="5"/>
      <c r="T149" s="5"/>
      <c r="U149" s="5"/>
      <c r="V149" s="5"/>
      <c r="W149" s="5"/>
      <c r="X149" s="5"/>
      <c r="Y149" s="5"/>
      <c r="Z149" s="5"/>
      <c r="AA149" s="5"/>
      <c r="AB149" s="5" t="s">
        <v>74</v>
      </c>
      <c r="AC149" s="5" t="s">
        <v>74</v>
      </c>
      <c r="AD149" s="5"/>
      <c r="AE149" s="5"/>
      <c r="AF149" s="5"/>
      <c r="AG149" s="5" t="s">
        <v>74</v>
      </c>
      <c r="AH149" s="5" t="s">
        <v>74</v>
      </c>
      <c r="AI149" s="5" t="s">
        <v>74</v>
      </c>
      <c r="AJ149" s="5" t="s">
        <v>74</v>
      </c>
      <c r="AK149" s="5" t="s">
        <v>74</v>
      </c>
      <c r="AL149" s="5"/>
      <c r="AM149" s="5"/>
      <c r="AN149" s="5"/>
      <c r="AO149" s="5"/>
      <c r="AP149" s="5"/>
      <c r="AQ149" s="5"/>
      <c r="AR149" s="5" t="s">
        <v>74</v>
      </c>
      <c r="AS149" s="5" t="s">
        <v>74</v>
      </c>
      <c r="AT149" s="5" t="s">
        <v>74</v>
      </c>
      <c r="AU149" s="5" t="s">
        <v>74</v>
      </c>
      <c r="AV149" s="5" t="s">
        <v>74</v>
      </c>
      <c r="AW149" s="5" t="s">
        <v>74</v>
      </c>
      <c r="AX149" s="5" t="s">
        <v>74</v>
      </c>
      <c r="AY149" s="5" t="s">
        <v>74</v>
      </c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 t="s">
        <v>74</v>
      </c>
      <c r="BQ149" s="5" t="s">
        <v>74</v>
      </c>
      <c r="BR149" s="5" t="s">
        <v>74</v>
      </c>
      <c r="BS149" s="5"/>
      <c r="BT149" s="5" t="s">
        <v>74</v>
      </c>
      <c r="BU149" s="6" t="s">
        <v>51</v>
      </c>
      <c r="BV149" s="5" t="s">
        <v>74</v>
      </c>
      <c r="BW149" s="5"/>
      <c r="BX149" s="5" t="s">
        <v>74</v>
      </c>
      <c r="BY149" s="5"/>
      <c r="BZ149" s="5"/>
      <c r="CA149" s="10" t="s">
        <v>74</v>
      </c>
      <c r="CB149" s="5" t="s">
        <v>74</v>
      </c>
      <c r="CC149" s="5" t="s">
        <v>74</v>
      </c>
      <c r="CD149" s="5" t="s">
        <v>74</v>
      </c>
      <c r="CE149" s="5">
        <v>2</v>
      </c>
      <c r="CF149" s="8"/>
      <c r="CG149" s="5"/>
      <c r="CH149" s="5" t="s">
        <v>74</v>
      </c>
      <c r="CI149" s="5" t="s">
        <v>74</v>
      </c>
      <c r="CJ149" s="8" t="s">
        <v>74</v>
      </c>
      <c r="CK149" s="5"/>
      <c r="CL149" s="5" t="s">
        <v>74</v>
      </c>
      <c r="CM149" s="5" t="s">
        <v>74</v>
      </c>
      <c r="CN149" s="5">
        <v>5</v>
      </c>
      <c r="CO149" s="5"/>
      <c r="CP149" s="5" t="s">
        <v>74</v>
      </c>
    </row>
    <row r="150" spans="1:94" ht="25.25" customHeight="1">
      <c r="A150" s="5">
        <v>149</v>
      </c>
      <c r="B150" s="9" t="s">
        <v>224</v>
      </c>
      <c r="C150" s="9">
        <v>2024202106</v>
      </c>
      <c r="D150" s="5" t="s">
        <v>135</v>
      </c>
      <c r="E150" s="5">
        <f>SUM(G150:$XET150)</f>
        <v>18</v>
      </c>
      <c r="F150" s="5">
        <f>COUNT(G150:$XFD150)</f>
        <v>2</v>
      </c>
      <c r="G150" s="5">
        <v>16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 t="s">
        <v>74</v>
      </c>
      <c r="AC150" s="5" t="s">
        <v>74</v>
      </c>
      <c r="AD150" s="5"/>
      <c r="AE150" s="5"/>
      <c r="AF150" s="5"/>
      <c r="AG150" s="5" t="s">
        <v>74</v>
      </c>
      <c r="AH150" s="5" t="s">
        <v>74</v>
      </c>
      <c r="AI150" s="5" t="s">
        <v>74</v>
      </c>
      <c r="AJ150" s="5" t="s">
        <v>74</v>
      </c>
      <c r="AK150" s="5" t="s">
        <v>74</v>
      </c>
      <c r="AL150" s="5"/>
      <c r="AM150" s="5"/>
      <c r="AN150" s="5"/>
      <c r="AO150" s="5"/>
      <c r="AP150" s="5"/>
      <c r="AQ150" s="5"/>
      <c r="AR150" s="5" t="s">
        <v>74</v>
      </c>
      <c r="AS150" s="5" t="s">
        <v>74</v>
      </c>
      <c r="AT150" s="5" t="s">
        <v>74</v>
      </c>
      <c r="AU150" s="5" t="s">
        <v>74</v>
      </c>
      <c r="AV150" s="5" t="s">
        <v>74</v>
      </c>
      <c r="AW150" s="5" t="s">
        <v>74</v>
      </c>
      <c r="AX150" s="5" t="s">
        <v>74</v>
      </c>
      <c r="AY150" s="5" t="s">
        <v>74</v>
      </c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 t="s">
        <v>74</v>
      </c>
      <c r="BQ150" s="5" t="s">
        <v>74</v>
      </c>
      <c r="BR150" s="5" t="s">
        <v>74</v>
      </c>
      <c r="BS150" s="5"/>
      <c r="BT150" s="5" t="s">
        <v>74</v>
      </c>
      <c r="BU150" s="6" t="s">
        <v>51</v>
      </c>
      <c r="BV150" s="5" t="s">
        <v>74</v>
      </c>
      <c r="BW150" s="5"/>
      <c r="BX150" s="5" t="s">
        <v>74</v>
      </c>
      <c r="BY150" s="5"/>
      <c r="BZ150" s="5"/>
      <c r="CA150" s="10" t="s">
        <v>74</v>
      </c>
      <c r="CB150" s="5" t="s">
        <v>74</v>
      </c>
      <c r="CC150" s="5" t="s">
        <v>74</v>
      </c>
      <c r="CD150" s="5" t="s">
        <v>74</v>
      </c>
      <c r="CE150" s="5">
        <v>2</v>
      </c>
      <c r="CF150" s="8"/>
      <c r="CG150" s="5"/>
      <c r="CH150" s="5" t="s">
        <v>74</v>
      </c>
      <c r="CI150" s="5" t="s">
        <v>74</v>
      </c>
      <c r="CJ150" s="8" t="s">
        <v>74</v>
      </c>
      <c r="CK150" s="5"/>
      <c r="CL150" s="5" t="s">
        <v>74</v>
      </c>
      <c r="CM150" s="5" t="s">
        <v>74</v>
      </c>
      <c r="CN150" s="5" t="s">
        <v>74</v>
      </c>
      <c r="CO150" s="5"/>
      <c r="CP150" s="5" t="s">
        <v>74</v>
      </c>
    </row>
    <row r="151" spans="1:94" ht="25.25" customHeight="1">
      <c r="A151" s="5">
        <v>150</v>
      </c>
      <c r="B151" s="9" t="s">
        <v>225</v>
      </c>
      <c r="C151" s="9">
        <v>2024202174</v>
      </c>
      <c r="D151" s="5" t="s">
        <v>135</v>
      </c>
      <c r="E151" s="5">
        <f>SUM(G151:$XET151)</f>
        <v>45</v>
      </c>
      <c r="F151" s="5">
        <f>COUNT(G151:$XFD151)</f>
        <v>10</v>
      </c>
      <c r="G151" s="5"/>
      <c r="H151" s="5"/>
      <c r="I151" s="5">
        <v>4</v>
      </c>
      <c r="J151" s="5"/>
      <c r="K151" s="5">
        <v>10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>
        <v>5</v>
      </c>
      <c r="X151" s="5"/>
      <c r="Y151" s="5"/>
      <c r="Z151" s="5"/>
      <c r="AA151" s="5">
        <v>4</v>
      </c>
      <c r="AB151" s="5" t="s">
        <v>74</v>
      </c>
      <c r="AC151" s="5" t="s">
        <v>74</v>
      </c>
      <c r="AD151" s="5"/>
      <c r="AE151" s="5"/>
      <c r="AF151" s="5"/>
      <c r="AG151" s="5" t="s">
        <v>74</v>
      </c>
      <c r="AH151" s="5" t="s">
        <v>74</v>
      </c>
      <c r="AI151" s="5" t="s">
        <v>74</v>
      </c>
      <c r="AJ151" s="5" t="s">
        <v>74</v>
      </c>
      <c r="AK151" s="5">
        <v>4</v>
      </c>
      <c r="AL151" s="5"/>
      <c r="AM151" s="5"/>
      <c r="AN151" s="5"/>
      <c r="AO151" s="5"/>
      <c r="AP151" s="5"/>
      <c r="AQ151" s="5"/>
      <c r="AR151" s="5" t="s">
        <v>74</v>
      </c>
      <c r="AS151" s="5" t="s">
        <v>74</v>
      </c>
      <c r="AT151" s="5" t="s">
        <v>74</v>
      </c>
      <c r="AU151" s="5">
        <v>5</v>
      </c>
      <c r="AV151" s="5" t="s">
        <v>74</v>
      </c>
      <c r="AW151" s="5" t="s">
        <v>74</v>
      </c>
      <c r="AX151" s="5" t="s">
        <v>74</v>
      </c>
      <c r="AY151" s="5" t="s">
        <v>74</v>
      </c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 t="s">
        <v>74</v>
      </c>
      <c r="BQ151" s="5" t="s">
        <v>74</v>
      </c>
      <c r="BR151" s="5" t="s">
        <v>74</v>
      </c>
      <c r="BS151" s="5"/>
      <c r="BT151" s="5" t="s">
        <v>74</v>
      </c>
      <c r="BU151" s="6" t="s">
        <v>51</v>
      </c>
      <c r="BV151" s="5" t="s">
        <v>74</v>
      </c>
      <c r="BW151" s="5"/>
      <c r="BX151" s="5" t="s">
        <v>74</v>
      </c>
      <c r="BY151" s="5"/>
      <c r="BZ151" s="5"/>
      <c r="CA151" s="10" t="s">
        <v>74</v>
      </c>
      <c r="CB151" s="5" t="s">
        <v>74</v>
      </c>
      <c r="CC151" s="5" t="s">
        <v>74</v>
      </c>
      <c r="CD151" s="5" t="s">
        <v>74</v>
      </c>
      <c r="CE151" s="5">
        <v>2</v>
      </c>
      <c r="CF151" s="8"/>
      <c r="CG151" s="5"/>
      <c r="CH151" s="5" t="s">
        <v>74</v>
      </c>
      <c r="CI151" s="5" t="s">
        <v>74</v>
      </c>
      <c r="CJ151" s="8">
        <v>5</v>
      </c>
      <c r="CK151" s="5">
        <v>4</v>
      </c>
      <c r="CL151" s="5" t="s">
        <v>74</v>
      </c>
      <c r="CM151" s="5" t="s">
        <v>74</v>
      </c>
      <c r="CN151" s="5">
        <v>2</v>
      </c>
      <c r="CO151" s="5"/>
      <c r="CP151" s="5" t="s">
        <v>74</v>
      </c>
    </row>
    <row r="152" spans="1:94" ht="25.25" customHeight="1">
      <c r="A152" s="5">
        <v>151</v>
      </c>
      <c r="B152" s="9" t="s">
        <v>226</v>
      </c>
      <c r="C152" s="9">
        <v>2024202077</v>
      </c>
      <c r="D152" s="5" t="s">
        <v>135</v>
      </c>
      <c r="E152" s="5">
        <f>SUM(G152:$XET152)</f>
        <v>35.5</v>
      </c>
      <c r="F152" s="5">
        <f>COUNT(G152:$XFD152)</f>
        <v>6</v>
      </c>
      <c r="G152" s="5"/>
      <c r="H152" s="5"/>
      <c r="I152" s="5">
        <v>4</v>
      </c>
      <c r="J152" s="5"/>
      <c r="K152" s="5">
        <v>9</v>
      </c>
      <c r="L152" s="5"/>
      <c r="M152" s="5"/>
      <c r="N152" s="5"/>
      <c r="O152" s="5"/>
      <c r="P152" s="5"/>
      <c r="Q152" s="5"/>
      <c r="R152" s="5">
        <v>14.5</v>
      </c>
      <c r="S152" s="5"/>
      <c r="T152" s="5"/>
      <c r="U152" s="5"/>
      <c r="V152" s="5"/>
      <c r="W152" s="5"/>
      <c r="X152" s="5"/>
      <c r="Y152" s="5"/>
      <c r="Z152" s="5"/>
      <c r="AA152" s="5"/>
      <c r="AB152" s="5" t="s">
        <v>74</v>
      </c>
      <c r="AC152" s="5">
        <v>2</v>
      </c>
      <c r="AD152" s="5"/>
      <c r="AE152" s="5"/>
      <c r="AF152" s="5"/>
      <c r="AG152" s="5" t="s">
        <v>74</v>
      </c>
      <c r="AH152" s="5" t="s">
        <v>74</v>
      </c>
      <c r="AI152" s="5" t="s">
        <v>74</v>
      </c>
      <c r="AJ152" s="5">
        <v>2</v>
      </c>
      <c r="AK152" s="5">
        <v>4</v>
      </c>
      <c r="AL152" s="5"/>
      <c r="AM152" s="5"/>
      <c r="AN152" s="5"/>
      <c r="AO152" s="5"/>
      <c r="AP152" s="5"/>
      <c r="AQ152" s="5"/>
      <c r="AR152" s="5" t="s">
        <v>74</v>
      </c>
      <c r="AS152" s="5" t="s">
        <v>74</v>
      </c>
      <c r="AT152" s="5" t="s">
        <v>74</v>
      </c>
      <c r="AU152" s="5" t="s">
        <v>74</v>
      </c>
      <c r="AV152" s="5" t="s">
        <v>74</v>
      </c>
      <c r="AW152" s="5" t="s">
        <v>74</v>
      </c>
      <c r="AX152" s="5" t="s">
        <v>74</v>
      </c>
      <c r="AY152" s="5" t="s">
        <v>74</v>
      </c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 t="s">
        <v>74</v>
      </c>
      <c r="BQ152" s="5" t="s">
        <v>74</v>
      </c>
      <c r="BR152" s="5" t="s">
        <v>74</v>
      </c>
      <c r="BS152" s="5"/>
      <c r="BT152" s="5" t="s">
        <v>74</v>
      </c>
      <c r="BU152" s="6" t="s">
        <v>51</v>
      </c>
      <c r="BV152" s="5" t="s">
        <v>74</v>
      </c>
      <c r="BW152" s="5"/>
      <c r="BX152" s="5" t="s">
        <v>74</v>
      </c>
      <c r="BY152" s="5"/>
      <c r="BZ152" s="5"/>
      <c r="CA152" s="10" t="s">
        <v>74</v>
      </c>
      <c r="CB152" s="5" t="s">
        <v>74</v>
      </c>
      <c r="CC152" s="5" t="s">
        <v>74</v>
      </c>
      <c r="CD152" s="5" t="s">
        <v>74</v>
      </c>
      <c r="CE152" s="5" t="s">
        <v>74</v>
      </c>
      <c r="CF152" s="8"/>
      <c r="CG152" s="5"/>
      <c r="CH152" s="5" t="s">
        <v>74</v>
      </c>
      <c r="CI152" s="5" t="s">
        <v>74</v>
      </c>
      <c r="CJ152" s="8" t="s">
        <v>74</v>
      </c>
      <c r="CK152" s="5"/>
      <c r="CL152" s="5" t="s">
        <v>74</v>
      </c>
      <c r="CM152" s="5" t="s">
        <v>74</v>
      </c>
      <c r="CN152" s="5" t="s">
        <v>74</v>
      </c>
      <c r="CO152" s="5"/>
      <c r="CP152" s="5" t="s">
        <v>74</v>
      </c>
    </row>
    <row r="153" spans="1:94" ht="25.25" customHeight="1">
      <c r="A153" s="5">
        <v>152</v>
      </c>
      <c r="B153" s="9" t="s">
        <v>227</v>
      </c>
      <c r="C153" s="9">
        <v>2024202245</v>
      </c>
      <c r="D153" s="5" t="s">
        <v>135</v>
      </c>
      <c r="E153" s="5">
        <f>SUM(G153:$XET153)</f>
        <v>10</v>
      </c>
      <c r="F153" s="5">
        <f>COUNT(G153:$XFD153)</f>
        <v>2</v>
      </c>
      <c r="G153" s="5"/>
      <c r="H153" s="5"/>
      <c r="I153" s="5"/>
      <c r="J153" s="5"/>
      <c r="K153" s="5"/>
      <c r="L153" s="5"/>
      <c r="M153" s="5"/>
      <c r="N153" s="5"/>
      <c r="O153" s="5"/>
      <c r="P153" s="5">
        <v>6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 t="s">
        <v>74</v>
      </c>
      <c r="AC153" s="5" t="s">
        <v>74</v>
      </c>
      <c r="AD153" s="5"/>
      <c r="AE153" s="5"/>
      <c r="AF153" s="5"/>
      <c r="AG153" s="5" t="s">
        <v>74</v>
      </c>
      <c r="AH153" s="5" t="s">
        <v>74</v>
      </c>
      <c r="AI153" s="5" t="s">
        <v>74</v>
      </c>
      <c r="AJ153" s="5" t="s">
        <v>74</v>
      </c>
      <c r="AK153" s="5">
        <v>4</v>
      </c>
      <c r="AL153" s="5"/>
      <c r="AM153" s="5"/>
      <c r="AN153" s="5"/>
      <c r="AO153" s="5"/>
      <c r="AP153" s="5"/>
      <c r="AQ153" s="5"/>
      <c r="AR153" s="5" t="s">
        <v>74</v>
      </c>
      <c r="AS153" s="5" t="s">
        <v>74</v>
      </c>
      <c r="AT153" s="5" t="s">
        <v>74</v>
      </c>
      <c r="AU153" s="5" t="s">
        <v>74</v>
      </c>
      <c r="AV153" s="5" t="s">
        <v>74</v>
      </c>
      <c r="AW153" s="5" t="s">
        <v>74</v>
      </c>
      <c r="AX153" s="5" t="s">
        <v>74</v>
      </c>
      <c r="AY153" s="5" t="s">
        <v>74</v>
      </c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 t="s">
        <v>74</v>
      </c>
      <c r="BQ153" s="5" t="s">
        <v>74</v>
      </c>
      <c r="BR153" s="5" t="s">
        <v>74</v>
      </c>
      <c r="BS153" s="5"/>
      <c r="BT153" s="5" t="s">
        <v>74</v>
      </c>
      <c r="BU153" s="6" t="s">
        <v>51</v>
      </c>
      <c r="BV153" s="5" t="s">
        <v>74</v>
      </c>
      <c r="BW153" s="5"/>
      <c r="BX153" s="5" t="s">
        <v>74</v>
      </c>
      <c r="BY153" s="5"/>
      <c r="BZ153" s="5"/>
      <c r="CA153" s="10" t="s">
        <v>74</v>
      </c>
      <c r="CB153" s="5" t="s">
        <v>74</v>
      </c>
      <c r="CC153" s="5" t="s">
        <v>74</v>
      </c>
      <c r="CD153" s="5" t="s">
        <v>74</v>
      </c>
      <c r="CE153" s="5" t="s">
        <v>74</v>
      </c>
      <c r="CF153" s="8"/>
      <c r="CG153" s="5"/>
      <c r="CH153" s="5" t="s">
        <v>74</v>
      </c>
      <c r="CI153" s="5" t="s">
        <v>74</v>
      </c>
      <c r="CJ153" s="8" t="s">
        <v>74</v>
      </c>
      <c r="CK153" s="5"/>
      <c r="CL153" s="5" t="s">
        <v>74</v>
      </c>
      <c r="CM153" s="5" t="s">
        <v>74</v>
      </c>
      <c r="CN153" s="5" t="s">
        <v>74</v>
      </c>
      <c r="CO153" s="5"/>
      <c r="CP153" s="5" t="s">
        <v>74</v>
      </c>
    </row>
    <row r="154" spans="1:94" ht="25.25" customHeight="1">
      <c r="A154" s="5">
        <v>153</v>
      </c>
      <c r="B154" s="9" t="s">
        <v>228</v>
      </c>
      <c r="C154" s="9">
        <v>2024202264</v>
      </c>
      <c r="D154" s="5" t="s">
        <v>135</v>
      </c>
      <c r="E154" s="5">
        <f>SUM(G154:$XET154)</f>
        <v>148.5</v>
      </c>
      <c r="F154" s="5">
        <f>COUNT(G154:$XFD154)</f>
        <v>10</v>
      </c>
      <c r="G154" s="5">
        <v>48</v>
      </c>
      <c r="H154" s="5"/>
      <c r="I154" s="5"/>
      <c r="J154" s="5"/>
      <c r="K154" s="5">
        <v>9</v>
      </c>
      <c r="L154" s="5"/>
      <c r="M154" s="5"/>
      <c r="N154" s="5">
        <v>2</v>
      </c>
      <c r="O154" s="5"/>
      <c r="P154" s="5"/>
      <c r="Q154" s="5"/>
      <c r="R154" s="5"/>
      <c r="S154" s="5"/>
      <c r="T154" s="5"/>
      <c r="U154" s="5"/>
      <c r="V154" s="5"/>
      <c r="W154" s="5"/>
      <c r="X154" s="5">
        <v>8</v>
      </c>
      <c r="Y154" s="5"/>
      <c r="Z154" s="5"/>
      <c r="AA154" s="5"/>
      <c r="AB154" s="5" t="s">
        <v>74</v>
      </c>
      <c r="AC154" s="5" t="s">
        <v>74</v>
      </c>
      <c r="AD154" s="5"/>
      <c r="AE154" s="5"/>
      <c r="AF154" s="5"/>
      <c r="AG154" s="5" t="s">
        <v>74</v>
      </c>
      <c r="AH154" s="5" t="s">
        <v>74</v>
      </c>
      <c r="AI154" s="5" t="s">
        <v>74</v>
      </c>
      <c r="AJ154" s="5">
        <v>4</v>
      </c>
      <c r="AK154" s="5">
        <v>4</v>
      </c>
      <c r="AL154" s="5"/>
      <c r="AM154" s="5"/>
      <c r="AN154" s="5"/>
      <c r="AO154" s="5"/>
      <c r="AP154" s="5"/>
      <c r="AQ154" s="5"/>
      <c r="AR154" s="5" t="s">
        <v>74</v>
      </c>
      <c r="AS154" s="5" t="s">
        <v>74</v>
      </c>
      <c r="AT154" s="5" t="s">
        <v>74</v>
      </c>
      <c r="AU154" s="5" t="s">
        <v>74</v>
      </c>
      <c r="AV154" s="5" t="s">
        <v>74</v>
      </c>
      <c r="AW154" s="5" t="s">
        <v>74</v>
      </c>
      <c r="AX154" s="5" t="s">
        <v>74</v>
      </c>
      <c r="AY154" s="5">
        <v>40.5</v>
      </c>
      <c r="AZ154" s="5">
        <v>0</v>
      </c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 t="s">
        <v>74</v>
      </c>
      <c r="BQ154" s="5" t="s">
        <v>74</v>
      </c>
      <c r="BR154" s="5">
        <v>32</v>
      </c>
      <c r="BS154" s="5"/>
      <c r="BT154" s="5" t="s">
        <v>74</v>
      </c>
      <c r="BU154" s="6" t="s">
        <v>51</v>
      </c>
      <c r="BV154" s="5">
        <v>1</v>
      </c>
      <c r="BW154" s="5"/>
      <c r="BX154" s="5" t="s">
        <v>74</v>
      </c>
      <c r="BY154" s="5"/>
      <c r="BZ154" s="5"/>
      <c r="CA154" s="10" t="s">
        <v>74</v>
      </c>
      <c r="CB154" s="5" t="s">
        <v>74</v>
      </c>
      <c r="CC154" s="5" t="s">
        <v>74</v>
      </c>
      <c r="CD154" s="5" t="s">
        <v>74</v>
      </c>
      <c r="CE154" s="5" t="s">
        <v>74</v>
      </c>
      <c r="CF154" s="8"/>
      <c r="CG154" s="5"/>
      <c r="CH154" s="5" t="s">
        <v>74</v>
      </c>
      <c r="CI154" s="5" t="s">
        <v>74</v>
      </c>
      <c r="CJ154" s="8" t="s">
        <v>74</v>
      </c>
      <c r="CK154" s="5"/>
      <c r="CL154" s="5" t="s">
        <v>74</v>
      </c>
      <c r="CM154" s="5" t="s">
        <v>74</v>
      </c>
      <c r="CN154" s="5" t="s">
        <v>74</v>
      </c>
      <c r="CO154" s="5"/>
      <c r="CP154" s="5" t="s">
        <v>74</v>
      </c>
    </row>
    <row r="155" spans="1:94" ht="25.25" customHeight="1">
      <c r="A155" s="5">
        <v>154</v>
      </c>
      <c r="B155" s="9" t="s">
        <v>229</v>
      </c>
      <c r="C155" s="9">
        <v>2024202891</v>
      </c>
      <c r="D155" s="5" t="s">
        <v>135</v>
      </c>
      <c r="E155" s="5">
        <f>SUM(G155:$XET155)</f>
        <v>45.5</v>
      </c>
      <c r="F155" s="5">
        <f>COUNT(G155:$XFD155)</f>
        <v>7</v>
      </c>
      <c r="G155" s="5"/>
      <c r="H155" s="5"/>
      <c r="I155" s="5"/>
      <c r="J155" s="5"/>
      <c r="K155" s="5">
        <v>9</v>
      </c>
      <c r="L155" s="5"/>
      <c r="M155" s="5"/>
      <c r="N155" s="5"/>
      <c r="O155" s="5"/>
      <c r="P155" s="5">
        <v>6</v>
      </c>
      <c r="Q155" s="5"/>
      <c r="R155" s="5">
        <v>14.5</v>
      </c>
      <c r="S155" s="5"/>
      <c r="T155" s="5"/>
      <c r="U155" s="5"/>
      <c r="V155" s="5"/>
      <c r="W155" s="5">
        <v>3</v>
      </c>
      <c r="X155" s="5"/>
      <c r="Y155" s="5"/>
      <c r="Z155" s="5"/>
      <c r="AA155" s="5"/>
      <c r="AB155" s="5" t="s">
        <v>74</v>
      </c>
      <c r="AC155" s="5" t="s">
        <v>74</v>
      </c>
      <c r="AD155" s="5"/>
      <c r="AE155" s="5"/>
      <c r="AF155" s="5"/>
      <c r="AG155" s="5" t="s">
        <v>74</v>
      </c>
      <c r="AH155" s="5" t="s">
        <v>74</v>
      </c>
      <c r="AI155" s="5" t="s">
        <v>74</v>
      </c>
      <c r="AJ155" s="5" t="s">
        <v>74</v>
      </c>
      <c r="AK155" s="5" t="s">
        <v>74</v>
      </c>
      <c r="AL155" s="5"/>
      <c r="AM155" s="5"/>
      <c r="AN155" s="5"/>
      <c r="AO155" s="5"/>
      <c r="AP155" s="5"/>
      <c r="AQ155" s="5"/>
      <c r="AR155" s="5" t="s">
        <v>74</v>
      </c>
      <c r="AS155" s="5" t="s">
        <v>74</v>
      </c>
      <c r="AT155" s="5" t="s">
        <v>74</v>
      </c>
      <c r="AU155" s="5" t="s">
        <v>74</v>
      </c>
      <c r="AV155" s="5" t="s">
        <v>74</v>
      </c>
      <c r="AW155" s="5" t="s">
        <v>74</v>
      </c>
      <c r="AX155" s="5" t="s">
        <v>74</v>
      </c>
      <c r="AY155" s="5" t="s">
        <v>74</v>
      </c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 t="s">
        <v>74</v>
      </c>
      <c r="BQ155" s="5" t="s">
        <v>74</v>
      </c>
      <c r="BR155" s="5" t="s">
        <v>74</v>
      </c>
      <c r="BS155" s="5"/>
      <c r="BT155" s="5" t="s">
        <v>74</v>
      </c>
      <c r="BU155" s="6" t="s">
        <v>51</v>
      </c>
      <c r="BV155" s="5" t="s">
        <v>74</v>
      </c>
      <c r="BW155" s="5"/>
      <c r="BX155" s="5" t="s">
        <v>74</v>
      </c>
      <c r="BY155" s="5"/>
      <c r="BZ155" s="5"/>
      <c r="CA155" s="10">
        <v>4</v>
      </c>
      <c r="CB155" s="5" t="s">
        <v>74</v>
      </c>
      <c r="CC155" s="5" t="s">
        <v>74</v>
      </c>
      <c r="CD155" s="5" t="s">
        <v>74</v>
      </c>
      <c r="CE155" s="5" t="s">
        <v>74</v>
      </c>
      <c r="CF155" s="8"/>
      <c r="CG155" s="5"/>
      <c r="CH155" s="5" t="s">
        <v>74</v>
      </c>
      <c r="CI155" s="5" t="s">
        <v>74</v>
      </c>
      <c r="CJ155" s="8" t="s">
        <v>74</v>
      </c>
      <c r="CK155" s="5">
        <v>4</v>
      </c>
      <c r="CL155" s="5" t="s">
        <v>74</v>
      </c>
      <c r="CM155" s="5" t="s">
        <v>74</v>
      </c>
      <c r="CN155" s="5">
        <v>5</v>
      </c>
      <c r="CO155" s="5"/>
      <c r="CP155" s="5" t="s">
        <v>74</v>
      </c>
    </row>
    <row r="156" spans="1:94" ht="25.25" customHeight="1">
      <c r="A156" s="5">
        <v>155</v>
      </c>
      <c r="B156" s="9" t="s">
        <v>230</v>
      </c>
      <c r="C156" s="9">
        <v>2024202059</v>
      </c>
      <c r="D156" s="5" t="s">
        <v>135</v>
      </c>
      <c r="E156" s="5">
        <f>SUM(G156:$XET156)</f>
        <v>72</v>
      </c>
      <c r="F156" s="5">
        <f>COUNT(G156:$XFD156)</f>
        <v>12</v>
      </c>
      <c r="G156" s="5">
        <v>3</v>
      </c>
      <c r="H156" s="5"/>
      <c r="I156" s="5"/>
      <c r="J156" s="5"/>
      <c r="K156" s="5">
        <v>11</v>
      </c>
      <c r="L156" s="5">
        <v>2</v>
      </c>
      <c r="M156" s="5"/>
      <c r="N156" s="5">
        <v>2</v>
      </c>
      <c r="O156" s="5"/>
      <c r="P156" s="5"/>
      <c r="Q156" s="5"/>
      <c r="R156" s="5">
        <v>0.5</v>
      </c>
      <c r="S156" s="5"/>
      <c r="T156" s="5">
        <v>16</v>
      </c>
      <c r="U156" s="5"/>
      <c r="V156" s="5"/>
      <c r="W156" s="5">
        <v>5</v>
      </c>
      <c r="X156" s="5"/>
      <c r="Y156" s="5">
        <v>20.5</v>
      </c>
      <c r="Z156" s="5"/>
      <c r="AA156" s="5"/>
      <c r="AB156" s="5" t="s">
        <v>74</v>
      </c>
      <c r="AC156" s="5" t="s">
        <v>74</v>
      </c>
      <c r="AD156" s="5"/>
      <c r="AE156" s="5"/>
      <c r="AF156" s="5"/>
      <c r="AG156" s="5" t="s">
        <v>74</v>
      </c>
      <c r="AH156" s="5" t="s">
        <v>74</v>
      </c>
      <c r="AI156" s="5" t="s">
        <v>74</v>
      </c>
      <c r="AJ156" s="5">
        <v>2</v>
      </c>
      <c r="AK156" s="5">
        <v>4</v>
      </c>
      <c r="AL156" s="5"/>
      <c r="AM156" s="5"/>
      <c r="AN156" s="5"/>
      <c r="AO156" s="5"/>
      <c r="AP156" s="5"/>
      <c r="AQ156" s="5"/>
      <c r="AR156" s="5" t="s">
        <v>74</v>
      </c>
      <c r="AS156" s="5" t="s">
        <v>74</v>
      </c>
      <c r="AT156" s="5" t="s">
        <v>74</v>
      </c>
      <c r="AU156" s="5" t="s">
        <v>74</v>
      </c>
      <c r="AV156" s="5">
        <v>2</v>
      </c>
      <c r="AW156" s="5" t="s">
        <v>74</v>
      </c>
      <c r="AX156" s="5" t="s">
        <v>74</v>
      </c>
      <c r="AY156" s="5" t="s">
        <v>74</v>
      </c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 t="s">
        <v>74</v>
      </c>
      <c r="BQ156" s="5" t="s">
        <v>74</v>
      </c>
      <c r="BR156" s="5" t="s">
        <v>74</v>
      </c>
      <c r="BS156" s="5"/>
      <c r="BT156" s="5" t="s">
        <v>74</v>
      </c>
      <c r="BU156" s="6" t="s">
        <v>51</v>
      </c>
      <c r="BV156" s="5" t="s">
        <v>74</v>
      </c>
      <c r="BW156" s="5"/>
      <c r="BX156" s="5" t="s">
        <v>74</v>
      </c>
      <c r="BY156" s="5"/>
      <c r="BZ156" s="5"/>
      <c r="CA156" s="10" t="s">
        <v>74</v>
      </c>
      <c r="CB156" s="5" t="s">
        <v>74</v>
      </c>
      <c r="CC156" s="5" t="s">
        <v>74</v>
      </c>
      <c r="CD156" s="5" t="s">
        <v>74</v>
      </c>
      <c r="CE156" s="5" t="s">
        <v>74</v>
      </c>
      <c r="CF156" s="8"/>
      <c r="CG156" s="5"/>
      <c r="CH156" s="5" t="s">
        <v>74</v>
      </c>
      <c r="CI156" s="5" t="s">
        <v>74</v>
      </c>
      <c r="CJ156" s="8">
        <v>4</v>
      </c>
      <c r="CK156" s="5"/>
      <c r="CL156" s="5" t="s">
        <v>74</v>
      </c>
      <c r="CM156" s="5" t="s">
        <v>74</v>
      </c>
      <c r="CN156" s="5" t="s">
        <v>74</v>
      </c>
      <c r="CO156" s="5"/>
      <c r="CP156" s="5" t="s">
        <v>74</v>
      </c>
    </row>
    <row r="157" spans="1:94" ht="25.25" customHeight="1">
      <c r="A157" s="5">
        <v>156</v>
      </c>
      <c r="B157" s="9" t="s">
        <v>231</v>
      </c>
      <c r="C157" s="9">
        <v>2024202102</v>
      </c>
      <c r="D157" s="5" t="s">
        <v>135</v>
      </c>
      <c r="E157" s="5">
        <f>SUM(G157:$XET157)</f>
        <v>30.5</v>
      </c>
      <c r="F157" s="5">
        <f>COUNT(G157:$XFD157)</f>
        <v>2</v>
      </c>
      <c r="G157" s="5"/>
      <c r="H157" s="5"/>
      <c r="I157" s="5"/>
      <c r="J157" s="5"/>
      <c r="K157" s="5"/>
      <c r="L157" s="5"/>
      <c r="M157" s="5"/>
      <c r="N157" s="5"/>
      <c r="O157" s="5"/>
      <c r="P157" s="5">
        <v>6</v>
      </c>
      <c r="Q157" s="5"/>
      <c r="R157" s="5"/>
      <c r="S157" s="5"/>
      <c r="T157" s="5"/>
      <c r="U157" s="5"/>
      <c r="V157" s="5"/>
      <c r="W157" s="5"/>
      <c r="X157" s="5"/>
      <c r="Y157" s="5">
        <v>24.5</v>
      </c>
      <c r="Z157" s="5"/>
      <c r="AA157" s="5"/>
      <c r="AB157" s="5" t="s">
        <v>74</v>
      </c>
      <c r="AC157" s="5" t="s">
        <v>74</v>
      </c>
      <c r="AD157" s="5"/>
      <c r="AE157" s="5"/>
      <c r="AF157" s="5"/>
      <c r="AG157" s="5" t="s">
        <v>74</v>
      </c>
      <c r="AH157" s="5" t="s">
        <v>74</v>
      </c>
      <c r="AI157" s="5" t="s">
        <v>74</v>
      </c>
      <c r="AJ157" s="5" t="s">
        <v>74</v>
      </c>
      <c r="AK157" s="5" t="s">
        <v>74</v>
      </c>
      <c r="AL157" s="5"/>
      <c r="AM157" s="5"/>
      <c r="AN157" s="5"/>
      <c r="AO157" s="5"/>
      <c r="AP157" s="5"/>
      <c r="AQ157" s="5"/>
      <c r="AR157" s="5" t="s">
        <v>74</v>
      </c>
      <c r="AS157" s="5" t="s">
        <v>74</v>
      </c>
      <c r="AT157" s="5" t="s">
        <v>74</v>
      </c>
      <c r="AU157" s="5" t="s">
        <v>74</v>
      </c>
      <c r="AV157" s="5" t="s">
        <v>74</v>
      </c>
      <c r="AW157" s="5" t="s">
        <v>74</v>
      </c>
      <c r="AX157" s="5" t="s">
        <v>74</v>
      </c>
      <c r="AY157" s="5" t="s">
        <v>74</v>
      </c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 t="s">
        <v>74</v>
      </c>
      <c r="BQ157" s="5" t="s">
        <v>74</v>
      </c>
      <c r="BR157" s="5" t="s">
        <v>74</v>
      </c>
      <c r="BS157" s="5"/>
      <c r="BT157" s="5" t="s">
        <v>74</v>
      </c>
      <c r="BU157" s="6" t="s">
        <v>51</v>
      </c>
      <c r="BV157" s="5" t="s">
        <v>74</v>
      </c>
      <c r="BW157" s="5"/>
      <c r="BX157" s="5" t="s">
        <v>74</v>
      </c>
      <c r="BY157" s="5"/>
      <c r="BZ157" s="5"/>
      <c r="CA157" s="10" t="s">
        <v>74</v>
      </c>
      <c r="CB157" s="5" t="s">
        <v>74</v>
      </c>
      <c r="CC157" s="5" t="s">
        <v>74</v>
      </c>
      <c r="CD157" s="5" t="s">
        <v>74</v>
      </c>
      <c r="CE157" s="5" t="s">
        <v>74</v>
      </c>
      <c r="CF157" s="8"/>
      <c r="CG157" s="5"/>
      <c r="CH157" s="5" t="s">
        <v>74</v>
      </c>
      <c r="CI157" s="5" t="s">
        <v>74</v>
      </c>
      <c r="CJ157" s="8" t="s">
        <v>74</v>
      </c>
      <c r="CK157" s="5"/>
      <c r="CL157" s="5" t="s">
        <v>74</v>
      </c>
      <c r="CM157" s="5" t="s">
        <v>74</v>
      </c>
      <c r="CN157" s="5" t="s">
        <v>74</v>
      </c>
      <c r="CO157" s="5"/>
      <c r="CP157" s="5" t="s">
        <v>74</v>
      </c>
    </row>
    <row r="158" spans="1:94" ht="25.25" customHeight="1">
      <c r="A158" s="5">
        <v>157</v>
      </c>
      <c r="B158" s="9" t="s">
        <v>232</v>
      </c>
      <c r="C158" s="9">
        <v>2024202267</v>
      </c>
      <c r="D158" s="5" t="s">
        <v>135</v>
      </c>
      <c r="E158" s="5">
        <f>SUM(G158:$XET158)</f>
        <v>120.5</v>
      </c>
      <c r="F158" s="5">
        <f>COUNT(G158:$XFD158)</f>
        <v>11</v>
      </c>
      <c r="G158" s="5"/>
      <c r="H158" s="5"/>
      <c r="I158" s="5"/>
      <c r="J158" s="5"/>
      <c r="K158" s="5"/>
      <c r="L158" s="5"/>
      <c r="M158" s="5"/>
      <c r="N158" s="5">
        <v>1</v>
      </c>
      <c r="O158" s="5"/>
      <c r="P158" s="5">
        <v>6</v>
      </c>
      <c r="Q158" s="5"/>
      <c r="R158" s="5">
        <v>14.5</v>
      </c>
      <c r="S158" s="5">
        <v>20</v>
      </c>
      <c r="T158" s="5"/>
      <c r="U158" s="5"/>
      <c r="V158" s="5"/>
      <c r="W158" s="5"/>
      <c r="X158" s="5"/>
      <c r="Y158" s="5"/>
      <c r="Z158" s="5"/>
      <c r="AA158" s="5"/>
      <c r="AB158" s="5" t="s">
        <v>74</v>
      </c>
      <c r="AC158" s="5" t="s">
        <v>74</v>
      </c>
      <c r="AD158" s="5"/>
      <c r="AE158" s="5"/>
      <c r="AF158" s="5"/>
      <c r="AG158" s="5" t="s">
        <v>74</v>
      </c>
      <c r="AH158" s="5" t="s">
        <v>74</v>
      </c>
      <c r="AI158" s="5" t="s">
        <v>74</v>
      </c>
      <c r="AJ158" s="5">
        <v>2</v>
      </c>
      <c r="AK158" s="5">
        <v>4</v>
      </c>
      <c r="AL158" s="5"/>
      <c r="AM158" s="5"/>
      <c r="AN158" s="5"/>
      <c r="AO158" s="5"/>
      <c r="AP158" s="5"/>
      <c r="AQ158" s="5"/>
      <c r="AR158" s="5" t="s">
        <v>74</v>
      </c>
      <c r="AS158" s="5" t="s">
        <v>74</v>
      </c>
      <c r="AT158" s="5" t="s">
        <v>74</v>
      </c>
      <c r="AU158" s="5" t="s">
        <v>74</v>
      </c>
      <c r="AV158" s="5" t="s">
        <v>74</v>
      </c>
      <c r="AW158" s="5">
        <v>6</v>
      </c>
      <c r="AX158" s="5" t="s">
        <v>74</v>
      </c>
      <c r="AY158" s="5">
        <v>40</v>
      </c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 t="s">
        <v>74</v>
      </c>
      <c r="BQ158" s="5" t="s">
        <v>74</v>
      </c>
      <c r="BR158" s="5">
        <v>24</v>
      </c>
      <c r="BS158" s="5"/>
      <c r="BT158" s="5" t="s">
        <v>74</v>
      </c>
      <c r="BU158" s="6" t="s">
        <v>51</v>
      </c>
      <c r="BV158" s="5">
        <v>1</v>
      </c>
      <c r="BW158" s="5"/>
      <c r="BX158" s="5" t="s">
        <v>74</v>
      </c>
      <c r="BY158" s="5"/>
      <c r="BZ158" s="5"/>
      <c r="CA158" s="10" t="s">
        <v>74</v>
      </c>
      <c r="CB158" s="5" t="s">
        <v>74</v>
      </c>
      <c r="CC158" s="5" t="s">
        <v>74</v>
      </c>
      <c r="CD158" s="5" t="s">
        <v>74</v>
      </c>
      <c r="CE158" s="5">
        <v>2</v>
      </c>
      <c r="CF158" s="8"/>
      <c r="CG158" s="5"/>
      <c r="CH158" s="5" t="s">
        <v>74</v>
      </c>
      <c r="CI158" s="5" t="s">
        <v>74</v>
      </c>
      <c r="CJ158" s="8" t="s">
        <v>74</v>
      </c>
      <c r="CK158" s="5"/>
      <c r="CL158" s="5" t="s">
        <v>74</v>
      </c>
      <c r="CM158" s="5" t="s">
        <v>74</v>
      </c>
      <c r="CN158" s="5" t="s">
        <v>74</v>
      </c>
      <c r="CO158" s="5"/>
      <c r="CP158" s="5" t="s">
        <v>74</v>
      </c>
    </row>
    <row r="159" spans="1:94" ht="25.25" customHeight="1">
      <c r="A159" s="5">
        <v>158</v>
      </c>
      <c r="B159" s="9" t="s">
        <v>233</v>
      </c>
      <c r="C159" s="9">
        <v>2024201963</v>
      </c>
      <c r="D159" s="5" t="s">
        <v>135</v>
      </c>
      <c r="E159" s="5">
        <f>SUM(G159:$XET159)</f>
        <v>23.5</v>
      </c>
      <c r="F159" s="5">
        <f>COUNT(G159:$XFD159)</f>
        <v>4</v>
      </c>
      <c r="G159" s="5"/>
      <c r="H159" s="5"/>
      <c r="I159" s="5"/>
      <c r="J159" s="5"/>
      <c r="K159" s="5"/>
      <c r="L159" s="5"/>
      <c r="M159" s="5"/>
      <c r="N159" s="5"/>
      <c r="O159" s="5">
        <v>2</v>
      </c>
      <c r="P159" s="5"/>
      <c r="Q159" s="5"/>
      <c r="R159" s="5"/>
      <c r="S159" s="5"/>
      <c r="T159" s="5">
        <v>16</v>
      </c>
      <c r="U159" s="5"/>
      <c r="V159" s="5"/>
      <c r="W159" s="5"/>
      <c r="X159" s="5"/>
      <c r="Y159" s="5"/>
      <c r="Z159" s="5"/>
      <c r="AA159" s="5"/>
      <c r="AB159" s="5" t="s">
        <v>74</v>
      </c>
      <c r="AC159" s="5" t="s">
        <v>74</v>
      </c>
      <c r="AD159" s="5"/>
      <c r="AE159" s="5"/>
      <c r="AF159" s="5"/>
      <c r="AG159" s="5" t="s">
        <v>74</v>
      </c>
      <c r="AH159" s="5" t="s">
        <v>74</v>
      </c>
      <c r="AI159" s="5" t="s">
        <v>74</v>
      </c>
      <c r="AJ159" s="5" t="s">
        <v>74</v>
      </c>
      <c r="AK159" s="5" t="s">
        <v>74</v>
      </c>
      <c r="AL159" s="5"/>
      <c r="AM159" s="5"/>
      <c r="AN159" s="5"/>
      <c r="AO159" s="5"/>
      <c r="AP159" s="5"/>
      <c r="AQ159" s="5"/>
      <c r="AR159" s="5" t="s">
        <v>74</v>
      </c>
      <c r="AS159" s="5" t="s">
        <v>74</v>
      </c>
      <c r="AT159" s="5" t="s">
        <v>74</v>
      </c>
      <c r="AU159" s="5" t="s">
        <v>74</v>
      </c>
      <c r="AV159" s="5" t="s">
        <v>74</v>
      </c>
      <c r="AW159" s="5" t="s">
        <v>74</v>
      </c>
      <c r="AX159" s="5" t="s">
        <v>74</v>
      </c>
      <c r="AY159" s="5" t="s">
        <v>74</v>
      </c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 t="s">
        <v>74</v>
      </c>
      <c r="BQ159" s="5" t="s">
        <v>74</v>
      </c>
      <c r="BR159" s="5" t="s">
        <v>74</v>
      </c>
      <c r="BS159" s="5"/>
      <c r="BT159" s="5" t="s">
        <v>74</v>
      </c>
      <c r="BU159" s="6" t="s">
        <v>51</v>
      </c>
      <c r="BV159" s="5" t="s">
        <v>74</v>
      </c>
      <c r="BW159" s="5"/>
      <c r="BX159" s="5">
        <v>3.5</v>
      </c>
      <c r="BY159" s="5"/>
      <c r="BZ159" s="5"/>
      <c r="CA159" s="10" t="s">
        <v>74</v>
      </c>
      <c r="CB159" s="5" t="s">
        <v>74</v>
      </c>
      <c r="CC159" s="5" t="s">
        <v>74</v>
      </c>
      <c r="CD159" s="5" t="s">
        <v>74</v>
      </c>
      <c r="CE159" s="5">
        <v>2</v>
      </c>
      <c r="CF159" s="8"/>
      <c r="CG159" s="5"/>
      <c r="CH159" s="5" t="s">
        <v>74</v>
      </c>
      <c r="CI159" s="5" t="s">
        <v>74</v>
      </c>
      <c r="CJ159" s="8" t="s">
        <v>74</v>
      </c>
      <c r="CK159" s="5"/>
      <c r="CL159" s="5" t="s">
        <v>74</v>
      </c>
      <c r="CM159" s="5" t="s">
        <v>74</v>
      </c>
      <c r="CN159" s="5" t="s">
        <v>74</v>
      </c>
      <c r="CO159" s="5"/>
      <c r="CP159" s="5" t="s">
        <v>74</v>
      </c>
    </row>
    <row r="160" spans="1:94" ht="25.25" customHeight="1">
      <c r="A160" s="5">
        <v>159</v>
      </c>
      <c r="B160" s="9" t="s">
        <v>234</v>
      </c>
      <c r="C160" s="9">
        <v>2024201968</v>
      </c>
      <c r="D160" s="5" t="s">
        <v>135</v>
      </c>
      <c r="E160" s="5">
        <f>SUM(G160:$XET160)</f>
        <v>57</v>
      </c>
      <c r="F160" s="5">
        <f>COUNT(G160:$XFD160)</f>
        <v>5</v>
      </c>
      <c r="G160" s="5"/>
      <c r="H160" s="5"/>
      <c r="I160" s="5"/>
      <c r="J160" s="5"/>
      <c r="K160" s="5">
        <v>9</v>
      </c>
      <c r="L160" s="5"/>
      <c r="M160" s="5"/>
      <c r="N160" s="5"/>
      <c r="O160" s="5"/>
      <c r="P160" s="5"/>
      <c r="Q160" s="5"/>
      <c r="R160" s="5"/>
      <c r="S160" s="5"/>
      <c r="T160" s="5">
        <v>16</v>
      </c>
      <c r="U160" s="5"/>
      <c r="V160" s="5"/>
      <c r="W160" s="5"/>
      <c r="X160" s="5"/>
      <c r="Y160" s="5"/>
      <c r="Z160" s="5"/>
      <c r="AA160" s="5"/>
      <c r="AB160" s="5" t="s">
        <v>74</v>
      </c>
      <c r="AC160" s="5" t="s">
        <v>74</v>
      </c>
      <c r="AD160" s="5"/>
      <c r="AE160" s="5"/>
      <c r="AF160" s="5"/>
      <c r="AG160" s="5" t="s">
        <v>74</v>
      </c>
      <c r="AH160" s="5" t="s">
        <v>74</v>
      </c>
      <c r="AI160" s="5">
        <v>12</v>
      </c>
      <c r="AJ160" s="5" t="s">
        <v>74</v>
      </c>
      <c r="AK160" s="5">
        <v>4</v>
      </c>
      <c r="AL160" s="5"/>
      <c r="AM160" s="5"/>
      <c r="AN160" s="5"/>
      <c r="AO160" s="5"/>
      <c r="AP160" s="5"/>
      <c r="AQ160" s="5"/>
      <c r="AR160" s="5" t="s">
        <v>74</v>
      </c>
      <c r="AS160" s="5" t="s">
        <v>74</v>
      </c>
      <c r="AT160" s="5" t="s">
        <v>74</v>
      </c>
      <c r="AU160" s="5" t="s">
        <v>74</v>
      </c>
      <c r="AV160" s="5" t="s">
        <v>74</v>
      </c>
      <c r="AW160" s="5" t="s">
        <v>74</v>
      </c>
      <c r="AX160" s="5" t="s">
        <v>74</v>
      </c>
      <c r="AY160" s="5" t="s">
        <v>74</v>
      </c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 t="s">
        <v>74</v>
      </c>
      <c r="BQ160" s="5" t="s">
        <v>74</v>
      </c>
      <c r="BR160" s="5" t="s">
        <v>74</v>
      </c>
      <c r="BS160" s="5"/>
      <c r="BT160" s="5" t="s">
        <v>74</v>
      </c>
      <c r="BU160" s="6" t="s">
        <v>51</v>
      </c>
      <c r="BV160" s="5" t="s">
        <v>74</v>
      </c>
      <c r="BW160" s="5"/>
      <c r="BX160" s="5" t="s">
        <v>74</v>
      </c>
      <c r="BY160" s="5"/>
      <c r="BZ160" s="5"/>
      <c r="CA160" s="10" t="s">
        <v>74</v>
      </c>
      <c r="CB160" s="5" t="s">
        <v>74</v>
      </c>
      <c r="CC160" s="5" t="s">
        <v>74</v>
      </c>
      <c r="CD160" s="5" t="s">
        <v>74</v>
      </c>
      <c r="CE160" s="5" t="s">
        <v>74</v>
      </c>
      <c r="CF160" s="8"/>
      <c r="CG160" s="5"/>
      <c r="CH160" s="5" t="s">
        <v>74</v>
      </c>
      <c r="CI160" s="5">
        <v>16</v>
      </c>
      <c r="CJ160" s="8" t="s">
        <v>74</v>
      </c>
      <c r="CK160" s="5"/>
      <c r="CL160" s="5" t="s">
        <v>74</v>
      </c>
      <c r="CM160" s="5" t="s">
        <v>74</v>
      </c>
      <c r="CN160" s="5" t="s">
        <v>74</v>
      </c>
      <c r="CO160" s="5"/>
      <c r="CP160" s="5" t="s">
        <v>74</v>
      </c>
    </row>
    <row r="161" spans="1:94" ht="25.25" customHeight="1">
      <c r="A161" s="5">
        <v>160</v>
      </c>
      <c r="B161" s="9" t="s">
        <v>235</v>
      </c>
      <c r="C161" s="9">
        <v>2024201981</v>
      </c>
      <c r="D161" s="5" t="s">
        <v>135</v>
      </c>
      <c r="E161" s="5">
        <f>SUM(G161:$XET161)</f>
        <v>72</v>
      </c>
      <c r="F161" s="5">
        <f>COUNT(G161:$XFD161)</f>
        <v>8</v>
      </c>
      <c r="G161" s="5"/>
      <c r="H161" s="5"/>
      <c r="I161" s="5"/>
      <c r="J161" s="5"/>
      <c r="K161" s="5">
        <v>9</v>
      </c>
      <c r="L161" s="5">
        <v>5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>
        <v>20</v>
      </c>
      <c r="Y161" s="5">
        <v>15.5</v>
      </c>
      <c r="Z161" s="5"/>
      <c r="AA161" s="5"/>
      <c r="AB161" s="5" t="s">
        <v>74</v>
      </c>
      <c r="AC161" s="5" t="s">
        <v>74</v>
      </c>
      <c r="AD161" s="5"/>
      <c r="AE161" s="5"/>
      <c r="AF161" s="5"/>
      <c r="AG161" s="5" t="s">
        <v>74</v>
      </c>
      <c r="AH161" s="5">
        <v>4.5</v>
      </c>
      <c r="AI161" s="5">
        <v>12</v>
      </c>
      <c r="AJ161" s="5" t="s">
        <v>74</v>
      </c>
      <c r="AK161" s="5">
        <v>4</v>
      </c>
      <c r="AL161" s="5"/>
      <c r="AM161" s="5"/>
      <c r="AN161" s="5"/>
      <c r="AO161" s="5"/>
      <c r="AP161" s="5"/>
      <c r="AQ161" s="5"/>
      <c r="AR161" s="5" t="s">
        <v>74</v>
      </c>
      <c r="AS161" s="5" t="s">
        <v>74</v>
      </c>
      <c r="AT161" s="5" t="s">
        <v>74</v>
      </c>
      <c r="AU161" s="5" t="s">
        <v>74</v>
      </c>
      <c r="AV161" s="5" t="s">
        <v>74</v>
      </c>
      <c r="AW161" s="5" t="s">
        <v>74</v>
      </c>
      <c r="AX161" s="5" t="s">
        <v>74</v>
      </c>
      <c r="AY161" s="5" t="s">
        <v>74</v>
      </c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 t="s">
        <v>74</v>
      </c>
      <c r="BQ161" s="5" t="s">
        <v>74</v>
      </c>
      <c r="BR161" s="5" t="s">
        <v>74</v>
      </c>
      <c r="BS161" s="5"/>
      <c r="BT161" s="5" t="s">
        <v>74</v>
      </c>
      <c r="BU161" s="6" t="s">
        <v>51</v>
      </c>
      <c r="BV161" s="5" t="s">
        <v>74</v>
      </c>
      <c r="BW161" s="5"/>
      <c r="BX161" s="5" t="s">
        <v>74</v>
      </c>
      <c r="BY161" s="5"/>
      <c r="BZ161" s="5"/>
      <c r="CA161" s="10" t="s">
        <v>74</v>
      </c>
      <c r="CB161" s="5" t="s">
        <v>74</v>
      </c>
      <c r="CC161" s="5" t="s">
        <v>74</v>
      </c>
      <c r="CD161" s="5" t="s">
        <v>74</v>
      </c>
      <c r="CE161" s="5">
        <v>2</v>
      </c>
      <c r="CF161" s="8"/>
      <c r="CG161" s="5"/>
      <c r="CH161" s="5" t="s">
        <v>74</v>
      </c>
      <c r="CI161" s="5" t="s">
        <v>74</v>
      </c>
      <c r="CJ161" s="8" t="s">
        <v>74</v>
      </c>
      <c r="CK161" s="5"/>
      <c r="CL161" s="5" t="s">
        <v>74</v>
      </c>
      <c r="CM161" s="5" t="s">
        <v>74</v>
      </c>
      <c r="CN161" s="5" t="s">
        <v>74</v>
      </c>
      <c r="CO161" s="5"/>
      <c r="CP161" s="5" t="s">
        <v>74</v>
      </c>
    </row>
    <row r="162" spans="1:94" ht="25.25" customHeight="1">
      <c r="A162" s="5">
        <v>161</v>
      </c>
      <c r="B162" s="9" t="s">
        <v>236</v>
      </c>
      <c r="C162" s="9">
        <v>2024201993</v>
      </c>
      <c r="D162" s="5" t="s">
        <v>135</v>
      </c>
      <c r="E162" s="5">
        <f>SUM(G162:$XET162)</f>
        <v>0</v>
      </c>
      <c r="F162" s="5">
        <f>COUNT(G162:$XFD162)</f>
        <v>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 t="s">
        <v>74</v>
      </c>
      <c r="AC162" s="5" t="s">
        <v>74</v>
      </c>
      <c r="AD162" s="5"/>
      <c r="AE162" s="5"/>
      <c r="AF162" s="5"/>
      <c r="AG162" s="5" t="s">
        <v>74</v>
      </c>
      <c r="AH162" s="5" t="s">
        <v>74</v>
      </c>
      <c r="AI162" s="5" t="s">
        <v>74</v>
      </c>
      <c r="AJ162" s="5" t="s">
        <v>74</v>
      </c>
      <c r="AK162" s="5" t="s">
        <v>74</v>
      </c>
      <c r="AL162" s="5"/>
      <c r="AM162" s="5"/>
      <c r="AN162" s="5"/>
      <c r="AO162" s="5"/>
      <c r="AP162" s="5"/>
      <c r="AQ162" s="5"/>
      <c r="AR162" s="5" t="s">
        <v>74</v>
      </c>
      <c r="AS162" s="5" t="s">
        <v>74</v>
      </c>
      <c r="AT162" s="5" t="s">
        <v>74</v>
      </c>
      <c r="AU162" s="5" t="s">
        <v>74</v>
      </c>
      <c r="AV162" s="5" t="s">
        <v>74</v>
      </c>
      <c r="AW162" s="5" t="s">
        <v>74</v>
      </c>
      <c r="AX162" s="5" t="s">
        <v>74</v>
      </c>
      <c r="AY162" s="5" t="s">
        <v>74</v>
      </c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 t="s">
        <v>74</v>
      </c>
      <c r="BQ162" s="5" t="s">
        <v>74</v>
      </c>
      <c r="BR162" s="5" t="s">
        <v>74</v>
      </c>
      <c r="BS162" s="5"/>
      <c r="BT162" s="5" t="s">
        <v>74</v>
      </c>
      <c r="BU162" s="6" t="s">
        <v>51</v>
      </c>
      <c r="BV162" s="5" t="s">
        <v>74</v>
      </c>
      <c r="BW162" s="5"/>
      <c r="BX162" s="5" t="s">
        <v>74</v>
      </c>
      <c r="BY162" s="5"/>
      <c r="BZ162" s="5"/>
      <c r="CA162" s="10" t="s">
        <v>74</v>
      </c>
      <c r="CB162" s="5" t="s">
        <v>74</v>
      </c>
      <c r="CC162" s="5" t="s">
        <v>74</v>
      </c>
      <c r="CD162" s="5" t="s">
        <v>74</v>
      </c>
      <c r="CE162" s="5" t="s">
        <v>74</v>
      </c>
      <c r="CF162" s="8"/>
      <c r="CG162" s="5"/>
      <c r="CH162" s="5" t="s">
        <v>74</v>
      </c>
      <c r="CI162" s="5" t="s">
        <v>74</v>
      </c>
      <c r="CJ162" s="8" t="s">
        <v>74</v>
      </c>
      <c r="CK162" s="5"/>
      <c r="CL162" s="5" t="s">
        <v>74</v>
      </c>
      <c r="CM162" s="5" t="s">
        <v>74</v>
      </c>
      <c r="CN162" s="5" t="s">
        <v>74</v>
      </c>
      <c r="CO162" s="5"/>
      <c r="CP162" s="5" t="s">
        <v>74</v>
      </c>
    </row>
    <row r="163" spans="1:94" ht="25.25" customHeight="1">
      <c r="A163" s="5">
        <v>162</v>
      </c>
      <c r="B163" s="9" t="s">
        <v>237</v>
      </c>
      <c r="C163" s="9">
        <v>2024202002</v>
      </c>
      <c r="D163" s="5" t="s">
        <v>135</v>
      </c>
      <c r="E163" s="5">
        <f>SUM(G163:$XET163)</f>
        <v>10</v>
      </c>
      <c r="F163" s="5">
        <f>COUNT(G163:$XFD163)</f>
        <v>3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 t="s">
        <v>74</v>
      </c>
      <c r="AC163" s="5" t="s">
        <v>74</v>
      </c>
      <c r="AD163" s="5"/>
      <c r="AE163" s="5"/>
      <c r="AF163" s="5"/>
      <c r="AG163" s="5" t="s">
        <v>74</v>
      </c>
      <c r="AH163" s="5" t="s">
        <v>74</v>
      </c>
      <c r="AI163" s="5" t="s">
        <v>74</v>
      </c>
      <c r="AJ163" s="5">
        <v>2</v>
      </c>
      <c r="AK163" s="5">
        <v>4</v>
      </c>
      <c r="AL163" s="5"/>
      <c r="AM163" s="5"/>
      <c r="AN163" s="5"/>
      <c r="AO163" s="5"/>
      <c r="AP163" s="5"/>
      <c r="AQ163" s="5"/>
      <c r="AR163" s="5" t="s">
        <v>74</v>
      </c>
      <c r="AS163" s="5" t="s">
        <v>74</v>
      </c>
      <c r="AT163" s="5" t="s">
        <v>74</v>
      </c>
      <c r="AU163" s="5" t="s">
        <v>74</v>
      </c>
      <c r="AV163" s="5" t="s">
        <v>74</v>
      </c>
      <c r="AW163" s="5" t="s">
        <v>74</v>
      </c>
      <c r="AX163" s="5" t="s">
        <v>74</v>
      </c>
      <c r="AY163" s="5" t="s">
        <v>74</v>
      </c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 t="s">
        <v>74</v>
      </c>
      <c r="BQ163" s="5" t="s">
        <v>74</v>
      </c>
      <c r="BR163" s="5" t="s">
        <v>74</v>
      </c>
      <c r="BS163" s="5"/>
      <c r="BT163" s="5" t="s">
        <v>74</v>
      </c>
      <c r="BU163" s="6" t="s">
        <v>51</v>
      </c>
      <c r="BV163" s="5" t="s">
        <v>74</v>
      </c>
      <c r="BW163" s="5"/>
      <c r="BX163" s="5" t="s">
        <v>74</v>
      </c>
      <c r="BY163" s="5"/>
      <c r="BZ163" s="5"/>
      <c r="CA163" s="10">
        <v>4</v>
      </c>
      <c r="CB163" s="5" t="s">
        <v>74</v>
      </c>
      <c r="CC163" s="5" t="s">
        <v>74</v>
      </c>
      <c r="CD163" s="5" t="s">
        <v>74</v>
      </c>
      <c r="CE163" s="5" t="s">
        <v>74</v>
      </c>
      <c r="CF163" s="8"/>
      <c r="CG163" s="5"/>
      <c r="CH163" s="5" t="s">
        <v>74</v>
      </c>
      <c r="CI163" s="5" t="s">
        <v>74</v>
      </c>
      <c r="CJ163" s="8" t="s">
        <v>74</v>
      </c>
      <c r="CK163" s="5"/>
      <c r="CL163" s="5" t="s">
        <v>74</v>
      </c>
      <c r="CM163" s="5" t="s">
        <v>74</v>
      </c>
      <c r="CN163" s="5" t="s">
        <v>74</v>
      </c>
      <c r="CO163" s="5"/>
      <c r="CP163" s="5" t="s">
        <v>74</v>
      </c>
    </row>
    <row r="164" spans="1:94" ht="25.25" customHeight="1">
      <c r="A164" s="5">
        <v>163</v>
      </c>
      <c r="B164" s="9" t="s">
        <v>238</v>
      </c>
      <c r="C164" s="9">
        <v>2024201975</v>
      </c>
      <c r="D164" s="5" t="s">
        <v>135</v>
      </c>
      <c r="E164" s="5">
        <f>SUM(G164:$XET164)</f>
        <v>19</v>
      </c>
      <c r="F164" s="5">
        <f>COUNT(G164:$XFD164)</f>
        <v>4</v>
      </c>
      <c r="G164" s="5"/>
      <c r="H164" s="5"/>
      <c r="I164" s="5"/>
      <c r="J164" s="5"/>
      <c r="K164" s="5"/>
      <c r="L164" s="5"/>
      <c r="M164" s="5"/>
      <c r="N164" s="5">
        <v>1</v>
      </c>
      <c r="O164" s="5"/>
      <c r="P164" s="5"/>
      <c r="Q164" s="5"/>
      <c r="R164" s="5"/>
      <c r="S164" s="5"/>
      <c r="T164" s="5"/>
      <c r="U164" s="5">
        <v>4</v>
      </c>
      <c r="V164" s="5"/>
      <c r="W164" s="5"/>
      <c r="X164" s="5"/>
      <c r="Y164" s="5"/>
      <c r="Z164" s="5"/>
      <c r="AA164" s="5"/>
      <c r="AB164" s="5" t="s">
        <v>74</v>
      </c>
      <c r="AC164" s="5" t="s">
        <v>74</v>
      </c>
      <c r="AD164" s="5"/>
      <c r="AE164" s="5"/>
      <c r="AF164" s="5"/>
      <c r="AG164" s="5" t="s">
        <v>74</v>
      </c>
      <c r="AH164" s="5" t="s">
        <v>74</v>
      </c>
      <c r="AI164" s="5">
        <v>12</v>
      </c>
      <c r="AJ164" s="5">
        <v>2</v>
      </c>
      <c r="AK164" s="5" t="s">
        <v>74</v>
      </c>
      <c r="AL164" s="5"/>
      <c r="AM164" s="5"/>
      <c r="AN164" s="5"/>
      <c r="AO164" s="5"/>
      <c r="AP164" s="5"/>
      <c r="AQ164" s="5"/>
      <c r="AR164" s="5" t="s">
        <v>74</v>
      </c>
      <c r="AS164" s="5" t="s">
        <v>74</v>
      </c>
      <c r="AT164" s="5" t="s">
        <v>74</v>
      </c>
      <c r="AU164" s="5" t="s">
        <v>74</v>
      </c>
      <c r="AV164" s="5" t="s">
        <v>74</v>
      </c>
      <c r="AW164" s="5" t="s">
        <v>74</v>
      </c>
      <c r="AX164" s="5" t="s">
        <v>74</v>
      </c>
      <c r="AY164" s="5" t="s">
        <v>74</v>
      </c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 t="s">
        <v>74</v>
      </c>
      <c r="BQ164" s="5" t="s">
        <v>74</v>
      </c>
      <c r="BR164" s="5" t="s">
        <v>74</v>
      </c>
      <c r="BS164" s="5"/>
      <c r="BT164" s="5" t="s">
        <v>74</v>
      </c>
      <c r="BU164" s="6" t="s">
        <v>51</v>
      </c>
      <c r="BV164" s="5" t="s">
        <v>74</v>
      </c>
      <c r="BW164" s="5"/>
      <c r="BX164" s="5" t="s">
        <v>74</v>
      </c>
      <c r="BY164" s="5"/>
      <c r="BZ164" s="5"/>
      <c r="CA164" s="10" t="s">
        <v>74</v>
      </c>
      <c r="CB164" s="5" t="s">
        <v>74</v>
      </c>
      <c r="CC164" s="5" t="s">
        <v>74</v>
      </c>
      <c r="CD164" s="5" t="s">
        <v>74</v>
      </c>
      <c r="CE164" s="5" t="s">
        <v>74</v>
      </c>
      <c r="CF164" s="8"/>
      <c r="CG164" s="5"/>
      <c r="CH164" s="5" t="s">
        <v>74</v>
      </c>
      <c r="CI164" s="5" t="s">
        <v>74</v>
      </c>
      <c r="CJ164" s="8" t="s">
        <v>74</v>
      </c>
      <c r="CK164" s="5"/>
      <c r="CL164" s="5" t="s">
        <v>74</v>
      </c>
      <c r="CM164" s="5" t="s">
        <v>74</v>
      </c>
      <c r="CN164" s="5" t="s">
        <v>74</v>
      </c>
      <c r="CO164" s="5"/>
      <c r="CP164" s="5" t="s">
        <v>74</v>
      </c>
    </row>
    <row r="165" spans="1:94" ht="25.25" customHeight="1">
      <c r="A165" s="5">
        <v>164</v>
      </c>
      <c r="B165" s="9" t="s">
        <v>239</v>
      </c>
      <c r="C165" s="9">
        <v>2024202017</v>
      </c>
      <c r="D165" s="5" t="s">
        <v>135</v>
      </c>
      <c r="E165" s="5">
        <f>SUM(G165:$XET165)</f>
        <v>30</v>
      </c>
      <c r="F165" s="5">
        <f>COUNT(G165:$XFD165)</f>
        <v>4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>
        <v>6</v>
      </c>
      <c r="Y165" s="5"/>
      <c r="Z165" s="5"/>
      <c r="AA165" s="5"/>
      <c r="AB165" s="5" t="s">
        <v>74</v>
      </c>
      <c r="AC165" s="5" t="s">
        <v>74</v>
      </c>
      <c r="AD165" s="5"/>
      <c r="AE165" s="5"/>
      <c r="AF165" s="5"/>
      <c r="AG165" s="5" t="s">
        <v>74</v>
      </c>
      <c r="AH165" s="5" t="s">
        <v>74</v>
      </c>
      <c r="AI165" s="5" t="s">
        <v>74</v>
      </c>
      <c r="AJ165" s="5" t="s">
        <v>74</v>
      </c>
      <c r="AK165" s="5">
        <v>4</v>
      </c>
      <c r="AL165" s="5"/>
      <c r="AM165" s="5"/>
      <c r="AN165" s="5"/>
      <c r="AO165" s="5"/>
      <c r="AP165" s="5"/>
      <c r="AQ165" s="5"/>
      <c r="AR165" s="5" t="s">
        <v>74</v>
      </c>
      <c r="AS165" s="5" t="s">
        <v>74</v>
      </c>
      <c r="AT165" s="5" t="s">
        <v>74</v>
      </c>
      <c r="AU165" s="5" t="s">
        <v>74</v>
      </c>
      <c r="AV165" s="5" t="s">
        <v>74</v>
      </c>
      <c r="AW165" s="5" t="s">
        <v>74</v>
      </c>
      <c r="AX165" s="5" t="s">
        <v>74</v>
      </c>
      <c r="AY165" s="5" t="s">
        <v>74</v>
      </c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 t="s">
        <v>74</v>
      </c>
      <c r="BQ165" s="5" t="s">
        <v>74</v>
      </c>
      <c r="BR165" s="5" t="s">
        <v>74</v>
      </c>
      <c r="BS165" s="5"/>
      <c r="BT165" s="5" t="s">
        <v>74</v>
      </c>
      <c r="BU165" s="6" t="s">
        <v>51</v>
      </c>
      <c r="BV165" s="5" t="s">
        <v>74</v>
      </c>
      <c r="BW165" s="5"/>
      <c r="BX165" s="5" t="s">
        <v>74</v>
      </c>
      <c r="BY165" s="5"/>
      <c r="BZ165" s="5"/>
      <c r="CA165" s="10">
        <v>4</v>
      </c>
      <c r="CB165" s="5" t="s">
        <v>74</v>
      </c>
      <c r="CC165" s="5" t="s">
        <v>74</v>
      </c>
      <c r="CD165" s="5" t="s">
        <v>74</v>
      </c>
      <c r="CE165" s="5" t="s">
        <v>74</v>
      </c>
      <c r="CF165" s="8"/>
      <c r="CG165" s="5"/>
      <c r="CH165" s="5" t="s">
        <v>74</v>
      </c>
      <c r="CI165" s="5">
        <v>16</v>
      </c>
      <c r="CJ165" s="8" t="s">
        <v>74</v>
      </c>
      <c r="CK165" s="5"/>
      <c r="CL165" s="5" t="s">
        <v>74</v>
      </c>
      <c r="CM165" s="5" t="s">
        <v>74</v>
      </c>
      <c r="CN165" s="5" t="s">
        <v>74</v>
      </c>
      <c r="CO165" s="5"/>
      <c r="CP165" s="5" t="s">
        <v>74</v>
      </c>
    </row>
    <row r="166" spans="1:94" ht="25.25" customHeight="1">
      <c r="A166" s="5">
        <v>165</v>
      </c>
      <c r="B166" s="9" t="s">
        <v>240</v>
      </c>
      <c r="C166" s="9">
        <v>2024202042</v>
      </c>
      <c r="D166" s="5" t="s">
        <v>135</v>
      </c>
      <c r="E166" s="5">
        <f>SUM(G166:$XET166)</f>
        <v>124</v>
      </c>
      <c r="F166" s="5">
        <f>COUNT(G166:$XFD166)</f>
        <v>7</v>
      </c>
      <c r="G166" s="5"/>
      <c r="H166" s="5"/>
      <c r="I166" s="5"/>
      <c r="J166" s="5"/>
      <c r="K166" s="5"/>
      <c r="L166" s="5"/>
      <c r="M166" s="5"/>
      <c r="N166" s="5">
        <v>2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 t="s">
        <v>74</v>
      </c>
      <c r="AC166" s="5">
        <v>2</v>
      </c>
      <c r="AD166" s="5"/>
      <c r="AE166" s="5"/>
      <c r="AF166" s="5"/>
      <c r="AG166" s="5" t="s">
        <v>74</v>
      </c>
      <c r="AH166" s="5" t="s">
        <v>74</v>
      </c>
      <c r="AI166" s="5" t="s">
        <v>74</v>
      </c>
      <c r="AJ166" s="5" t="s">
        <v>74</v>
      </c>
      <c r="AK166" s="5">
        <v>4</v>
      </c>
      <c r="AL166" s="5"/>
      <c r="AM166" s="5"/>
      <c r="AN166" s="5"/>
      <c r="AO166" s="5"/>
      <c r="AP166" s="5"/>
      <c r="AQ166" s="5"/>
      <c r="AR166" s="5" t="s">
        <v>74</v>
      </c>
      <c r="AS166" s="5" t="s">
        <v>74</v>
      </c>
      <c r="AT166" s="5" t="s">
        <v>74</v>
      </c>
      <c r="AU166" s="5" t="s">
        <v>74</v>
      </c>
      <c r="AV166" s="5" t="s">
        <v>74</v>
      </c>
      <c r="AW166" s="5" t="s">
        <v>74</v>
      </c>
      <c r="AX166" s="5" t="s">
        <v>74</v>
      </c>
      <c r="AY166" s="5" t="s">
        <v>74</v>
      </c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 t="s">
        <v>74</v>
      </c>
      <c r="BQ166" s="5" t="s">
        <v>74</v>
      </c>
      <c r="BR166" s="5">
        <v>90</v>
      </c>
      <c r="BS166" s="5"/>
      <c r="BT166" s="5" t="s">
        <v>74</v>
      </c>
      <c r="BU166" s="6" t="s">
        <v>51</v>
      </c>
      <c r="BV166" s="5" t="s">
        <v>74</v>
      </c>
      <c r="BW166" s="5"/>
      <c r="BX166" s="5" t="s">
        <v>74</v>
      </c>
      <c r="BY166" s="5"/>
      <c r="BZ166" s="5"/>
      <c r="CA166" s="10" t="s">
        <v>74</v>
      </c>
      <c r="CB166" s="5" t="s">
        <v>74</v>
      </c>
      <c r="CC166" s="5" t="s">
        <v>74</v>
      </c>
      <c r="CD166" s="5" t="s">
        <v>74</v>
      </c>
      <c r="CE166" s="5" t="s">
        <v>74</v>
      </c>
      <c r="CF166" s="8"/>
      <c r="CG166" s="5"/>
      <c r="CH166" s="5" t="s">
        <v>74</v>
      </c>
      <c r="CI166" s="5">
        <v>16</v>
      </c>
      <c r="CJ166" s="8">
        <v>6</v>
      </c>
      <c r="CK166" s="5"/>
      <c r="CL166" s="5">
        <v>4</v>
      </c>
      <c r="CM166" s="5" t="s">
        <v>74</v>
      </c>
      <c r="CN166" s="5" t="s">
        <v>74</v>
      </c>
      <c r="CO166" s="5"/>
      <c r="CP166" s="5" t="s">
        <v>74</v>
      </c>
    </row>
    <row r="167" spans="1:94" ht="25.25" customHeight="1">
      <c r="A167" s="5">
        <v>166</v>
      </c>
      <c r="B167" s="9" t="s">
        <v>241</v>
      </c>
      <c r="C167" s="9">
        <v>2024202082</v>
      </c>
      <c r="D167" s="5" t="s">
        <v>135</v>
      </c>
      <c r="E167" s="5">
        <f>SUM(G167:$XET167)</f>
        <v>41</v>
      </c>
      <c r="F167" s="5">
        <f>COUNT(G167:$XFD167)</f>
        <v>5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>
        <v>16</v>
      </c>
      <c r="U167" s="5"/>
      <c r="V167" s="5"/>
      <c r="W167" s="5"/>
      <c r="X167" s="5"/>
      <c r="Y167" s="5"/>
      <c r="Z167" s="5"/>
      <c r="AA167" s="5"/>
      <c r="AB167" s="5" t="s">
        <v>74</v>
      </c>
      <c r="AC167" s="5">
        <v>4</v>
      </c>
      <c r="AD167" s="5"/>
      <c r="AE167" s="5"/>
      <c r="AF167" s="5"/>
      <c r="AG167" s="5" t="s">
        <v>74</v>
      </c>
      <c r="AH167" s="5" t="s">
        <v>74</v>
      </c>
      <c r="AI167" s="5" t="s">
        <v>74</v>
      </c>
      <c r="AJ167" s="5">
        <v>2</v>
      </c>
      <c r="AK167" s="5">
        <v>4</v>
      </c>
      <c r="AL167" s="5"/>
      <c r="AM167" s="5"/>
      <c r="AN167" s="5"/>
      <c r="AO167" s="5"/>
      <c r="AP167" s="5"/>
      <c r="AQ167" s="5"/>
      <c r="AR167" s="5" t="s">
        <v>74</v>
      </c>
      <c r="AS167" s="5">
        <v>15</v>
      </c>
      <c r="AT167" s="5" t="s">
        <v>74</v>
      </c>
      <c r="AU167" s="5" t="s">
        <v>74</v>
      </c>
      <c r="AV167" s="5" t="s">
        <v>74</v>
      </c>
      <c r="AW167" s="5" t="s">
        <v>74</v>
      </c>
      <c r="AX167" s="5" t="s">
        <v>74</v>
      </c>
      <c r="AY167" s="5" t="s">
        <v>74</v>
      </c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 t="s">
        <v>74</v>
      </c>
      <c r="BQ167" s="5" t="s">
        <v>74</v>
      </c>
      <c r="BR167" s="5" t="s">
        <v>74</v>
      </c>
      <c r="BS167" s="5"/>
      <c r="BT167" s="5" t="s">
        <v>74</v>
      </c>
      <c r="BU167" s="6" t="s">
        <v>51</v>
      </c>
      <c r="BV167" s="5" t="s">
        <v>74</v>
      </c>
      <c r="BW167" s="5"/>
      <c r="BX167" s="5" t="s">
        <v>74</v>
      </c>
      <c r="BY167" s="5"/>
      <c r="BZ167" s="5"/>
      <c r="CA167" s="10" t="s">
        <v>74</v>
      </c>
      <c r="CB167" s="5" t="s">
        <v>74</v>
      </c>
      <c r="CC167" s="5" t="s">
        <v>74</v>
      </c>
      <c r="CD167" s="5" t="s">
        <v>74</v>
      </c>
      <c r="CE167" s="5" t="s">
        <v>74</v>
      </c>
      <c r="CF167" s="8"/>
      <c r="CG167" s="5"/>
      <c r="CH167" s="5" t="s">
        <v>74</v>
      </c>
      <c r="CI167" s="5" t="s">
        <v>74</v>
      </c>
      <c r="CJ167" s="8" t="s">
        <v>74</v>
      </c>
      <c r="CK167" s="5"/>
      <c r="CL167" s="5" t="s">
        <v>74</v>
      </c>
      <c r="CM167" s="5" t="s">
        <v>74</v>
      </c>
      <c r="CN167" s="5" t="s">
        <v>74</v>
      </c>
      <c r="CO167" s="5"/>
      <c r="CP167" s="5" t="s">
        <v>74</v>
      </c>
    </row>
    <row r="168" spans="1:94" ht="25.25" customHeight="1">
      <c r="A168" s="5">
        <v>167</v>
      </c>
      <c r="B168" s="9" t="s">
        <v>242</v>
      </c>
      <c r="C168" s="9">
        <v>2024202018</v>
      </c>
      <c r="D168" s="5" t="s">
        <v>135</v>
      </c>
      <c r="E168" s="5">
        <f>SUM(G168:$XET168)</f>
        <v>8.5</v>
      </c>
      <c r="F168" s="5">
        <f>COUNT(G168:$XFD168)</f>
        <v>3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 t="s">
        <v>74</v>
      </c>
      <c r="AC168" s="5" t="s">
        <v>74</v>
      </c>
      <c r="AD168" s="5"/>
      <c r="AE168" s="5"/>
      <c r="AF168" s="5"/>
      <c r="AG168" s="5">
        <v>0.5</v>
      </c>
      <c r="AH168" s="5" t="s">
        <v>74</v>
      </c>
      <c r="AI168" s="5" t="s">
        <v>74</v>
      </c>
      <c r="AJ168" s="5">
        <v>4</v>
      </c>
      <c r="AK168" s="5">
        <v>4</v>
      </c>
      <c r="AL168" s="5"/>
      <c r="AM168" s="5"/>
      <c r="AN168" s="5"/>
      <c r="AO168" s="5"/>
      <c r="AP168" s="5"/>
      <c r="AQ168" s="5"/>
      <c r="AR168" s="5" t="s">
        <v>74</v>
      </c>
      <c r="AS168" s="5" t="s">
        <v>74</v>
      </c>
      <c r="AT168" s="5" t="s">
        <v>74</v>
      </c>
      <c r="AU168" s="5" t="s">
        <v>74</v>
      </c>
      <c r="AV168" s="5" t="s">
        <v>74</v>
      </c>
      <c r="AW168" s="5" t="s">
        <v>74</v>
      </c>
      <c r="AX168" s="5" t="s">
        <v>74</v>
      </c>
      <c r="AY168" s="5" t="s">
        <v>74</v>
      </c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 t="s">
        <v>74</v>
      </c>
      <c r="BQ168" s="5" t="s">
        <v>74</v>
      </c>
      <c r="BR168" s="5" t="s">
        <v>74</v>
      </c>
      <c r="BS168" s="5"/>
      <c r="BT168" s="5" t="s">
        <v>74</v>
      </c>
      <c r="BU168" s="6" t="s">
        <v>51</v>
      </c>
      <c r="BV168" s="5" t="s">
        <v>74</v>
      </c>
      <c r="BW168" s="5"/>
      <c r="BX168" s="5" t="s">
        <v>74</v>
      </c>
      <c r="BY168" s="5"/>
      <c r="BZ168" s="5"/>
      <c r="CA168" s="10" t="s">
        <v>74</v>
      </c>
      <c r="CB168" s="5" t="s">
        <v>74</v>
      </c>
      <c r="CC168" s="5" t="s">
        <v>74</v>
      </c>
      <c r="CD168" s="5" t="s">
        <v>74</v>
      </c>
      <c r="CE168" s="5" t="s">
        <v>74</v>
      </c>
      <c r="CF168" s="8"/>
      <c r="CG168" s="5"/>
      <c r="CH168" s="5" t="s">
        <v>74</v>
      </c>
      <c r="CI168" s="5" t="s">
        <v>74</v>
      </c>
      <c r="CJ168" s="8" t="s">
        <v>74</v>
      </c>
      <c r="CK168" s="5"/>
      <c r="CL168" s="5" t="s">
        <v>74</v>
      </c>
      <c r="CM168" s="5" t="s">
        <v>74</v>
      </c>
      <c r="CN168" s="5" t="s">
        <v>74</v>
      </c>
      <c r="CO168" s="5"/>
      <c r="CP168" s="5" t="s">
        <v>74</v>
      </c>
    </row>
    <row r="169" spans="1:94" ht="25.25" customHeight="1">
      <c r="A169" s="5">
        <v>168</v>
      </c>
      <c r="B169" s="9" t="s">
        <v>243</v>
      </c>
      <c r="C169" s="9">
        <v>2024202043</v>
      </c>
      <c r="D169" s="5" t="s">
        <v>135</v>
      </c>
      <c r="E169" s="5">
        <f>SUM(G169:$XET169)</f>
        <v>10</v>
      </c>
      <c r="F169" s="5">
        <f>COUNT(G169:$XFD169)</f>
        <v>3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 t="s">
        <v>74</v>
      </c>
      <c r="AC169" s="5" t="s">
        <v>74</v>
      </c>
      <c r="AD169" s="5"/>
      <c r="AE169" s="5"/>
      <c r="AF169" s="5"/>
      <c r="AG169" s="5" t="s">
        <v>74</v>
      </c>
      <c r="AH169" s="5" t="s">
        <v>74</v>
      </c>
      <c r="AI169" s="5" t="s">
        <v>74</v>
      </c>
      <c r="AJ169" s="5" t="s">
        <v>74</v>
      </c>
      <c r="AK169" s="5">
        <v>4</v>
      </c>
      <c r="AL169" s="5"/>
      <c r="AM169" s="5"/>
      <c r="AN169" s="5"/>
      <c r="AO169" s="5"/>
      <c r="AP169" s="5"/>
      <c r="AQ169" s="5"/>
      <c r="AR169" s="5" t="s">
        <v>74</v>
      </c>
      <c r="AS169" s="5" t="s">
        <v>74</v>
      </c>
      <c r="AT169" s="5" t="s">
        <v>74</v>
      </c>
      <c r="AU169" s="5" t="s">
        <v>74</v>
      </c>
      <c r="AV169" s="5" t="s">
        <v>74</v>
      </c>
      <c r="AW169" s="5" t="s">
        <v>74</v>
      </c>
      <c r="AX169" s="5" t="s">
        <v>74</v>
      </c>
      <c r="AY169" s="5" t="s">
        <v>74</v>
      </c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 t="s">
        <v>74</v>
      </c>
      <c r="BQ169" s="5" t="s">
        <v>74</v>
      </c>
      <c r="BR169" s="5" t="s">
        <v>74</v>
      </c>
      <c r="BS169" s="5"/>
      <c r="BT169" s="5" t="s">
        <v>74</v>
      </c>
      <c r="BU169" s="6" t="s">
        <v>51</v>
      </c>
      <c r="BV169" s="5" t="s">
        <v>74</v>
      </c>
      <c r="BW169" s="5"/>
      <c r="BX169" s="5" t="s">
        <v>74</v>
      </c>
      <c r="BY169" s="5"/>
      <c r="BZ169" s="5"/>
      <c r="CA169" s="10">
        <v>4</v>
      </c>
      <c r="CB169" s="5" t="s">
        <v>74</v>
      </c>
      <c r="CC169" s="5" t="s">
        <v>74</v>
      </c>
      <c r="CD169" s="5" t="s">
        <v>74</v>
      </c>
      <c r="CE169" s="5">
        <v>2</v>
      </c>
      <c r="CF169" s="8"/>
      <c r="CG169" s="5"/>
      <c r="CH169" s="5" t="s">
        <v>74</v>
      </c>
      <c r="CI169" s="5" t="s">
        <v>74</v>
      </c>
      <c r="CJ169" s="8" t="s">
        <v>74</v>
      </c>
      <c r="CK169" s="5"/>
      <c r="CL169" s="5" t="s">
        <v>74</v>
      </c>
      <c r="CM169" s="5" t="s">
        <v>74</v>
      </c>
      <c r="CN169" s="5" t="s">
        <v>74</v>
      </c>
      <c r="CO169" s="5"/>
      <c r="CP169" s="5" t="s">
        <v>74</v>
      </c>
    </row>
    <row r="170" spans="1:94" ht="25.25" customHeight="1">
      <c r="A170" s="5">
        <v>169</v>
      </c>
      <c r="B170" s="9" t="s">
        <v>244</v>
      </c>
      <c r="C170" s="9">
        <v>2024202104</v>
      </c>
      <c r="D170" s="5" t="s">
        <v>135</v>
      </c>
      <c r="E170" s="5">
        <f>SUM(G170:$XET170)</f>
        <v>4</v>
      </c>
      <c r="F170" s="5">
        <f>COUNT(G170:$XFD170)</f>
        <v>1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 t="s">
        <v>74</v>
      </c>
      <c r="AC170" s="5" t="s">
        <v>74</v>
      </c>
      <c r="AD170" s="5"/>
      <c r="AE170" s="5"/>
      <c r="AF170" s="5"/>
      <c r="AG170" s="5" t="s">
        <v>74</v>
      </c>
      <c r="AH170" s="5" t="s">
        <v>74</v>
      </c>
      <c r="AI170" s="5" t="s">
        <v>74</v>
      </c>
      <c r="AJ170" s="5" t="s">
        <v>74</v>
      </c>
      <c r="AK170" s="5">
        <v>4</v>
      </c>
      <c r="AL170" s="5"/>
      <c r="AM170" s="5"/>
      <c r="AN170" s="5"/>
      <c r="AO170" s="5"/>
      <c r="AP170" s="5"/>
      <c r="AQ170" s="5"/>
      <c r="AR170" s="5" t="s">
        <v>74</v>
      </c>
      <c r="AS170" s="5" t="s">
        <v>74</v>
      </c>
      <c r="AT170" s="5" t="s">
        <v>74</v>
      </c>
      <c r="AU170" s="5" t="s">
        <v>74</v>
      </c>
      <c r="AV170" s="5" t="s">
        <v>74</v>
      </c>
      <c r="AW170" s="5" t="s">
        <v>74</v>
      </c>
      <c r="AX170" s="5" t="s">
        <v>74</v>
      </c>
      <c r="AY170" s="5" t="s">
        <v>74</v>
      </c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 t="s">
        <v>74</v>
      </c>
      <c r="BQ170" s="5" t="s">
        <v>74</v>
      </c>
      <c r="BR170" s="5" t="s">
        <v>74</v>
      </c>
      <c r="BS170" s="5"/>
      <c r="BT170" s="5" t="s">
        <v>74</v>
      </c>
      <c r="BU170" s="6" t="s">
        <v>51</v>
      </c>
      <c r="BV170" s="5" t="s">
        <v>74</v>
      </c>
      <c r="BW170" s="5"/>
      <c r="BX170" s="5" t="s">
        <v>74</v>
      </c>
      <c r="BY170" s="5"/>
      <c r="BZ170" s="5"/>
      <c r="CA170" s="10" t="s">
        <v>74</v>
      </c>
      <c r="CB170" s="5" t="s">
        <v>74</v>
      </c>
      <c r="CC170" s="5" t="s">
        <v>74</v>
      </c>
      <c r="CD170" s="5" t="s">
        <v>74</v>
      </c>
      <c r="CE170" s="5" t="s">
        <v>74</v>
      </c>
      <c r="CF170" s="8"/>
      <c r="CG170" s="5"/>
      <c r="CH170" s="5" t="s">
        <v>74</v>
      </c>
      <c r="CI170" s="5" t="s">
        <v>74</v>
      </c>
      <c r="CJ170" s="8" t="s">
        <v>74</v>
      </c>
      <c r="CK170" s="5"/>
      <c r="CL170" s="5" t="s">
        <v>74</v>
      </c>
      <c r="CM170" s="5" t="s">
        <v>74</v>
      </c>
      <c r="CN170" s="5" t="s">
        <v>74</v>
      </c>
      <c r="CO170" s="5"/>
      <c r="CP170" s="5" t="s">
        <v>74</v>
      </c>
    </row>
    <row r="171" spans="1:94" ht="25.25" customHeight="1">
      <c r="A171" s="5">
        <v>170</v>
      </c>
      <c r="B171" s="9" t="s">
        <v>245</v>
      </c>
      <c r="C171" s="9">
        <v>2024202146</v>
      </c>
      <c r="D171" s="5" t="s">
        <v>135</v>
      </c>
      <c r="E171" s="5">
        <f>SUM(G171:$XET171)</f>
        <v>12</v>
      </c>
      <c r="F171" s="5">
        <f>COUNT(G171:$XFD171)</f>
        <v>4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 t="s">
        <v>74</v>
      </c>
      <c r="AC171" s="5" t="s">
        <v>74</v>
      </c>
      <c r="AD171" s="5"/>
      <c r="AE171" s="5"/>
      <c r="AF171" s="5"/>
      <c r="AG171" s="5" t="s">
        <v>74</v>
      </c>
      <c r="AH171" s="5" t="s">
        <v>74</v>
      </c>
      <c r="AI171" s="5" t="s">
        <v>74</v>
      </c>
      <c r="AJ171" s="5" t="s">
        <v>74</v>
      </c>
      <c r="AK171" s="5">
        <v>4</v>
      </c>
      <c r="AL171" s="5"/>
      <c r="AM171" s="5"/>
      <c r="AN171" s="5"/>
      <c r="AO171" s="5"/>
      <c r="AP171" s="5"/>
      <c r="AQ171" s="5"/>
      <c r="AR171" s="5" t="s">
        <v>74</v>
      </c>
      <c r="AS171" s="5" t="s">
        <v>74</v>
      </c>
      <c r="AT171" s="5" t="s">
        <v>74</v>
      </c>
      <c r="AU171" s="5" t="s">
        <v>74</v>
      </c>
      <c r="AV171" s="5" t="s">
        <v>74</v>
      </c>
      <c r="AW171" s="5" t="s">
        <v>74</v>
      </c>
      <c r="AX171" s="5" t="s">
        <v>74</v>
      </c>
      <c r="AY171" s="5" t="s">
        <v>74</v>
      </c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>
        <v>4</v>
      </c>
      <c r="BQ171" s="5" t="s">
        <v>74</v>
      </c>
      <c r="BR171" s="5" t="s">
        <v>74</v>
      </c>
      <c r="BS171" s="5"/>
      <c r="BT171" s="5" t="s">
        <v>74</v>
      </c>
      <c r="BU171" s="6" t="s">
        <v>51</v>
      </c>
      <c r="BV171" s="5">
        <v>1</v>
      </c>
      <c r="BW171" s="5"/>
      <c r="BX171" s="5" t="s">
        <v>74</v>
      </c>
      <c r="BY171" s="5"/>
      <c r="BZ171" s="5">
        <v>3</v>
      </c>
      <c r="CA171" s="10" t="s">
        <v>74</v>
      </c>
      <c r="CB171" s="5" t="s">
        <v>74</v>
      </c>
      <c r="CC171" s="5" t="s">
        <v>74</v>
      </c>
      <c r="CD171" s="5" t="s">
        <v>74</v>
      </c>
      <c r="CE171" s="5" t="s">
        <v>74</v>
      </c>
      <c r="CF171" s="8"/>
      <c r="CG171" s="5"/>
      <c r="CH171" s="5" t="s">
        <v>74</v>
      </c>
      <c r="CI171" s="5" t="s">
        <v>74</v>
      </c>
      <c r="CJ171" s="8" t="s">
        <v>74</v>
      </c>
      <c r="CK171" s="5"/>
      <c r="CL171" s="5" t="s">
        <v>74</v>
      </c>
      <c r="CM171" s="5" t="s">
        <v>74</v>
      </c>
      <c r="CN171" s="5" t="s">
        <v>74</v>
      </c>
      <c r="CO171" s="5"/>
      <c r="CP171" s="5" t="s">
        <v>74</v>
      </c>
    </row>
    <row r="172" spans="1:94" ht="25.25" customHeight="1">
      <c r="A172" s="5">
        <v>171</v>
      </c>
      <c r="B172" s="9" t="s">
        <v>246</v>
      </c>
      <c r="C172" s="9">
        <v>2024202157</v>
      </c>
      <c r="D172" s="5" t="s">
        <v>135</v>
      </c>
      <c r="E172" s="5">
        <f>SUM(G172:$XET172)</f>
        <v>48.5</v>
      </c>
      <c r="F172" s="5">
        <f>COUNT(G172:$XFD172)</f>
        <v>6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>
        <v>6.5</v>
      </c>
      <c r="AC172" s="5">
        <v>3</v>
      </c>
      <c r="AD172" s="5"/>
      <c r="AE172" s="5"/>
      <c r="AF172" s="5"/>
      <c r="AG172" s="5" t="s">
        <v>74</v>
      </c>
      <c r="AH172" s="5" t="s">
        <v>74</v>
      </c>
      <c r="AI172" s="5" t="s">
        <v>74</v>
      </c>
      <c r="AJ172" s="5">
        <v>2</v>
      </c>
      <c r="AK172" s="5" t="s">
        <v>74</v>
      </c>
      <c r="AL172" s="5"/>
      <c r="AM172" s="5"/>
      <c r="AN172" s="5"/>
      <c r="AO172" s="5"/>
      <c r="AP172" s="5"/>
      <c r="AQ172" s="5"/>
      <c r="AR172" s="5" t="s">
        <v>74</v>
      </c>
      <c r="AS172" s="5" t="s">
        <v>74</v>
      </c>
      <c r="AT172" s="5" t="s">
        <v>74</v>
      </c>
      <c r="AU172" s="5" t="s">
        <v>74</v>
      </c>
      <c r="AV172" s="5" t="s">
        <v>74</v>
      </c>
      <c r="AW172" s="5" t="s">
        <v>74</v>
      </c>
      <c r="AX172" s="5" t="s">
        <v>74</v>
      </c>
      <c r="AY172" s="5">
        <v>36</v>
      </c>
      <c r="AZ172" s="5">
        <v>0</v>
      </c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 t="s">
        <v>74</v>
      </c>
      <c r="BQ172" s="5" t="s">
        <v>74</v>
      </c>
      <c r="BR172" s="5" t="s">
        <v>74</v>
      </c>
      <c r="BS172" s="5"/>
      <c r="BT172" s="5" t="s">
        <v>74</v>
      </c>
      <c r="BU172" s="6" t="s">
        <v>51</v>
      </c>
      <c r="BV172" s="5" t="s">
        <v>74</v>
      </c>
      <c r="BW172" s="5"/>
      <c r="BX172" s="5" t="s">
        <v>74</v>
      </c>
      <c r="BY172" s="5"/>
      <c r="BZ172" s="5"/>
      <c r="CA172" s="10" t="s">
        <v>74</v>
      </c>
      <c r="CB172" s="5" t="s">
        <v>74</v>
      </c>
      <c r="CC172" s="5" t="s">
        <v>74</v>
      </c>
      <c r="CD172" s="5" t="s">
        <v>74</v>
      </c>
      <c r="CE172" s="5" t="s">
        <v>74</v>
      </c>
      <c r="CF172" s="8"/>
      <c r="CG172" s="5"/>
      <c r="CH172" s="5" t="s">
        <v>74</v>
      </c>
      <c r="CI172" s="5" t="s">
        <v>74</v>
      </c>
      <c r="CJ172" s="8" t="s">
        <v>74</v>
      </c>
      <c r="CK172" s="5"/>
      <c r="CL172" s="5" t="s">
        <v>74</v>
      </c>
      <c r="CM172" s="5" t="s">
        <v>74</v>
      </c>
      <c r="CN172" s="5">
        <v>1</v>
      </c>
      <c r="CO172" s="5"/>
      <c r="CP172" s="5" t="s">
        <v>74</v>
      </c>
    </row>
    <row r="173" spans="1:94" ht="25.25" customHeight="1">
      <c r="A173" s="5">
        <v>172</v>
      </c>
      <c r="B173" s="9" t="s">
        <v>247</v>
      </c>
      <c r="C173" s="9">
        <v>2024202159</v>
      </c>
      <c r="D173" s="5" t="s">
        <v>135</v>
      </c>
      <c r="E173" s="5">
        <f>SUM(G173:$XET173)</f>
        <v>32</v>
      </c>
      <c r="F173" s="5">
        <f>COUNT(G173:$XFD173)</f>
        <v>3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 t="s">
        <v>74</v>
      </c>
      <c r="AC173" s="5" t="s">
        <v>74</v>
      </c>
      <c r="AD173" s="5"/>
      <c r="AE173" s="5"/>
      <c r="AF173" s="5"/>
      <c r="AG173" s="5" t="s">
        <v>74</v>
      </c>
      <c r="AH173" s="5" t="s">
        <v>74</v>
      </c>
      <c r="AI173" s="5" t="s">
        <v>74</v>
      </c>
      <c r="AJ173" s="5" t="s">
        <v>74</v>
      </c>
      <c r="AK173" s="5">
        <v>4</v>
      </c>
      <c r="AL173" s="5"/>
      <c r="AM173" s="5"/>
      <c r="AN173" s="5"/>
      <c r="AO173" s="5"/>
      <c r="AP173" s="5"/>
      <c r="AQ173" s="5"/>
      <c r="AR173" s="5" t="s">
        <v>74</v>
      </c>
      <c r="AS173" s="5" t="s">
        <v>74</v>
      </c>
      <c r="AT173" s="5" t="s">
        <v>74</v>
      </c>
      <c r="AU173" s="5" t="s">
        <v>74</v>
      </c>
      <c r="AV173" s="5" t="s">
        <v>74</v>
      </c>
      <c r="AW173" s="5" t="s">
        <v>74</v>
      </c>
      <c r="AX173" s="5" t="s">
        <v>74</v>
      </c>
      <c r="AY173" s="5">
        <v>16</v>
      </c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 t="s">
        <v>74</v>
      </c>
      <c r="BQ173" s="5" t="s">
        <v>74</v>
      </c>
      <c r="BR173" s="5">
        <v>12</v>
      </c>
      <c r="BS173" s="5"/>
      <c r="BT173" s="5" t="s">
        <v>74</v>
      </c>
      <c r="BU173" s="6" t="s">
        <v>51</v>
      </c>
      <c r="BV173" s="5" t="s">
        <v>74</v>
      </c>
      <c r="BW173" s="5"/>
      <c r="BX173" s="5" t="s">
        <v>74</v>
      </c>
      <c r="BY173" s="5"/>
      <c r="BZ173" s="5"/>
      <c r="CA173" s="10" t="s">
        <v>74</v>
      </c>
      <c r="CB173" s="5" t="s">
        <v>74</v>
      </c>
      <c r="CC173" s="5" t="s">
        <v>74</v>
      </c>
      <c r="CD173" s="5" t="s">
        <v>74</v>
      </c>
      <c r="CE173" s="5" t="s">
        <v>74</v>
      </c>
      <c r="CF173" s="8"/>
      <c r="CG173" s="5"/>
      <c r="CH173" s="5" t="s">
        <v>74</v>
      </c>
      <c r="CI173" s="5" t="s">
        <v>74</v>
      </c>
      <c r="CJ173" s="8" t="s">
        <v>74</v>
      </c>
      <c r="CK173" s="5"/>
      <c r="CL173" s="5" t="s">
        <v>74</v>
      </c>
      <c r="CM173" s="5" t="s">
        <v>74</v>
      </c>
      <c r="CN173" s="5" t="s">
        <v>74</v>
      </c>
      <c r="CO173" s="5"/>
      <c r="CP173" s="5" t="s">
        <v>74</v>
      </c>
    </row>
    <row r="174" spans="1:94" ht="25.25" customHeight="1">
      <c r="A174" s="5">
        <v>173</v>
      </c>
      <c r="B174" s="9" t="s">
        <v>248</v>
      </c>
      <c r="C174" s="9">
        <v>2024202177</v>
      </c>
      <c r="D174" s="5" t="s">
        <v>135</v>
      </c>
      <c r="E174" s="5">
        <f>SUM(G174:$XET174)</f>
        <v>113</v>
      </c>
      <c r="F174" s="5">
        <f>COUNT(G174:$XFD174)</f>
        <v>6</v>
      </c>
      <c r="G174" s="5"/>
      <c r="H174" s="5"/>
      <c r="I174" s="5"/>
      <c r="J174" s="5"/>
      <c r="K174" s="5"/>
      <c r="L174" s="5"/>
      <c r="M174" s="5"/>
      <c r="N174" s="5">
        <v>2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 t="s">
        <v>74</v>
      </c>
      <c r="AC174" s="5">
        <v>2</v>
      </c>
      <c r="AD174" s="5"/>
      <c r="AE174" s="5"/>
      <c r="AF174" s="5"/>
      <c r="AG174" s="5" t="s">
        <v>74</v>
      </c>
      <c r="AH174" s="5" t="s">
        <v>74</v>
      </c>
      <c r="AI174" s="5" t="s">
        <v>74</v>
      </c>
      <c r="AJ174" s="5">
        <v>2</v>
      </c>
      <c r="AK174" s="5">
        <v>4</v>
      </c>
      <c r="AL174" s="5"/>
      <c r="AM174" s="5"/>
      <c r="AN174" s="5"/>
      <c r="AO174" s="5"/>
      <c r="AP174" s="5"/>
      <c r="AQ174" s="5"/>
      <c r="AR174" s="5" t="s">
        <v>74</v>
      </c>
      <c r="AS174" s="5" t="s">
        <v>74</v>
      </c>
      <c r="AT174" s="5" t="s">
        <v>74</v>
      </c>
      <c r="AU174" s="5" t="s">
        <v>74</v>
      </c>
      <c r="AV174" s="5" t="s">
        <v>74</v>
      </c>
      <c r="AW174" s="5" t="s">
        <v>74</v>
      </c>
      <c r="AX174" s="5" t="s">
        <v>74</v>
      </c>
      <c r="AY174" s="5">
        <v>90</v>
      </c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 t="s">
        <v>74</v>
      </c>
      <c r="BQ174" s="5" t="s">
        <v>74</v>
      </c>
      <c r="BR174" s="5" t="s">
        <v>74</v>
      </c>
      <c r="BS174" s="5"/>
      <c r="BT174" s="5" t="s">
        <v>74</v>
      </c>
      <c r="BU174" s="6" t="s">
        <v>51</v>
      </c>
      <c r="BV174" s="5" t="s">
        <v>74</v>
      </c>
      <c r="BW174" s="5"/>
      <c r="BX174" s="5">
        <v>13</v>
      </c>
      <c r="BY174" s="5"/>
      <c r="BZ174" s="5"/>
      <c r="CA174" s="10" t="s">
        <v>74</v>
      </c>
      <c r="CB174" s="5" t="s">
        <v>74</v>
      </c>
      <c r="CC174" s="5" t="s">
        <v>74</v>
      </c>
      <c r="CD174" s="5" t="s">
        <v>74</v>
      </c>
      <c r="CE174" s="5" t="s">
        <v>74</v>
      </c>
      <c r="CF174" s="8"/>
      <c r="CG174" s="5"/>
      <c r="CH174" s="5" t="s">
        <v>74</v>
      </c>
      <c r="CI174" s="5" t="s">
        <v>74</v>
      </c>
      <c r="CJ174" s="8" t="s">
        <v>74</v>
      </c>
      <c r="CK174" s="5"/>
      <c r="CL174" s="5" t="s">
        <v>74</v>
      </c>
      <c r="CM174" s="5" t="s">
        <v>74</v>
      </c>
      <c r="CN174" s="5" t="s">
        <v>74</v>
      </c>
      <c r="CO174" s="5"/>
      <c r="CP174" s="5" t="s">
        <v>74</v>
      </c>
    </row>
    <row r="175" spans="1:94" ht="25.25" customHeight="1">
      <c r="A175" s="5">
        <v>174</v>
      </c>
      <c r="B175" s="9" t="s">
        <v>249</v>
      </c>
      <c r="C175" s="9">
        <v>2024202202</v>
      </c>
      <c r="D175" s="5" t="s">
        <v>135</v>
      </c>
      <c r="E175" s="5">
        <f>SUM(G175:$XET175)</f>
        <v>24</v>
      </c>
      <c r="F175" s="5">
        <f>COUNT(G175:$XFD175)</f>
        <v>6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>
        <v>5</v>
      </c>
      <c r="AC175" s="5">
        <v>2</v>
      </c>
      <c r="AD175" s="5">
        <v>4</v>
      </c>
      <c r="AE175" s="5"/>
      <c r="AF175" s="5"/>
      <c r="AG175" s="5">
        <v>3</v>
      </c>
      <c r="AH175" s="5" t="s">
        <v>74</v>
      </c>
      <c r="AI175" s="5" t="s">
        <v>74</v>
      </c>
      <c r="AJ175" s="5" t="s">
        <v>74</v>
      </c>
      <c r="AK175" s="5">
        <v>4</v>
      </c>
      <c r="AL175" s="5"/>
      <c r="AM175" s="5"/>
      <c r="AN175" s="5"/>
      <c r="AO175" s="5"/>
      <c r="AP175" s="5"/>
      <c r="AQ175" s="5"/>
      <c r="AR175" s="5" t="s">
        <v>74</v>
      </c>
      <c r="AS175" s="5" t="s">
        <v>74</v>
      </c>
      <c r="AT175" s="5" t="s">
        <v>74</v>
      </c>
      <c r="AU175" s="5" t="s">
        <v>74</v>
      </c>
      <c r="AV175" s="5" t="s">
        <v>74</v>
      </c>
      <c r="AW175" s="5">
        <v>6</v>
      </c>
      <c r="AX175" s="5" t="s">
        <v>74</v>
      </c>
      <c r="AY175" s="5" t="s">
        <v>74</v>
      </c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 t="s">
        <v>74</v>
      </c>
      <c r="BQ175" s="5" t="s">
        <v>74</v>
      </c>
      <c r="BR175" s="5" t="s">
        <v>74</v>
      </c>
      <c r="BS175" s="5"/>
      <c r="BT175" s="5" t="s">
        <v>74</v>
      </c>
      <c r="BU175" s="6" t="s">
        <v>51</v>
      </c>
      <c r="BV175" s="5" t="s">
        <v>74</v>
      </c>
      <c r="BW175" s="5"/>
      <c r="BX175" s="5" t="s">
        <v>74</v>
      </c>
      <c r="BY175" s="5"/>
      <c r="BZ175" s="5"/>
      <c r="CA175" s="10" t="s">
        <v>74</v>
      </c>
      <c r="CB175" s="5" t="s">
        <v>74</v>
      </c>
      <c r="CC175" s="5" t="s">
        <v>74</v>
      </c>
      <c r="CD175" s="5" t="s">
        <v>74</v>
      </c>
      <c r="CE175" s="5" t="s">
        <v>74</v>
      </c>
      <c r="CF175" s="8"/>
      <c r="CG175" s="5"/>
      <c r="CH175" s="5" t="s">
        <v>74</v>
      </c>
      <c r="CI175" s="5" t="s">
        <v>74</v>
      </c>
      <c r="CJ175" s="8" t="s">
        <v>74</v>
      </c>
      <c r="CK175" s="5"/>
      <c r="CL175" s="5" t="s">
        <v>74</v>
      </c>
      <c r="CM175" s="5" t="s">
        <v>74</v>
      </c>
      <c r="CN175" s="5" t="s">
        <v>74</v>
      </c>
      <c r="CO175" s="5"/>
      <c r="CP175" s="5" t="s">
        <v>74</v>
      </c>
    </row>
    <row r="176" spans="1:94" ht="25.25" customHeight="1">
      <c r="A176" s="5">
        <v>175</v>
      </c>
      <c r="B176" s="9" t="s">
        <v>250</v>
      </c>
      <c r="C176" s="9">
        <v>2024202183</v>
      </c>
      <c r="D176" s="5" t="s">
        <v>135</v>
      </c>
      <c r="E176" s="5">
        <f>SUM(G176:$XET176)</f>
        <v>8.5</v>
      </c>
      <c r="F176" s="5">
        <f>COUNT(G176:$XFD176)</f>
        <v>2</v>
      </c>
      <c r="G176" s="5"/>
      <c r="H176" s="5"/>
      <c r="I176" s="5">
        <v>4.5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 t="s">
        <v>74</v>
      </c>
      <c r="AC176" s="5" t="s">
        <v>74</v>
      </c>
      <c r="AD176" s="5"/>
      <c r="AE176" s="5"/>
      <c r="AF176" s="5"/>
      <c r="AG176" s="5" t="s">
        <v>74</v>
      </c>
      <c r="AH176" s="5" t="s">
        <v>74</v>
      </c>
      <c r="AI176" s="5" t="s">
        <v>74</v>
      </c>
      <c r="AJ176" s="5" t="s">
        <v>74</v>
      </c>
      <c r="AK176" s="5">
        <v>4</v>
      </c>
      <c r="AL176" s="5"/>
      <c r="AM176" s="5"/>
      <c r="AN176" s="5"/>
      <c r="AO176" s="5"/>
      <c r="AP176" s="5"/>
      <c r="AQ176" s="5"/>
      <c r="AR176" s="5" t="s">
        <v>74</v>
      </c>
      <c r="AS176" s="5" t="s">
        <v>74</v>
      </c>
      <c r="AT176" s="5" t="s">
        <v>74</v>
      </c>
      <c r="AU176" s="5" t="s">
        <v>74</v>
      </c>
      <c r="AV176" s="5" t="s">
        <v>74</v>
      </c>
      <c r="AW176" s="5" t="s">
        <v>74</v>
      </c>
      <c r="AX176" s="5" t="s">
        <v>74</v>
      </c>
      <c r="AY176" s="5" t="s">
        <v>74</v>
      </c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 t="s">
        <v>74</v>
      </c>
      <c r="BQ176" s="5" t="s">
        <v>74</v>
      </c>
      <c r="BR176" s="5" t="s">
        <v>74</v>
      </c>
      <c r="BS176" s="5"/>
      <c r="BT176" s="5" t="s">
        <v>74</v>
      </c>
      <c r="BU176" s="6" t="s">
        <v>51</v>
      </c>
      <c r="BV176" s="5" t="s">
        <v>74</v>
      </c>
      <c r="BW176" s="5"/>
      <c r="BX176" s="5" t="s">
        <v>74</v>
      </c>
      <c r="BY176" s="5"/>
      <c r="BZ176" s="5"/>
      <c r="CA176" s="10" t="s">
        <v>74</v>
      </c>
      <c r="CB176" s="5" t="s">
        <v>74</v>
      </c>
      <c r="CC176" s="5" t="s">
        <v>74</v>
      </c>
      <c r="CD176" s="5" t="s">
        <v>74</v>
      </c>
      <c r="CE176" s="5" t="s">
        <v>74</v>
      </c>
      <c r="CF176" s="8"/>
      <c r="CG176" s="5"/>
      <c r="CH176" s="5" t="s">
        <v>74</v>
      </c>
      <c r="CI176" s="5" t="s">
        <v>74</v>
      </c>
      <c r="CJ176" s="8" t="s">
        <v>74</v>
      </c>
      <c r="CK176" s="5"/>
      <c r="CL176" s="5" t="s">
        <v>74</v>
      </c>
      <c r="CM176" s="5" t="s">
        <v>74</v>
      </c>
      <c r="CN176" s="5" t="s">
        <v>74</v>
      </c>
      <c r="CO176" s="5"/>
      <c r="CP176" s="5" t="s">
        <v>74</v>
      </c>
    </row>
    <row r="177" spans="1:94" ht="25.25" customHeight="1">
      <c r="A177" s="5">
        <v>176</v>
      </c>
      <c r="B177" s="9" t="s">
        <v>251</v>
      </c>
      <c r="C177" s="9">
        <v>2024202232</v>
      </c>
      <c r="D177" s="5" t="s">
        <v>135</v>
      </c>
      <c r="E177" s="5">
        <f>SUM(G177:$XET177)</f>
        <v>23</v>
      </c>
      <c r="F177" s="5">
        <f>COUNT(G177:$XFD177)</f>
        <v>2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>
        <v>22</v>
      </c>
      <c r="Y177" s="5"/>
      <c r="Z177" s="5"/>
      <c r="AA177" s="5"/>
      <c r="AB177" s="5" t="s">
        <v>74</v>
      </c>
      <c r="AC177" s="5" t="s">
        <v>74</v>
      </c>
      <c r="AD177" s="5"/>
      <c r="AE177" s="5"/>
      <c r="AF177" s="5"/>
      <c r="AG177" s="5" t="s">
        <v>74</v>
      </c>
      <c r="AH177" s="5" t="s">
        <v>74</v>
      </c>
      <c r="AI177" s="5" t="s">
        <v>74</v>
      </c>
      <c r="AJ177" s="5" t="s">
        <v>74</v>
      </c>
      <c r="AK177" s="5" t="s">
        <v>74</v>
      </c>
      <c r="AL177" s="5"/>
      <c r="AM177" s="5"/>
      <c r="AN177" s="5"/>
      <c r="AO177" s="5"/>
      <c r="AP177" s="5"/>
      <c r="AQ177" s="5"/>
      <c r="AR177" s="5" t="s">
        <v>74</v>
      </c>
      <c r="AS177" s="5" t="s">
        <v>74</v>
      </c>
      <c r="AT177" s="5" t="s">
        <v>74</v>
      </c>
      <c r="AU177" s="5" t="s">
        <v>74</v>
      </c>
      <c r="AV177" s="5" t="s">
        <v>74</v>
      </c>
      <c r="AW177" s="5" t="s">
        <v>74</v>
      </c>
      <c r="AX177" s="5" t="s">
        <v>74</v>
      </c>
      <c r="AY177" s="5" t="s">
        <v>74</v>
      </c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 t="s">
        <v>74</v>
      </c>
      <c r="BQ177" s="5" t="s">
        <v>74</v>
      </c>
      <c r="BR177" s="5" t="s">
        <v>74</v>
      </c>
      <c r="BS177" s="5"/>
      <c r="BT177" s="5" t="s">
        <v>74</v>
      </c>
      <c r="BU177" s="6" t="s">
        <v>51</v>
      </c>
      <c r="BV177" s="5" t="s">
        <v>74</v>
      </c>
      <c r="BW177" s="5"/>
      <c r="BX177" s="5" t="s">
        <v>74</v>
      </c>
      <c r="BY177" s="5"/>
      <c r="BZ177" s="5"/>
      <c r="CA177" s="10" t="s">
        <v>74</v>
      </c>
      <c r="CB177" s="5" t="s">
        <v>74</v>
      </c>
      <c r="CC177" s="5" t="s">
        <v>74</v>
      </c>
      <c r="CD177" s="5" t="s">
        <v>74</v>
      </c>
      <c r="CE177" s="5" t="s">
        <v>74</v>
      </c>
      <c r="CF177" s="8"/>
      <c r="CG177" s="5"/>
      <c r="CH177" s="5" t="s">
        <v>74</v>
      </c>
      <c r="CI177" s="5" t="s">
        <v>74</v>
      </c>
      <c r="CJ177" s="8" t="s">
        <v>74</v>
      </c>
      <c r="CK177" s="5"/>
      <c r="CL177" s="5" t="s">
        <v>74</v>
      </c>
      <c r="CM177" s="5" t="s">
        <v>74</v>
      </c>
      <c r="CN177" s="5">
        <v>1</v>
      </c>
      <c r="CO177" s="5"/>
      <c r="CP177" s="5" t="s">
        <v>74</v>
      </c>
    </row>
    <row r="178" spans="1:94" ht="25.25" customHeight="1">
      <c r="A178" s="5">
        <v>177</v>
      </c>
      <c r="B178" s="9" t="s">
        <v>252</v>
      </c>
      <c r="C178" s="9">
        <v>2024202249</v>
      </c>
      <c r="D178" s="5" t="s">
        <v>135</v>
      </c>
      <c r="E178" s="5">
        <f>SUM(G178:$XET178)</f>
        <v>74</v>
      </c>
      <c r="F178" s="5">
        <f>COUNT(G178:$XFD178)</f>
        <v>2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 t="s">
        <v>74</v>
      </c>
      <c r="AC178" s="5" t="s">
        <v>74</v>
      </c>
      <c r="AD178" s="5"/>
      <c r="AE178" s="5"/>
      <c r="AF178" s="5"/>
      <c r="AG178" s="5" t="s">
        <v>74</v>
      </c>
      <c r="AH178" s="5" t="s">
        <v>74</v>
      </c>
      <c r="AI178" s="5" t="s">
        <v>74</v>
      </c>
      <c r="AJ178" s="5">
        <v>2</v>
      </c>
      <c r="AK178" s="5" t="s">
        <v>74</v>
      </c>
      <c r="AL178" s="5"/>
      <c r="AM178" s="5"/>
      <c r="AN178" s="5"/>
      <c r="AO178" s="5"/>
      <c r="AP178" s="5"/>
      <c r="AQ178" s="5"/>
      <c r="AR178" s="5" t="s">
        <v>74</v>
      </c>
      <c r="AS178" s="5" t="s">
        <v>74</v>
      </c>
      <c r="AT178" s="5">
        <v>72</v>
      </c>
      <c r="AU178" s="5" t="s">
        <v>74</v>
      </c>
      <c r="AV178" s="5" t="s">
        <v>74</v>
      </c>
      <c r="AW178" s="5" t="s">
        <v>74</v>
      </c>
      <c r="AX178" s="5" t="s">
        <v>74</v>
      </c>
      <c r="AY178" s="5" t="s">
        <v>74</v>
      </c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 t="s">
        <v>74</v>
      </c>
      <c r="BQ178" s="5" t="s">
        <v>74</v>
      </c>
      <c r="BR178" s="5" t="s">
        <v>74</v>
      </c>
      <c r="BS178" s="5"/>
      <c r="BT178" s="5" t="s">
        <v>74</v>
      </c>
      <c r="BU178" s="6" t="s">
        <v>51</v>
      </c>
      <c r="BV178" s="5" t="s">
        <v>74</v>
      </c>
      <c r="BW178" s="5"/>
      <c r="BX178" s="5" t="s">
        <v>74</v>
      </c>
      <c r="BY178" s="5"/>
      <c r="BZ178" s="5"/>
      <c r="CA178" s="10" t="s">
        <v>74</v>
      </c>
      <c r="CB178" s="5" t="s">
        <v>74</v>
      </c>
      <c r="CC178" s="5" t="s">
        <v>74</v>
      </c>
      <c r="CD178" s="5" t="s">
        <v>74</v>
      </c>
      <c r="CE178" s="5" t="s">
        <v>74</v>
      </c>
      <c r="CF178" s="8"/>
      <c r="CG178" s="5"/>
      <c r="CH178" s="5" t="s">
        <v>74</v>
      </c>
      <c r="CI178" s="5" t="s">
        <v>74</v>
      </c>
      <c r="CJ178" s="8" t="s">
        <v>74</v>
      </c>
      <c r="CK178" s="5"/>
      <c r="CL178" s="5" t="s">
        <v>74</v>
      </c>
      <c r="CM178" s="5" t="s">
        <v>74</v>
      </c>
      <c r="CN178" s="5" t="s">
        <v>74</v>
      </c>
      <c r="CO178" s="5"/>
      <c r="CP178" s="5" t="s">
        <v>74</v>
      </c>
    </row>
    <row r="179" spans="1:94" ht="25.25" customHeight="1">
      <c r="A179" s="5">
        <v>178</v>
      </c>
      <c r="B179" s="9" t="s">
        <v>253</v>
      </c>
      <c r="C179" s="9">
        <v>2024202889</v>
      </c>
      <c r="D179" s="5" t="s">
        <v>135</v>
      </c>
      <c r="E179" s="5">
        <f>SUM(G179:$XET179)</f>
        <v>4</v>
      </c>
      <c r="F179" s="5">
        <f>COUNT(G179:$XFD179)</f>
        <v>1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>
        <v>4</v>
      </c>
      <c r="T179" s="5"/>
      <c r="U179" s="5"/>
      <c r="V179" s="5"/>
      <c r="W179" s="5"/>
      <c r="X179" s="5"/>
      <c r="Y179" s="5"/>
      <c r="Z179" s="5"/>
      <c r="AA179" s="5"/>
      <c r="AB179" s="5" t="s">
        <v>74</v>
      </c>
      <c r="AC179" s="5" t="s">
        <v>74</v>
      </c>
      <c r="AD179" s="5"/>
      <c r="AE179" s="5"/>
      <c r="AF179" s="5"/>
      <c r="AG179" s="5" t="s">
        <v>74</v>
      </c>
      <c r="AH179" s="5" t="s">
        <v>74</v>
      </c>
      <c r="AI179" s="5" t="s">
        <v>74</v>
      </c>
      <c r="AJ179" s="5" t="s">
        <v>74</v>
      </c>
      <c r="AK179" s="5" t="s">
        <v>74</v>
      </c>
      <c r="AL179" s="5"/>
      <c r="AM179" s="5"/>
      <c r="AN179" s="5"/>
      <c r="AO179" s="5"/>
      <c r="AP179" s="5"/>
      <c r="AQ179" s="5"/>
      <c r="AR179" s="5" t="s">
        <v>74</v>
      </c>
      <c r="AS179" s="5" t="s">
        <v>74</v>
      </c>
      <c r="AT179" s="5" t="s">
        <v>74</v>
      </c>
      <c r="AU179" s="5" t="s">
        <v>74</v>
      </c>
      <c r="AV179" s="5" t="s">
        <v>74</v>
      </c>
      <c r="AW179" s="5" t="s">
        <v>74</v>
      </c>
      <c r="AX179" s="5" t="s">
        <v>74</v>
      </c>
      <c r="AY179" s="5" t="s">
        <v>74</v>
      </c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 t="s">
        <v>74</v>
      </c>
      <c r="BQ179" s="5" t="s">
        <v>74</v>
      </c>
      <c r="BR179" s="5" t="s">
        <v>74</v>
      </c>
      <c r="BS179" s="5"/>
      <c r="BT179" s="5" t="s">
        <v>74</v>
      </c>
      <c r="BU179" s="6" t="s">
        <v>51</v>
      </c>
      <c r="BV179" s="5" t="s">
        <v>74</v>
      </c>
      <c r="BW179" s="5"/>
      <c r="BX179" s="5" t="s">
        <v>74</v>
      </c>
      <c r="BY179" s="5"/>
      <c r="BZ179" s="5"/>
      <c r="CA179" s="10" t="s">
        <v>74</v>
      </c>
      <c r="CB179" s="5" t="s">
        <v>74</v>
      </c>
      <c r="CC179" s="5" t="s">
        <v>74</v>
      </c>
      <c r="CD179" s="5" t="s">
        <v>74</v>
      </c>
      <c r="CE179" s="5" t="s">
        <v>74</v>
      </c>
      <c r="CF179" s="8"/>
      <c r="CG179" s="5"/>
      <c r="CH179" s="5" t="s">
        <v>74</v>
      </c>
      <c r="CI179" s="5" t="s">
        <v>74</v>
      </c>
      <c r="CJ179" s="8" t="s">
        <v>74</v>
      </c>
      <c r="CK179" s="5"/>
      <c r="CL179" s="5" t="s">
        <v>74</v>
      </c>
      <c r="CM179" s="5" t="s">
        <v>74</v>
      </c>
      <c r="CN179" s="5" t="s">
        <v>74</v>
      </c>
      <c r="CO179" s="5"/>
      <c r="CP179" s="5" t="s">
        <v>74</v>
      </c>
    </row>
    <row r="180" spans="1:94" ht="25.25" customHeight="1">
      <c r="A180" s="5">
        <v>179</v>
      </c>
      <c r="B180" s="9" t="s">
        <v>254</v>
      </c>
      <c r="C180" s="9">
        <v>2024202883</v>
      </c>
      <c r="D180" s="5" t="s">
        <v>135</v>
      </c>
      <c r="E180" s="5">
        <f>SUM(G180:$XET180)</f>
        <v>32</v>
      </c>
      <c r="F180" s="5">
        <f>COUNT(G180:$XFD180)</f>
        <v>6</v>
      </c>
      <c r="G180" s="5"/>
      <c r="H180" s="5"/>
      <c r="I180" s="5">
        <v>4</v>
      </c>
      <c r="J180" s="5"/>
      <c r="K180" s="5">
        <v>9</v>
      </c>
      <c r="L180" s="5">
        <v>5</v>
      </c>
      <c r="M180" s="5">
        <v>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 t="s">
        <v>74</v>
      </c>
      <c r="AC180" s="5" t="s">
        <v>74</v>
      </c>
      <c r="AD180" s="5"/>
      <c r="AE180" s="5"/>
      <c r="AF180" s="5"/>
      <c r="AG180" s="5" t="s">
        <v>74</v>
      </c>
      <c r="AH180" s="5" t="s">
        <v>74</v>
      </c>
      <c r="AI180" s="5" t="s">
        <v>74</v>
      </c>
      <c r="AJ180" s="5">
        <v>2</v>
      </c>
      <c r="AK180" s="5">
        <v>4</v>
      </c>
      <c r="AL180" s="5"/>
      <c r="AM180" s="5"/>
      <c r="AN180" s="5"/>
      <c r="AO180" s="5"/>
      <c r="AP180" s="5"/>
      <c r="AQ180" s="5"/>
      <c r="AR180" s="5" t="s">
        <v>74</v>
      </c>
      <c r="AS180" s="5" t="s">
        <v>74</v>
      </c>
      <c r="AT180" s="5" t="s">
        <v>74</v>
      </c>
      <c r="AU180" s="5" t="s">
        <v>74</v>
      </c>
      <c r="AV180" s="5" t="s">
        <v>74</v>
      </c>
      <c r="AW180" s="5" t="s">
        <v>74</v>
      </c>
      <c r="AX180" s="5" t="s">
        <v>74</v>
      </c>
      <c r="AY180" s="5" t="s">
        <v>74</v>
      </c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 t="s">
        <v>74</v>
      </c>
      <c r="BQ180" s="5" t="s">
        <v>74</v>
      </c>
      <c r="BR180" s="5" t="s">
        <v>74</v>
      </c>
      <c r="BS180" s="5"/>
      <c r="BT180" s="5" t="s">
        <v>74</v>
      </c>
      <c r="BU180" s="6" t="s">
        <v>51</v>
      </c>
      <c r="BV180" s="5" t="s">
        <v>74</v>
      </c>
      <c r="BW180" s="5"/>
      <c r="BX180" s="5" t="s">
        <v>74</v>
      </c>
      <c r="BY180" s="5"/>
      <c r="BZ180" s="5"/>
      <c r="CA180" s="10" t="s">
        <v>74</v>
      </c>
      <c r="CB180" s="5" t="s">
        <v>74</v>
      </c>
      <c r="CC180" s="5" t="s">
        <v>74</v>
      </c>
      <c r="CD180" s="5" t="s">
        <v>74</v>
      </c>
      <c r="CE180" s="5" t="s">
        <v>74</v>
      </c>
      <c r="CF180" s="8"/>
      <c r="CG180" s="5"/>
      <c r="CH180" s="5" t="s">
        <v>74</v>
      </c>
      <c r="CI180" s="5" t="s">
        <v>74</v>
      </c>
      <c r="CJ180" s="8" t="s">
        <v>74</v>
      </c>
      <c r="CK180" s="5"/>
      <c r="CL180" s="5" t="s">
        <v>74</v>
      </c>
      <c r="CM180" s="5" t="s">
        <v>74</v>
      </c>
      <c r="CN180" s="5" t="s">
        <v>74</v>
      </c>
      <c r="CO180" s="5"/>
      <c r="CP180" s="5" t="s">
        <v>74</v>
      </c>
    </row>
    <row r="181" spans="1:94" ht="25.25" customHeight="1">
      <c r="A181" s="5">
        <v>180</v>
      </c>
      <c r="B181" s="9" t="s">
        <v>255</v>
      </c>
      <c r="C181" s="9">
        <v>2024202890</v>
      </c>
      <c r="D181" s="5" t="s">
        <v>135</v>
      </c>
      <c r="E181" s="5">
        <f>SUM(G181:$XET181)</f>
        <v>20.5</v>
      </c>
      <c r="F181" s="5">
        <f>COUNT(G181:$XFD181)</f>
        <v>3</v>
      </c>
      <c r="G181" s="5"/>
      <c r="H181" s="5"/>
      <c r="I181" s="5"/>
      <c r="J181" s="5"/>
      <c r="K181" s="5"/>
      <c r="L181" s="5">
        <v>2</v>
      </c>
      <c r="M181" s="5"/>
      <c r="N181" s="5"/>
      <c r="O181" s="5"/>
      <c r="P181" s="5"/>
      <c r="Q181" s="5"/>
      <c r="R181" s="5">
        <v>14.5</v>
      </c>
      <c r="S181" s="5"/>
      <c r="T181" s="5"/>
      <c r="U181" s="5"/>
      <c r="V181" s="5"/>
      <c r="W181" s="5"/>
      <c r="X181" s="5"/>
      <c r="Y181" s="5"/>
      <c r="Z181" s="5"/>
      <c r="AA181" s="5"/>
      <c r="AB181" s="5" t="s">
        <v>74</v>
      </c>
      <c r="AC181" s="5" t="s">
        <v>74</v>
      </c>
      <c r="AD181" s="5"/>
      <c r="AE181" s="5"/>
      <c r="AF181" s="5"/>
      <c r="AG181" s="5" t="s">
        <v>74</v>
      </c>
      <c r="AH181" s="5" t="s">
        <v>74</v>
      </c>
      <c r="AI181" s="5" t="s">
        <v>74</v>
      </c>
      <c r="AJ181" s="5" t="s">
        <v>74</v>
      </c>
      <c r="AK181" s="5">
        <v>4</v>
      </c>
      <c r="AL181" s="5"/>
      <c r="AM181" s="5"/>
      <c r="AN181" s="5"/>
      <c r="AO181" s="5"/>
      <c r="AP181" s="5"/>
      <c r="AQ181" s="5"/>
      <c r="AR181" s="5" t="s">
        <v>74</v>
      </c>
      <c r="AS181" s="5" t="s">
        <v>74</v>
      </c>
      <c r="AT181" s="5" t="s">
        <v>74</v>
      </c>
      <c r="AU181" s="5" t="s">
        <v>74</v>
      </c>
      <c r="AV181" s="5" t="s">
        <v>74</v>
      </c>
      <c r="AW181" s="5" t="s">
        <v>74</v>
      </c>
      <c r="AX181" s="5" t="s">
        <v>74</v>
      </c>
      <c r="AY181" s="5" t="s">
        <v>74</v>
      </c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 t="s">
        <v>74</v>
      </c>
      <c r="BQ181" s="5" t="s">
        <v>74</v>
      </c>
      <c r="BR181" s="5" t="s">
        <v>74</v>
      </c>
      <c r="BS181" s="5"/>
      <c r="BT181" s="5" t="s">
        <v>74</v>
      </c>
      <c r="BU181" s="6" t="s">
        <v>51</v>
      </c>
      <c r="BV181" s="5" t="s">
        <v>74</v>
      </c>
      <c r="BW181" s="5"/>
      <c r="BX181" s="5" t="s">
        <v>74</v>
      </c>
      <c r="BY181" s="5"/>
      <c r="BZ181" s="5"/>
      <c r="CA181" s="10" t="s">
        <v>74</v>
      </c>
      <c r="CB181" s="5" t="s">
        <v>74</v>
      </c>
      <c r="CC181" s="5" t="s">
        <v>74</v>
      </c>
      <c r="CD181" s="5" t="s">
        <v>74</v>
      </c>
      <c r="CE181" s="5" t="s">
        <v>74</v>
      </c>
      <c r="CF181" s="8"/>
      <c r="CG181" s="5"/>
      <c r="CH181" s="5" t="s">
        <v>74</v>
      </c>
      <c r="CI181" s="5" t="s">
        <v>74</v>
      </c>
      <c r="CJ181" s="8" t="s">
        <v>74</v>
      </c>
      <c r="CK181" s="5"/>
      <c r="CL181" s="5" t="s">
        <v>74</v>
      </c>
      <c r="CM181" s="5" t="s">
        <v>74</v>
      </c>
      <c r="CN181" s="5" t="s">
        <v>74</v>
      </c>
      <c r="CO181" s="5"/>
      <c r="CP181" s="5" t="s">
        <v>74</v>
      </c>
    </row>
    <row r="182" spans="1:94" ht="25.25" customHeight="1">
      <c r="A182" s="5">
        <v>181</v>
      </c>
      <c r="B182" s="9" t="s">
        <v>256</v>
      </c>
      <c r="C182" s="9">
        <v>2024201979</v>
      </c>
      <c r="D182" s="5" t="s">
        <v>135</v>
      </c>
      <c r="E182" s="5">
        <f>SUM(G182:$XET182)</f>
        <v>63.5</v>
      </c>
      <c r="F182" s="5">
        <f>COUNT(G182:$XFD182)</f>
        <v>8</v>
      </c>
      <c r="G182" s="5"/>
      <c r="H182" s="5"/>
      <c r="I182" s="5">
        <v>4</v>
      </c>
      <c r="J182" s="5"/>
      <c r="K182" s="5">
        <v>10</v>
      </c>
      <c r="L182" s="5">
        <v>2</v>
      </c>
      <c r="M182" s="5"/>
      <c r="N182" s="5">
        <v>2</v>
      </c>
      <c r="O182" s="5"/>
      <c r="P182" s="5"/>
      <c r="Q182" s="5">
        <v>4</v>
      </c>
      <c r="R182" s="5"/>
      <c r="S182" s="5"/>
      <c r="T182" s="5"/>
      <c r="U182" s="5"/>
      <c r="V182" s="5"/>
      <c r="W182" s="5"/>
      <c r="X182" s="5"/>
      <c r="Y182" s="5">
        <v>35.5</v>
      </c>
      <c r="Z182" s="5"/>
      <c r="AA182" s="5"/>
      <c r="AB182" s="5" t="s">
        <v>74</v>
      </c>
      <c r="AC182" s="5" t="s">
        <v>74</v>
      </c>
      <c r="AD182" s="5"/>
      <c r="AE182" s="5"/>
      <c r="AF182" s="5"/>
      <c r="AG182" s="5" t="s">
        <v>74</v>
      </c>
      <c r="AH182" s="5" t="s">
        <v>74</v>
      </c>
      <c r="AI182" s="5" t="s">
        <v>74</v>
      </c>
      <c r="AJ182" s="5" t="s">
        <v>74</v>
      </c>
      <c r="AK182" s="5">
        <v>4</v>
      </c>
      <c r="AL182" s="5"/>
      <c r="AM182" s="5"/>
      <c r="AN182" s="5"/>
      <c r="AO182" s="5"/>
      <c r="AP182" s="5"/>
      <c r="AQ182" s="5"/>
      <c r="AR182" s="5" t="s">
        <v>74</v>
      </c>
      <c r="AS182" s="5" t="s">
        <v>74</v>
      </c>
      <c r="AT182" s="5" t="s">
        <v>74</v>
      </c>
      <c r="AU182" s="5" t="s">
        <v>74</v>
      </c>
      <c r="AV182" s="5" t="s">
        <v>74</v>
      </c>
      <c r="AW182" s="5" t="s">
        <v>74</v>
      </c>
      <c r="AX182" s="5" t="s">
        <v>74</v>
      </c>
      <c r="AY182" s="5" t="s">
        <v>74</v>
      </c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 t="s">
        <v>74</v>
      </c>
      <c r="BQ182" s="5" t="s">
        <v>74</v>
      </c>
      <c r="BR182" s="5" t="s">
        <v>74</v>
      </c>
      <c r="BS182" s="5"/>
      <c r="BT182" s="5" t="s">
        <v>74</v>
      </c>
      <c r="BU182" s="6" t="s">
        <v>51</v>
      </c>
      <c r="BV182" s="5" t="s">
        <v>74</v>
      </c>
      <c r="BW182" s="5"/>
      <c r="BX182" s="5" t="s">
        <v>74</v>
      </c>
      <c r="BY182" s="5"/>
      <c r="BZ182" s="5"/>
      <c r="CA182" s="10" t="s">
        <v>74</v>
      </c>
      <c r="CB182" s="5" t="s">
        <v>74</v>
      </c>
      <c r="CC182" s="5" t="s">
        <v>74</v>
      </c>
      <c r="CD182" s="5" t="s">
        <v>74</v>
      </c>
      <c r="CE182" s="5">
        <v>2</v>
      </c>
      <c r="CF182" s="8"/>
      <c r="CG182" s="5"/>
      <c r="CH182" s="5" t="s">
        <v>74</v>
      </c>
      <c r="CI182" s="5" t="s">
        <v>74</v>
      </c>
      <c r="CJ182" s="8" t="s">
        <v>74</v>
      </c>
      <c r="CK182" s="5"/>
      <c r="CL182" s="5" t="s">
        <v>74</v>
      </c>
      <c r="CM182" s="5" t="s">
        <v>74</v>
      </c>
      <c r="CN182" s="5" t="s">
        <v>74</v>
      </c>
      <c r="CO182" s="5"/>
      <c r="CP182" s="5" t="s">
        <v>74</v>
      </c>
    </row>
    <row r="183" spans="1:94" ht="25.25" customHeight="1">
      <c r="A183" s="5">
        <v>182</v>
      </c>
      <c r="B183" s="9" t="s">
        <v>257</v>
      </c>
      <c r="C183" s="9">
        <v>2024201992</v>
      </c>
      <c r="D183" s="5" t="s">
        <v>135</v>
      </c>
      <c r="E183" s="5">
        <f>SUM(G183:$XET183)</f>
        <v>21</v>
      </c>
      <c r="F183" s="5">
        <f>COUNT(G183:$XFD183)</f>
        <v>8</v>
      </c>
      <c r="G183" s="5"/>
      <c r="H183" s="5"/>
      <c r="I183" s="5"/>
      <c r="J183" s="5"/>
      <c r="K183" s="5"/>
      <c r="L183" s="5"/>
      <c r="M183" s="5"/>
      <c r="N183" s="5">
        <v>2</v>
      </c>
      <c r="O183" s="5"/>
      <c r="P183" s="5"/>
      <c r="Q183" s="5"/>
      <c r="R183" s="5"/>
      <c r="S183" s="5"/>
      <c r="T183" s="5"/>
      <c r="U183" s="5"/>
      <c r="V183" s="5">
        <v>4</v>
      </c>
      <c r="W183" s="5"/>
      <c r="X183" s="5"/>
      <c r="Y183" s="5"/>
      <c r="Z183" s="5"/>
      <c r="AA183" s="5"/>
      <c r="AB183" s="5" t="s">
        <v>74</v>
      </c>
      <c r="AC183" s="5">
        <v>1</v>
      </c>
      <c r="AD183" s="5"/>
      <c r="AE183" s="5"/>
      <c r="AF183" s="5"/>
      <c r="AG183" s="5" t="s">
        <v>74</v>
      </c>
      <c r="AH183" s="5" t="s">
        <v>74</v>
      </c>
      <c r="AI183" s="5" t="s">
        <v>74</v>
      </c>
      <c r="AJ183" s="5" t="s">
        <v>74</v>
      </c>
      <c r="AK183" s="5">
        <v>4</v>
      </c>
      <c r="AL183" s="5"/>
      <c r="AM183" s="5"/>
      <c r="AN183" s="5"/>
      <c r="AO183" s="5"/>
      <c r="AP183" s="5"/>
      <c r="AQ183" s="5"/>
      <c r="AR183" s="5" t="s">
        <v>74</v>
      </c>
      <c r="AS183" s="5" t="s">
        <v>74</v>
      </c>
      <c r="AT183" s="5" t="s">
        <v>74</v>
      </c>
      <c r="AU183" s="5" t="s">
        <v>74</v>
      </c>
      <c r="AV183" s="5" t="s">
        <v>74</v>
      </c>
      <c r="AW183" s="5" t="s">
        <v>74</v>
      </c>
      <c r="AX183" s="5" t="s">
        <v>74</v>
      </c>
      <c r="AY183" s="5" t="s">
        <v>74</v>
      </c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 t="s">
        <v>74</v>
      </c>
      <c r="BQ183" s="5" t="s">
        <v>74</v>
      </c>
      <c r="BR183" s="5" t="s">
        <v>74</v>
      </c>
      <c r="BS183" s="5"/>
      <c r="BT183" s="5" t="s">
        <v>74</v>
      </c>
      <c r="BU183" s="6" t="s">
        <v>51</v>
      </c>
      <c r="BV183" s="5">
        <v>1</v>
      </c>
      <c r="BW183" s="5"/>
      <c r="BX183" s="5" t="s">
        <v>74</v>
      </c>
      <c r="BY183" s="5"/>
      <c r="BZ183" s="5"/>
      <c r="CA183" s="10" t="s">
        <v>74</v>
      </c>
      <c r="CB183" s="5">
        <v>3</v>
      </c>
      <c r="CC183" s="5" t="s">
        <v>74</v>
      </c>
      <c r="CD183" s="5" t="s">
        <v>74</v>
      </c>
      <c r="CE183" s="5">
        <v>2</v>
      </c>
      <c r="CF183" s="8"/>
      <c r="CG183" s="5"/>
      <c r="CH183" s="5" t="s">
        <v>74</v>
      </c>
      <c r="CI183" s="5" t="s">
        <v>74</v>
      </c>
      <c r="CJ183" s="8" t="s">
        <v>74</v>
      </c>
      <c r="CK183" s="5">
        <v>4</v>
      </c>
      <c r="CL183" s="5" t="s">
        <v>74</v>
      </c>
      <c r="CM183" s="5" t="s">
        <v>74</v>
      </c>
      <c r="CN183" s="5" t="s">
        <v>74</v>
      </c>
      <c r="CO183" s="5"/>
      <c r="CP183" s="5" t="s">
        <v>74</v>
      </c>
    </row>
    <row r="184" spans="1:94" ht="25.25" customHeight="1">
      <c r="A184" s="5">
        <v>183</v>
      </c>
      <c r="B184" s="9" t="s">
        <v>258</v>
      </c>
      <c r="C184" s="9">
        <v>2024202060</v>
      </c>
      <c r="D184" s="5" t="s">
        <v>135</v>
      </c>
      <c r="E184" s="5">
        <f>SUM(G184:$XET184)</f>
        <v>47</v>
      </c>
      <c r="F184" s="5">
        <f>COUNT(G184:$XFD184)</f>
        <v>9</v>
      </c>
      <c r="G184" s="5"/>
      <c r="H184" s="5"/>
      <c r="I184" s="5"/>
      <c r="J184" s="5"/>
      <c r="K184" s="5">
        <v>9</v>
      </c>
      <c r="L184" s="5"/>
      <c r="M184" s="5"/>
      <c r="N184" s="5"/>
      <c r="O184" s="5">
        <v>6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 t="s">
        <v>74</v>
      </c>
      <c r="AC184" s="5" t="s">
        <v>74</v>
      </c>
      <c r="AD184" s="5"/>
      <c r="AE184" s="5"/>
      <c r="AF184" s="5"/>
      <c r="AG184" s="5" t="s">
        <v>74</v>
      </c>
      <c r="AH184" s="5" t="s">
        <v>74</v>
      </c>
      <c r="AI184" s="5" t="s">
        <v>74</v>
      </c>
      <c r="AJ184" s="5" t="s">
        <v>74</v>
      </c>
      <c r="AK184" s="5">
        <v>4</v>
      </c>
      <c r="AL184" s="5"/>
      <c r="AM184" s="5"/>
      <c r="AN184" s="5"/>
      <c r="AO184" s="5"/>
      <c r="AP184" s="5"/>
      <c r="AQ184" s="5"/>
      <c r="AR184" s="5" t="s">
        <v>74</v>
      </c>
      <c r="AS184" s="5">
        <v>12</v>
      </c>
      <c r="AT184" s="5" t="s">
        <v>74</v>
      </c>
      <c r="AU184" s="5" t="s">
        <v>74</v>
      </c>
      <c r="AV184" s="5" t="s">
        <v>74</v>
      </c>
      <c r="AW184" s="5" t="s">
        <v>74</v>
      </c>
      <c r="AX184" s="5" t="s">
        <v>74</v>
      </c>
      <c r="AY184" s="5" t="s">
        <v>74</v>
      </c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 t="s">
        <v>74</v>
      </c>
      <c r="BQ184" s="5" t="s">
        <v>74</v>
      </c>
      <c r="BR184" s="5" t="s">
        <v>74</v>
      </c>
      <c r="BS184" s="5"/>
      <c r="BT184" s="5" t="s">
        <v>74</v>
      </c>
      <c r="BU184" s="6" t="s">
        <v>51</v>
      </c>
      <c r="BV184" s="5">
        <v>1</v>
      </c>
      <c r="BW184" s="5"/>
      <c r="BX184" s="5" t="s">
        <v>74</v>
      </c>
      <c r="BY184" s="5"/>
      <c r="BZ184" s="5"/>
      <c r="CA184" s="10" t="s">
        <v>74</v>
      </c>
      <c r="CB184" s="5">
        <v>3</v>
      </c>
      <c r="CC184" s="5" t="s">
        <v>74</v>
      </c>
      <c r="CD184" s="5" t="s">
        <v>74</v>
      </c>
      <c r="CE184" s="5">
        <v>2</v>
      </c>
      <c r="CF184" s="8"/>
      <c r="CG184" s="5"/>
      <c r="CH184" s="5">
        <v>5</v>
      </c>
      <c r="CI184" s="5" t="s">
        <v>74</v>
      </c>
      <c r="CJ184" s="8" t="s">
        <v>74</v>
      </c>
      <c r="CK184" s="5"/>
      <c r="CL184" s="5" t="s">
        <v>74</v>
      </c>
      <c r="CM184" s="5" t="s">
        <v>74</v>
      </c>
      <c r="CN184" s="5">
        <v>5</v>
      </c>
      <c r="CO184" s="5"/>
      <c r="CP184" s="5" t="s">
        <v>74</v>
      </c>
    </row>
    <row r="185" spans="1:94" ht="25.25" customHeight="1">
      <c r="A185" s="5">
        <v>184</v>
      </c>
      <c r="B185" s="9" t="s">
        <v>259</v>
      </c>
      <c r="C185" s="9">
        <v>2024202076</v>
      </c>
      <c r="D185" s="5" t="s">
        <v>135</v>
      </c>
      <c r="E185" s="5">
        <f>SUM(G185:$XET185)</f>
        <v>43.5</v>
      </c>
      <c r="F185" s="5">
        <f>COUNT(G185:$XFD185)</f>
        <v>7</v>
      </c>
      <c r="G185" s="5"/>
      <c r="H185" s="5"/>
      <c r="I185" s="5"/>
      <c r="J185" s="5"/>
      <c r="K185" s="5">
        <v>9</v>
      </c>
      <c r="L185" s="5">
        <v>1</v>
      </c>
      <c r="M185" s="5"/>
      <c r="N185" s="5">
        <v>2</v>
      </c>
      <c r="O185" s="5"/>
      <c r="P185" s="5"/>
      <c r="Q185" s="5"/>
      <c r="R185" s="5">
        <v>17.5</v>
      </c>
      <c r="S185" s="5"/>
      <c r="T185" s="5"/>
      <c r="U185" s="5"/>
      <c r="V185" s="5"/>
      <c r="W185" s="5">
        <v>7</v>
      </c>
      <c r="X185" s="5"/>
      <c r="Y185" s="5"/>
      <c r="Z185" s="5"/>
      <c r="AA185" s="5"/>
      <c r="AB185" s="5" t="s">
        <v>74</v>
      </c>
      <c r="AC185" s="5" t="s">
        <v>74</v>
      </c>
      <c r="AD185" s="5"/>
      <c r="AE185" s="5"/>
      <c r="AF185" s="5"/>
      <c r="AG185" s="5" t="s">
        <v>74</v>
      </c>
      <c r="AH185" s="5" t="s">
        <v>74</v>
      </c>
      <c r="AI185" s="5" t="s">
        <v>74</v>
      </c>
      <c r="AJ185" s="5" t="s">
        <v>74</v>
      </c>
      <c r="AK185" s="5" t="s">
        <v>74</v>
      </c>
      <c r="AL185" s="5"/>
      <c r="AM185" s="5"/>
      <c r="AN185" s="5"/>
      <c r="AO185" s="5"/>
      <c r="AP185" s="5"/>
      <c r="AQ185" s="5"/>
      <c r="AR185" s="5" t="s">
        <v>74</v>
      </c>
      <c r="AS185" s="5" t="s">
        <v>74</v>
      </c>
      <c r="AT185" s="5" t="s">
        <v>74</v>
      </c>
      <c r="AU185" s="5" t="s">
        <v>74</v>
      </c>
      <c r="AV185" s="5" t="s">
        <v>74</v>
      </c>
      <c r="AW185" s="5" t="s">
        <v>74</v>
      </c>
      <c r="AX185" s="5" t="s">
        <v>74</v>
      </c>
      <c r="AY185" s="5" t="s">
        <v>74</v>
      </c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 t="s">
        <v>74</v>
      </c>
      <c r="BQ185" s="5" t="s">
        <v>74</v>
      </c>
      <c r="BR185" s="5" t="s">
        <v>74</v>
      </c>
      <c r="BS185" s="5"/>
      <c r="BT185" s="5" t="s">
        <v>74</v>
      </c>
      <c r="BU185" s="6" t="s">
        <v>51</v>
      </c>
      <c r="BV185" s="5" t="s">
        <v>74</v>
      </c>
      <c r="BW185" s="5"/>
      <c r="BX185" s="5" t="s">
        <v>74</v>
      </c>
      <c r="BY185" s="5"/>
      <c r="BZ185" s="5"/>
      <c r="CA185" s="10" t="s">
        <v>74</v>
      </c>
      <c r="CB185" s="5" t="s">
        <v>74</v>
      </c>
      <c r="CC185" s="5" t="s">
        <v>74</v>
      </c>
      <c r="CD185" s="5" t="s">
        <v>74</v>
      </c>
      <c r="CE185" s="5">
        <v>2</v>
      </c>
      <c r="CF185" s="8"/>
      <c r="CG185" s="5"/>
      <c r="CH185" s="5" t="s">
        <v>74</v>
      </c>
      <c r="CI185" s="5" t="s">
        <v>74</v>
      </c>
      <c r="CJ185" s="8" t="s">
        <v>74</v>
      </c>
      <c r="CK185" s="5"/>
      <c r="CL185" s="5" t="s">
        <v>74</v>
      </c>
      <c r="CM185" s="5" t="s">
        <v>74</v>
      </c>
      <c r="CN185" s="5">
        <v>5</v>
      </c>
      <c r="CO185" s="5"/>
      <c r="CP185" s="5" t="s">
        <v>74</v>
      </c>
    </row>
    <row r="186" spans="1:94" ht="25.25" customHeight="1">
      <c r="A186" s="5">
        <v>185</v>
      </c>
      <c r="B186" s="9" t="s">
        <v>260</v>
      </c>
      <c r="C186" s="9">
        <v>2024202149</v>
      </c>
      <c r="D186" s="5" t="s">
        <v>135</v>
      </c>
      <c r="E186" s="5">
        <f>SUM(G186:$XET186)</f>
        <v>36</v>
      </c>
      <c r="F186" s="5">
        <f>COUNT(G186:$XFD186)</f>
        <v>3</v>
      </c>
      <c r="G186" s="5"/>
      <c r="H186" s="5"/>
      <c r="I186" s="5"/>
      <c r="J186" s="5"/>
      <c r="K186" s="5">
        <v>10</v>
      </c>
      <c r="L186" s="5"/>
      <c r="M186" s="5"/>
      <c r="N186" s="5"/>
      <c r="O186" s="5"/>
      <c r="P186" s="5"/>
      <c r="Q186" s="5"/>
      <c r="R186" s="5">
        <v>11</v>
      </c>
      <c r="S186" s="5"/>
      <c r="T186" s="5"/>
      <c r="U186" s="5"/>
      <c r="V186" s="5"/>
      <c r="W186" s="5"/>
      <c r="X186" s="5"/>
      <c r="Y186" s="5"/>
      <c r="Z186" s="5"/>
      <c r="AA186" s="5"/>
      <c r="AB186" s="5" t="s">
        <v>74</v>
      </c>
      <c r="AC186" s="5" t="s">
        <v>74</v>
      </c>
      <c r="AD186" s="5"/>
      <c r="AE186" s="5"/>
      <c r="AF186" s="5"/>
      <c r="AG186" s="5" t="s">
        <v>74</v>
      </c>
      <c r="AH186" s="5" t="s">
        <v>74</v>
      </c>
      <c r="AI186" s="5" t="s">
        <v>74</v>
      </c>
      <c r="AJ186" s="5" t="s">
        <v>74</v>
      </c>
      <c r="AK186" s="5" t="s">
        <v>74</v>
      </c>
      <c r="AL186" s="5"/>
      <c r="AM186" s="5"/>
      <c r="AN186" s="5"/>
      <c r="AO186" s="5"/>
      <c r="AP186" s="5"/>
      <c r="AQ186" s="5"/>
      <c r="AR186" s="5" t="s">
        <v>74</v>
      </c>
      <c r="AS186" s="5">
        <v>15</v>
      </c>
      <c r="AT186" s="5" t="s">
        <v>74</v>
      </c>
      <c r="AU186" s="5" t="s">
        <v>74</v>
      </c>
      <c r="AV186" s="5" t="s">
        <v>74</v>
      </c>
      <c r="AW186" s="5" t="s">
        <v>74</v>
      </c>
      <c r="AX186" s="5" t="s">
        <v>74</v>
      </c>
      <c r="AY186" s="5" t="s">
        <v>74</v>
      </c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 t="s">
        <v>74</v>
      </c>
      <c r="BQ186" s="5" t="s">
        <v>74</v>
      </c>
      <c r="BR186" s="5" t="s">
        <v>74</v>
      </c>
      <c r="BS186" s="5"/>
      <c r="BT186" s="5" t="s">
        <v>74</v>
      </c>
      <c r="BU186" s="6" t="s">
        <v>51</v>
      </c>
      <c r="BV186" s="5" t="s">
        <v>74</v>
      </c>
      <c r="BW186" s="5"/>
      <c r="BX186" s="5" t="s">
        <v>74</v>
      </c>
      <c r="BY186" s="5"/>
      <c r="BZ186" s="5"/>
      <c r="CA186" s="10" t="s">
        <v>74</v>
      </c>
      <c r="CB186" s="5" t="s">
        <v>74</v>
      </c>
      <c r="CC186" s="5" t="s">
        <v>74</v>
      </c>
      <c r="CD186" s="5" t="s">
        <v>74</v>
      </c>
      <c r="CE186" s="5" t="s">
        <v>74</v>
      </c>
      <c r="CF186" s="8"/>
      <c r="CG186" s="5"/>
      <c r="CH186" s="5" t="s">
        <v>74</v>
      </c>
      <c r="CI186" s="5" t="s">
        <v>74</v>
      </c>
      <c r="CJ186" s="8" t="s">
        <v>74</v>
      </c>
      <c r="CK186" s="5"/>
      <c r="CL186" s="5" t="s">
        <v>74</v>
      </c>
      <c r="CM186" s="5" t="s">
        <v>74</v>
      </c>
      <c r="CN186" s="5" t="s">
        <v>74</v>
      </c>
      <c r="CO186" s="5"/>
      <c r="CP186" s="5" t="s">
        <v>74</v>
      </c>
    </row>
    <row r="187" spans="1:94" ht="25.25" customHeight="1">
      <c r="A187" s="5">
        <v>186</v>
      </c>
      <c r="B187" s="9" t="s">
        <v>261</v>
      </c>
      <c r="C187" s="9">
        <v>2024202067</v>
      </c>
      <c r="D187" s="5" t="s">
        <v>135</v>
      </c>
      <c r="E187" s="5">
        <f>SUM(G187:$XET187)</f>
        <v>16</v>
      </c>
      <c r="F187" s="5">
        <f>COUNT(G187:$XFD187)</f>
        <v>7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>
        <v>4</v>
      </c>
      <c r="X187" s="5"/>
      <c r="Y187" s="5"/>
      <c r="Z187" s="5"/>
      <c r="AA187" s="5"/>
      <c r="AB187" s="5" t="s">
        <v>74</v>
      </c>
      <c r="AC187" s="5">
        <v>1.5</v>
      </c>
      <c r="AD187" s="5"/>
      <c r="AE187" s="5"/>
      <c r="AF187" s="5"/>
      <c r="AG187" s="5" t="s">
        <v>74</v>
      </c>
      <c r="AH187" s="5" t="s">
        <v>74</v>
      </c>
      <c r="AI187" s="5" t="s">
        <v>74</v>
      </c>
      <c r="AJ187" s="5" t="s">
        <v>74</v>
      </c>
      <c r="AK187" s="5">
        <v>4</v>
      </c>
      <c r="AL187" s="5"/>
      <c r="AM187" s="5"/>
      <c r="AN187" s="5"/>
      <c r="AO187" s="5"/>
      <c r="AP187" s="5"/>
      <c r="AQ187" s="5"/>
      <c r="AR187" s="5" t="s">
        <v>74</v>
      </c>
      <c r="AS187" s="5" t="s">
        <v>74</v>
      </c>
      <c r="AT187" s="5" t="s">
        <v>74</v>
      </c>
      <c r="AU187" s="5" t="s">
        <v>74</v>
      </c>
      <c r="AV187" s="5" t="s">
        <v>74</v>
      </c>
      <c r="AW187" s="5" t="s">
        <v>74</v>
      </c>
      <c r="AX187" s="5" t="s">
        <v>74</v>
      </c>
      <c r="AY187" s="5" t="s">
        <v>74</v>
      </c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 t="s">
        <v>74</v>
      </c>
      <c r="BQ187" s="5" t="s">
        <v>74</v>
      </c>
      <c r="BR187" s="5" t="s">
        <v>74</v>
      </c>
      <c r="BS187" s="5"/>
      <c r="BT187" s="5" t="s">
        <v>74</v>
      </c>
      <c r="BU187" s="6" t="s">
        <v>51</v>
      </c>
      <c r="BV187" s="5">
        <v>1</v>
      </c>
      <c r="BW187" s="5"/>
      <c r="BX187" s="5" t="s">
        <v>74</v>
      </c>
      <c r="BY187" s="5"/>
      <c r="BZ187" s="5"/>
      <c r="CA187" s="10" t="s">
        <v>74</v>
      </c>
      <c r="CB187" s="5">
        <v>3</v>
      </c>
      <c r="CC187" s="5" t="s">
        <v>74</v>
      </c>
      <c r="CD187" s="5" t="s">
        <v>74</v>
      </c>
      <c r="CE187" s="5">
        <v>2</v>
      </c>
      <c r="CF187" s="8"/>
      <c r="CG187" s="5"/>
      <c r="CH187" s="5" t="s">
        <v>74</v>
      </c>
      <c r="CI187" s="5" t="s">
        <v>74</v>
      </c>
      <c r="CJ187" s="8" t="s">
        <v>74</v>
      </c>
      <c r="CK187" s="5"/>
      <c r="CL187" s="5" t="s">
        <v>74</v>
      </c>
      <c r="CM187" s="5">
        <v>0.5</v>
      </c>
      <c r="CN187" s="5" t="s">
        <v>74</v>
      </c>
      <c r="CO187" s="5"/>
      <c r="CP187" s="5" t="s">
        <v>74</v>
      </c>
    </row>
    <row r="188" spans="1:94" ht="25.25" customHeight="1">
      <c r="A188" s="5">
        <v>187</v>
      </c>
      <c r="B188" s="9" t="s">
        <v>262</v>
      </c>
      <c r="C188" s="9">
        <v>2024202088</v>
      </c>
      <c r="D188" s="5" t="s">
        <v>135</v>
      </c>
      <c r="E188" s="5">
        <f>SUM(G188:$XET188)</f>
        <v>20</v>
      </c>
      <c r="F188" s="5">
        <f>COUNT(G188:$XFD188)</f>
        <v>3</v>
      </c>
      <c r="G188" s="5">
        <v>4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 t="s">
        <v>74</v>
      </c>
      <c r="AC188" s="5" t="s">
        <v>74</v>
      </c>
      <c r="AD188" s="5"/>
      <c r="AE188" s="5"/>
      <c r="AF188" s="5"/>
      <c r="AG188" s="5" t="s">
        <v>74</v>
      </c>
      <c r="AH188" s="5" t="s">
        <v>74</v>
      </c>
      <c r="AI188" s="5" t="s">
        <v>74</v>
      </c>
      <c r="AJ188" s="5" t="s">
        <v>74</v>
      </c>
      <c r="AK188" s="5" t="s">
        <v>74</v>
      </c>
      <c r="AL188" s="5"/>
      <c r="AM188" s="5"/>
      <c r="AN188" s="5"/>
      <c r="AO188" s="5"/>
      <c r="AP188" s="5"/>
      <c r="AQ188" s="5"/>
      <c r="AR188" s="5" t="s">
        <v>74</v>
      </c>
      <c r="AS188" s="5">
        <v>12</v>
      </c>
      <c r="AT188" s="5" t="s">
        <v>74</v>
      </c>
      <c r="AU188" s="5" t="s">
        <v>74</v>
      </c>
      <c r="AV188" s="5" t="s">
        <v>74</v>
      </c>
      <c r="AW188" s="5" t="s">
        <v>74</v>
      </c>
      <c r="AX188" s="5" t="s">
        <v>74</v>
      </c>
      <c r="AY188" s="5" t="s">
        <v>74</v>
      </c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 t="s">
        <v>74</v>
      </c>
      <c r="BQ188" s="5" t="s">
        <v>74</v>
      </c>
      <c r="BR188" s="5" t="s">
        <v>74</v>
      </c>
      <c r="BS188" s="5"/>
      <c r="BT188" s="5" t="s">
        <v>74</v>
      </c>
      <c r="BU188" s="6" t="s">
        <v>51</v>
      </c>
      <c r="BV188" s="5" t="s">
        <v>74</v>
      </c>
      <c r="BW188" s="5"/>
      <c r="BX188" s="5" t="s">
        <v>74</v>
      </c>
      <c r="BY188" s="5"/>
      <c r="BZ188" s="5"/>
      <c r="CA188" s="10">
        <v>4</v>
      </c>
      <c r="CB188" s="5" t="s">
        <v>74</v>
      </c>
      <c r="CC188" s="5" t="s">
        <v>74</v>
      </c>
      <c r="CD188" s="5" t="s">
        <v>74</v>
      </c>
      <c r="CE188" s="5" t="s">
        <v>74</v>
      </c>
      <c r="CF188" s="8"/>
      <c r="CG188" s="5"/>
      <c r="CH188" s="5" t="s">
        <v>74</v>
      </c>
      <c r="CI188" s="5" t="s">
        <v>74</v>
      </c>
      <c r="CJ188" s="8" t="s">
        <v>74</v>
      </c>
      <c r="CK188" s="5"/>
      <c r="CL188" s="5" t="s">
        <v>74</v>
      </c>
      <c r="CM188" s="5" t="s">
        <v>74</v>
      </c>
      <c r="CN188" s="5" t="s">
        <v>74</v>
      </c>
      <c r="CO188" s="5"/>
      <c r="CP188" s="5" t="s">
        <v>74</v>
      </c>
    </row>
    <row r="189" spans="1:94" ht="25.25" customHeight="1">
      <c r="A189" s="5">
        <v>188</v>
      </c>
      <c r="B189" s="9" t="s">
        <v>263</v>
      </c>
      <c r="C189" s="9">
        <v>2024202180</v>
      </c>
      <c r="D189" s="5" t="s">
        <v>135</v>
      </c>
      <c r="E189" s="5">
        <f>SUM(G189:$XET189)</f>
        <v>21.5</v>
      </c>
      <c r="F189" s="5">
        <f>COUNT(G189:$XFD189)</f>
        <v>5</v>
      </c>
      <c r="G189" s="5"/>
      <c r="H189" s="5"/>
      <c r="I189" s="5"/>
      <c r="J189" s="5"/>
      <c r="K189" s="5"/>
      <c r="L189" s="5"/>
      <c r="M189" s="5"/>
      <c r="N189" s="5">
        <v>1</v>
      </c>
      <c r="O189" s="5"/>
      <c r="P189" s="5"/>
      <c r="Q189" s="5"/>
      <c r="R189" s="5"/>
      <c r="S189" s="5"/>
      <c r="T189" s="5"/>
      <c r="U189" s="5"/>
      <c r="V189" s="5"/>
      <c r="W189" s="5"/>
      <c r="X189" s="5">
        <v>10</v>
      </c>
      <c r="Y189" s="5"/>
      <c r="Z189" s="5"/>
      <c r="AA189" s="5">
        <v>4</v>
      </c>
      <c r="AB189" s="5">
        <v>5.5</v>
      </c>
      <c r="AC189" s="5" t="s">
        <v>74</v>
      </c>
      <c r="AD189" s="5"/>
      <c r="AE189" s="5"/>
      <c r="AF189" s="5"/>
      <c r="AG189" s="5" t="s">
        <v>74</v>
      </c>
      <c r="AH189" s="5" t="s">
        <v>74</v>
      </c>
      <c r="AI189" s="5" t="s">
        <v>74</v>
      </c>
      <c r="AJ189" s="5" t="s">
        <v>74</v>
      </c>
      <c r="AK189" s="5" t="s">
        <v>74</v>
      </c>
      <c r="AL189" s="5"/>
      <c r="AM189" s="5"/>
      <c r="AN189" s="5"/>
      <c r="AO189" s="5"/>
      <c r="AP189" s="5"/>
      <c r="AQ189" s="5"/>
      <c r="AR189" s="5" t="s">
        <v>74</v>
      </c>
      <c r="AS189" s="5" t="s">
        <v>74</v>
      </c>
      <c r="AT189" s="5" t="s">
        <v>74</v>
      </c>
      <c r="AU189" s="5" t="s">
        <v>74</v>
      </c>
      <c r="AV189" s="5" t="s">
        <v>74</v>
      </c>
      <c r="AW189" s="5" t="s">
        <v>74</v>
      </c>
      <c r="AX189" s="5" t="s">
        <v>74</v>
      </c>
      <c r="AY189" s="5" t="s">
        <v>74</v>
      </c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 t="s">
        <v>74</v>
      </c>
      <c r="BQ189" s="5" t="s">
        <v>74</v>
      </c>
      <c r="BR189" s="5" t="s">
        <v>74</v>
      </c>
      <c r="BS189" s="5"/>
      <c r="BT189" s="5" t="s">
        <v>74</v>
      </c>
      <c r="BU189" s="6" t="s">
        <v>51</v>
      </c>
      <c r="BV189" s="5">
        <v>1</v>
      </c>
      <c r="BW189" s="5"/>
      <c r="BX189" s="5" t="s">
        <v>74</v>
      </c>
      <c r="BY189" s="5"/>
      <c r="BZ189" s="5"/>
      <c r="CA189" s="10" t="s">
        <v>74</v>
      </c>
      <c r="CB189" s="5" t="s">
        <v>74</v>
      </c>
      <c r="CC189" s="5" t="s">
        <v>74</v>
      </c>
      <c r="CD189" s="5" t="s">
        <v>74</v>
      </c>
      <c r="CE189" s="5" t="s">
        <v>74</v>
      </c>
      <c r="CF189" s="8"/>
      <c r="CG189" s="5"/>
      <c r="CH189" s="5" t="s">
        <v>74</v>
      </c>
      <c r="CI189" s="5" t="s">
        <v>74</v>
      </c>
      <c r="CJ189" s="8" t="s">
        <v>74</v>
      </c>
      <c r="CK189" s="5"/>
      <c r="CL189" s="5" t="s">
        <v>74</v>
      </c>
      <c r="CM189" s="5" t="s">
        <v>74</v>
      </c>
      <c r="CN189" s="5" t="s">
        <v>74</v>
      </c>
      <c r="CO189" s="5"/>
      <c r="CP189" s="5" t="s">
        <v>74</v>
      </c>
    </row>
    <row r="190" spans="1:94" ht="25.25" customHeight="1">
      <c r="A190" s="5">
        <v>189</v>
      </c>
      <c r="B190" s="9" t="s">
        <v>264</v>
      </c>
      <c r="C190" s="9">
        <v>2024202222</v>
      </c>
      <c r="D190" s="5" t="s">
        <v>135</v>
      </c>
      <c r="E190" s="5">
        <f>SUM(G190:$XET190)</f>
        <v>4.5</v>
      </c>
      <c r="F190" s="5">
        <f>COUNT(G190:$XFD190)</f>
        <v>2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>
        <v>0.5</v>
      </c>
      <c r="AC190" s="5" t="s">
        <v>74</v>
      </c>
      <c r="AD190" s="5"/>
      <c r="AE190" s="5"/>
      <c r="AF190" s="5"/>
      <c r="AG190" s="5" t="s">
        <v>74</v>
      </c>
      <c r="AH190" s="5" t="s">
        <v>74</v>
      </c>
      <c r="AI190" s="5" t="s">
        <v>74</v>
      </c>
      <c r="AJ190" s="5" t="s">
        <v>74</v>
      </c>
      <c r="AK190" s="5">
        <v>4</v>
      </c>
      <c r="AL190" s="5"/>
      <c r="AM190" s="5"/>
      <c r="AN190" s="5"/>
      <c r="AO190" s="5"/>
      <c r="AP190" s="5"/>
      <c r="AQ190" s="5"/>
      <c r="AR190" s="5" t="s">
        <v>74</v>
      </c>
      <c r="AS190" s="5" t="s">
        <v>74</v>
      </c>
      <c r="AT190" s="5" t="s">
        <v>74</v>
      </c>
      <c r="AU190" s="5" t="s">
        <v>74</v>
      </c>
      <c r="AV190" s="5" t="s">
        <v>74</v>
      </c>
      <c r="AW190" s="5" t="s">
        <v>74</v>
      </c>
      <c r="AX190" s="5" t="s">
        <v>74</v>
      </c>
      <c r="AY190" s="5" t="s">
        <v>74</v>
      </c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 t="s">
        <v>74</v>
      </c>
      <c r="BQ190" s="5" t="s">
        <v>74</v>
      </c>
      <c r="BR190" s="5" t="s">
        <v>74</v>
      </c>
      <c r="BS190" s="5"/>
      <c r="BT190" s="5" t="s">
        <v>74</v>
      </c>
      <c r="BU190" s="6" t="s">
        <v>51</v>
      </c>
      <c r="BV190" s="5" t="s">
        <v>74</v>
      </c>
      <c r="BW190" s="5"/>
      <c r="BX190" s="5" t="s">
        <v>74</v>
      </c>
      <c r="BY190" s="5"/>
      <c r="BZ190" s="5"/>
      <c r="CA190" s="10" t="s">
        <v>74</v>
      </c>
      <c r="CB190" s="5" t="s">
        <v>74</v>
      </c>
      <c r="CC190" s="5" t="s">
        <v>74</v>
      </c>
      <c r="CD190" s="5" t="s">
        <v>74</v>
      </c>
      <c r="CE190" s="5" t="s">
        <v>74</v>
      </c>
      <c r="CF190" s="8"/>
      <c r="CG190" s="5"/>
      <c r="CH190" s="5" t="s">
        <v>74</v>
      </c>
      <c r="CI190" s="5" t="s">
        <v>74</v>
      </c>
      <c r="CJ190" s="8" t="s">
        <v>74</v>
      </c>
      <c r="CK190" s="5"/>
      <c r="CL190" s="5" t="s">
        <v>74</v>
      </c>
      <c r="CM190" s="5" t="s">
        <v>74</v>
      </c>
      <c r="CN190" s="5" t="s">
        <v>74</v>
      </c>
      <c r="CO190" s="5"/>
      <c r="CP190" s="5" t="s">
        <v>74</v>
      </c>
    </row>
    <row r="191" spans="1:94" ht="25.25" customHeight="1">
      <c r="A191" s="5">
        <v>190</v>
      </c>
      <c r="B191" s="9" t="s">
        <v>265</v>
      </c>
      <c r="C191" s="9">
        <v>2024202064</v>
      </c>
      <c r="D191" s="5" t="s">
        <v>135</v>
      </c>
      <c r="E191" s="5">
        <f>SUM(G191:$XET191)</f>
        <v>24.5</v>
      </c>
      <c r="F191" s="5">
        <f>COUNT(G191:$XFD191)</f>
        <v>8</v>
      </c>
      <c r="G191" s="5"/>
      <c r="H191" s="5"/>
      <c r="I191" s="5"/>
      <c r="J191" s="5"/>
      <c r="K191" s="5"/>
      <c r="L191" s="5"/>
      <c r="M191" s="5"/>
      <c r="N191" s="5"/>
      <c r="O191" s="5"/>
      <c r="P191" s="5">
        <v>6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 t="s">
        <v>74</v>
      </c>
      <c r="AC191" s="5" t="s">
        <v>74</v>
      </c>
      <c r="AD191" s="5"/>
      <c r="AE191" s="5">
        <v>2</v>
      </c>
      <c r="AF191" s="5"/>
      <c r="AG191" s="5" t="s">
        <v>74</v>
      </c>
      <c r="AH191" s="5" t="s">
        <v>74</v>
      </c>
      <c r="AI191" s="5" t="s">
        <v>74</v>
      </c>
      <c r="AJ191" s="5" t="s">
        <v>74</v>
      </c>
      <c r="AK191" s="5">
        <v>4</v>
      </c>
      <c r="AL191" s="5"/>
      <c r="AM191" s="5"/>
      <c r="AN191" s="5"/>
      <c r="AO191" s="5"/>
      <c r="AP191" s="5"/>
      <c r="AQ191" s="5"/>
      <c r="AR191" s="5" t="s">
        <v>74</v>
      </c>
      <c r="AS191" s="5" t="s">
        <v>74</v>
      </c>
      <c r="AT191" s="5" t="s">
        <v>74</v>
      </c>
      <c r="AU191" s="5" t="s">
        <v>74</v>
      </c>
      <c r="AV191" s="5" t="s">
        <v>74</v>
      </c>
      <c r="AW191" s="5" t="s">
        <v>74</v>
      </c>
      <c r="AX191" s="5" t="s">
        <v>74</v>
      </c>
      <c r="AY191" s="5" t="s">
        <v>74</v>
      </c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>
        <v>4</v>
      </c>
      <c r="BQ191" s="5" t="s">
        <v>74</v>
      </c>
      <c r="BR191" s="5" t="s">
        <v>74</v>
      </c>
      <c r="BS191" s="5"/>
      <c r="BT191" s="5" t="s">
        <v>74</v>
      </c>
      <c r="BU191" s="6" t="s">
        <v>51</v>
      </c>
      <c r="BV191" s="5">
        <v>1</v>
      </c>
      <c r="BW191" s="5"/>
      <c r="BX191" s="5" t="s">
        <v>74</v>
      </c>
      <c r="BY191" s="5"/>
      <c r="BZ191" s="5"/>
      <c r="CA191" s="10" t="s">
        <v>74</v>
      </c>
      <c r="CB191" s="5">
        <v>3</v>
      </c>
      <c r="CC191" s="5" t="s">
        <v>74</v>
      </c>
      <c r="CD191" s="5" t="s">
        <v>74</v>
      </c>
      <c r="CE191" s="5" t="s">
        <v>74</v>
      </c>
      <c r="CF191" s="8"/>
      <c r="CG191" s="5"/>
      <c r="CH191" s="5" t="s">
        <v>74</v>
      </c>
      <c r="CI191" s="5" t="s">
        <v>74</v>
      </c>
      <c r="CJ191" s="8" t="s">
        <v>74</v>
      </c>
      <c r="CK191" s="5"/>
      <c r="CL191" s="5" t="s">
        <v>74</v>
      </c>
      <c r="CM191" s="5">
        <v>0.5</v>
      </c>
      <c r="CN191" s="5" t="s">
        <v>74</v>
      </c>
      <c r="CO191" s="5"/>
      <c r="CP191" s="5">
        <v>4</v>
      </c>
    </row>
    <row r="192" spans="1:94" ht="25.25" customHeight="1">
      <c r="A192" s="5">
        <v>191</v>
      </c>
      <c r="B192" s="9" t="s">
        <v>266</v>
      </c>
      <c r="C192" s="9">
        <v>2024202084</v>
      </c>
      <c r="D192" s="5" t="s">
        <v>135</v>
      </c>
      <c r="E192" s="5">
        <f>SUM(G192:$XET192)</f>
        <v>0</v>
      </c>
      <c r="F192" s="5">
        <f>COUNT(G192:$XFD192)</f>
        <v>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 t="s">
        <v>74</v>
      </c>
      <c r="AC192" s="5" t="s">
        <v>74</v>
      </c>
      <c r="AD192" s="5"/>
      <c r="AE192" s="5"/>
      <c r="AF192" s="5"/>
      <c r="AG192" s="5" t="s">
        <v>74</v>
      </c>
      <c r="AH192" s="5" t="s">
        <v>74</v>
      </c>
      <c r="AI192" s="5" t="s">
        <v>74</v>
      </c>
      <c r="AJ192" s="5" t="s">
        <v>74</v>
      </c>
      <c r="AK192" s="5" t="s">
        <v>74</v>
      </c>
      <c r="AL192" s="5"/>
      <c r="AM192" s="5"/>
      <c r="AN192" s="5"/>
      <c r="AO192" s="5"/>
      <c r="AP192" s="5"/>
      <c r="AQ192" s="5"/>
      <c r="AR192" s="5" t="s">
        <v>74</v>
      </c>
      <c r="AS192" s="5" t="s">
        <v>74</v>
      </c>
      <c r="AT192" s="5" t="s">
        <v>74</v>
      </c>
      <c r="AU192" s="5" t="s">
        <v>74</v>
      </c>
      <c r="AV192" s="5" t="s">
        <v>74</v>
      </c>
      <c r="AW192" s="5" t="s">
        <v>74</v>
      </c>
      <c r="AX192" s="5" t="s">
        <v>74</v>
      </c>
      <c r="AY192" s="5" t="s">
        <v>74</v>
      </c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 t="s">
        <v>74</v>
      </c>
      <c r="BQ192" s="5" t="s">
        <v>74</v>
      </c>
      <c r="BR192" s="5" t="s">
        <v>74</v>
      </c>
      <c r="BS192" s="5"/>
      <c r="BT192" s="5" t="s">
        <v>74</v>
      </c>
      <c r="BU192" s="6" t="s">
        <v>51</v>
      </c>
      <c r="BV192" s="5" t="s">
        <v>74</v>
      </c>
      <c r="BW192" s="5"/>
      <c r="BX192" s="5" t="s">
        <v>74</v>
      </c>
      <c r="BY192" s="5"/>
      <c r="BZ192" s="5"/>
      <c r="CA192" s="10" t="s">
        <v>74</v>
      </c>
      <c r="CB192" s="5" t="s">
        <v>74</v>
      </c>
      <c r="CC192" s="5" t="s">
        <v>74</v>
      </c>
      <c r="CD192" s="5" t="s">
        <v>74</v>
      </c>
      <c r="CE192" s="5" t="s">
        <v>74</v>
      </c>
      <c r="CF192" s="8"/>
      <c r="CG192" s="5"/>
      <c r="CH192" s="5" t="s">
        <v>74</v>
      </c>
      <c r="CI192" s="5" t="s">
        <v>74</v>
      </c>
      <c r="CJ192" s="8" t="s">
        <v>74</v>
      </c>
      <c r="CK192" s="5"/>
      <c r="CL192" s="5" t="s">
        <v>74</v>
      </c>
      <c r="CM192" s="5" t="s">
        <v>74</v>
      </c>
      <c r="CN192" s="5" t="s">
        <v>74</v>
      </c>
      <c r="CO192" s="5"/>
      <c r="CP192" s="5" t="s">
        <v>74</v>
      </c>
    </row>
    <row r="193" spans="1:94" ht="25.25" customHeight="1">
      <c r="A193" s="5">
        <v>192</v>
      </c>
      <c r="B193" s="9" t="s">
        <v>267</v>
      </c>
      <c r="C193" s="9">
        <v>2024202179</v>
      </c>
      <c r="D193" s="5" t="s">
        <v>135</v>
      </c>
      <c r="E193" s="5">
        <f>SUM(G193:$XET193)</f>
        <v>0</v>
      </c>
      <c r="F193" s="5">
        <f>COUNT(G193:$XFD193)</f>
        <v>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 t="s">
        <v>74</v>
      </c>
      <c r="AC193" s="5" t="s">
        <v>74</v>
      </c>
      <c r="AD193" s="5"/>
      <c r="AE193" s="5"/>
      <c r="AF193" s="5"/>
      <c r="AG193" s="5" t="s">
        <v>74</v>
      </c>
      <c r="AH193" s="5" t="s">
        <v>74</v>
      </c>
      <c r="AI193" s="5" t="s">
        <v>74</v>
      </c>
      <c r="AJ193" s="5" t="s">
        <v>74</v>
      </c>
      <c r="AK193" s="5" t="s">
        <v>74</v>
      </c>
      <c r="AL193" s="5"/>
      <c r="AM193" s="5"/>
      <c r="AN193" s="5"/>
      <c r="AO193" s="5"/>
      <c r="AP193" s="5"/>
      <c r="AQ193" s="5"/>
      <c r="AR193" s="5" t="s">
        <v>74</v>
      </c>
      <c r="AS193" s="5" t="s">
        <v>74</v>
      </c>
      <c r="AT193" s="5" t="s">
        <v>74</v>
      </c>
      <c r="AU193" s="5" t="s">
        <v>74</v>
      </c>
      <c r="AV193" s="5" t="s">
        <v>74</v>
      </c>
      <c r="AW193" s="5" t="s">
        <v>74</v>
      </c>
      <c r="AX193" s="5" t="s">
        <v>74</v>
      </c>
      <c r="AY193" s="5" t="s">
        <v>74</v>
      </c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 t="s">
        <v>74</v>
      </c>
      <c r="BQ193" s="5" t="s">
        <v>74</v>
      </c>
      <c r="BR193" s="5" t="s">
        <v>74</v>
      </c>
      <c r="BS193" s="5"/>
      <c r="BT193" s="5" t="s">
        <v>74</v>
      </c>
      <c r="BU193" s="6" t="s">
        <v>51</v>
      </c>
      <c r="BV193" s="5" t="s">
        <v>74</v>
      </c>
      <c r="BW193" s="5"/>
      <c r="BX193" s="5" t="s">
        <v>74</v>
      </c>
      <c r="BY193" s="5"/>
      <c r="BZ193" s="5"/>
      <c r="CA193" s="10" t="s">
        <v>74</v>
      </c>
      <c r="CB193" s="5" t="s">
        <v>74</v>
      </c>
      <c r="CC193" s="5" t="s">
        <v>74</v>
      </c>
      <c r="CD193" s="5" t="s">
        <v>74</v>
      </c>
      <c r="CE193" s="5" t="s">
        <v>74</v>
      </c>
      <c r="CF193" s="8"/>
      <c r="CG193" s="5"/>
      <c r="CH193" s="5" t="s">
        <v>74</v>
      </c>
      <c r="CI193" s="5" t="s">
        <v>74</v>
      </c>
      <c r="CJ193" s="8" t="s">
        <v>74</v>
      </c>
      <c r="CK193" s="5"/>
      <c r="CL193" s="5" t="s">
        <v>74</v>
      </c>
      <c r="CM193" s="5" t="s">
        <v>74</v>
      </c>
      <c r="CN193" s="5" t="s">
        <v>74</v>
      </c>
      <c r="CO193" s="5"/>
      <c r="CP193" s="5" t="s">
        <v>74</v>
      </c>
    </row>
    <row r="194" spans="1:94" ht="25.25" customHeight="1">
      <c r="A194" s="5">
        <v>193</v>
      </c>
      <c r="B194" s="9" t="s">
        <v>268</v>
      </c>
      <c r="C194" s="9">
        <v>2024202191</v>
      </c>
      <c r="D194" s="5" t="s">
        <v>135</v>
      </c>
      <c r="E194" s="5">
        <f>SUM(G194:$XET194)</f>
        <v>1.5</v>
      </c>
      <c r="F194" s="5">
        <f>COUNT(G194:$XFD194)</f>
        <v>2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 t="s">
        <v>74</v>
      </c>
      <c r="AC194" s="5" t="s">
        <v>74</v>
      </c>
      <c r="AD194" s="5"/>
      <c r="AE194" s="5"/>
      <c r="AF194" s="5"/>
      <c r="AG194" s="5">
        <v>0.5</v>
      </c>
      <c r="AH194" s="5" t="s">
        <v>74</v>
      </c>
      <c r="AI194" s="5" t="s">
        <v>74</v>
      </c>
      <c r="AJ194" s="5" t="s">
        <v>74</v>
      </c>
      <c r="AK194" s="5" t="s">
        <v>74</v>
      </c>
      <c r="AL194" s="5"/>
      <c r="AM194" s="5"/>
      <c r="AN194" s="5"/>
      <c r="AO194" s="5"/>
      <c r="AP194" s="5"/>
      <c r="AQ194" s="5"/>
      <c r="AR194" s="5" t="s">
        <v>74</v>
      </c>
      <c r="AS194" s="5" t="s">
        <v>74</v>
      </c>
      <c r="AT194" s="5" t="s">
        <v>74</v>
      </c>
      <c r="AU194" s="5" t="s">
        <v>74</v>
      </c>
      <c r="AV194" s="5" t="s">
        <v>74</v>
      </c>
      <c r="AW194" s="5" t="s">
        <v>74</v>
      </c>
      <c r="AX194" s="5" t="s">
        <v>74</v>
      </c>
      <c r="AY194" s="5" t="s">
        <v>74</v>
      </c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 t="s">
        <v>74</v>
      </c>
      <c r="BQ194" s="5" t="s">
        <v>74</v>
      </c>
      <c r="BR194" s="5" t="s">
        <v>74</v>
      </c>
      <c r="BS194" s="5"/>
      <c r="BT194" s="5" t="s">
        <v>74</v>
      </c>
      <c r="BU194" s="6" t="s">
        <v>51</v>
      </c>
      <c r="BV194" s="5">
        <v>1</v>
      </c>
      <c r="BW194" s="5"/>
      <c r="BX194" s="5" t="s">
        <v>74</v>
      </c>
      <c r="BY194" s="5"/>
      <c r="BZ194" s="5"/>
      <c r="CA194" s="10" t="s">
        <v>74</v>
      </c>
      <c r="CB194" s="5" t="s">
        <v>74</v>
      </c>
      <c r="CC194" s="5" t="s">
        <v>74</v>
      </c>
      <c r="CD194" s="5" t="s">
        <v>74</v>
      </c>
      <c r="CE194" s="5" t="s">
        <v>74</v>
      </c>
      <c r="CF194" s="8"/>
      <c r="CG194" s="5"/>
      <c r="CH194" s="5" t="s">
        <v>74</v>
      </c>
      <c r="CI194" s="5" t="s">
        <v>74</v>
      </c>
      <c r="CJ194" s="8" t="s">
        <v>74</v>
      </c>
      <c r="CK194" s="5"/>
      <c r="CL194" s="5" t="s">
        <v>74</v>
      </c>
      <c r="CM194" s="5" t="s">
        <v>74</v>
      </c>
      <c r="CN194" s="5" t="s">
        <v>74</v>
      </c>
      <c r="CO194" s="5"/>
      <c r="CP194" s="5" t="s">
        <v>74</v>
      </c>
    </row>
    <row r="195" spans="1:94" ht="25.25" customHeight="1">
      <c r="A195" s="5">
        <v>194</v>
      </c>
      <c r="B195" s="9" t="s">
        <v>269</v>
      </c>
      <c r="C195" s="9">
        <v>2024202094</v>
      </c>
      <c r="D195" s="5" t="s">
        <v>135</v>
      </c>
      <c r="E195" s="5">
        <f>SUM(G195:$XET195)</f>
        <v>86.5</v>
      </c>
      <c r="F195" s="5">
        <f>COUNT(G195:$XFD195)</f>
        <v>9</v>
      </c>
      <c r="G195" s="5"/>
      <c r="H195" s="5"/>
      <c r="I195" s="5"/>
      <c r="J195" s="5"/>
      <c r="K195" s="5">
        <v>10</v>
      </c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>
        <v>4</v>
      </c>
      <c r="W195" s="5"/>
      <c r="X195" s="5">
        <v>20</v>
      </c>
      <c r="Y195" s="5">
        <v>29.5</v>
      </c>
      <c r="Z195" s="5"/>
      <c r="AA195" s="5"/>
      <c r="AB195" s="5" t="s">
        <v>74</v>
      </c>
      <c r="AC195" s="5" t="s">
        <v>74</v>
      </c>
      <c r="AD195" s="5"/>
      <c r="AE195" s="5"/>
      <c r="AF195" s="5"/>
      <c r="AG195" s="5" t="s">
        <v>74</v>
      </c>
      <c r="AH195" s="5" t="s">
        <v>74</v>
      </c>
      <c r="AI195" s="5" t="s">
        <v>74</v>
      </c>
      <c r="AJ195" s="5">
        <v>6</v>
      </c>
      <c r="AK195" s="5" t="s">
        <v>74</v>
      </c>
      <c r="AL195" s="5"/>
      <c r="AM195" s="5"/>
      <c r="AN195" s="5"/>
      <c r="AO195" s="5"/>
      <c r="AP195" s="5"/>
      <c r="AQ195" s="5"/>
      <c r="AR195" s="5" t="s">
        <v>74</v>
      </c>
      <c r="AS195" s="5" t="s">
        <v>74</v>
      </c>
      <c r="AT195" s="5" t="s">
        <v>74</v>
      </c>
      <c r="AU195" s="5">
        <v>5</v>
      </c>
      <c r="AV195" s="5" t="s">
        <v>74</v>
      </c>
      <c r="AW195" s="5" t="s">
        <v>74</v>
      </c>
      <c r="AX195" s="5" t="s">
        <v>74</v>
      </c>
      <c r="AY195" s="5" t="s">
        <v>74</v>
      </c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 t="s">
        <v>74</v>
      </c>
      <c r="BQ195" s="5" t="s">
        <v>74</v>
      </c>
      <c r="BR195" s="5" t="s">
        <v>74</v>
      </c>
      <c r="BS195" s="5"/>
      <c r="BT195" s="5" t="s">
        <v>74</v>
      </c>
      <c r="BU195" s="6" t="s">
        <v>51</v>
      </c>
      <c r="BV195" s="5" t="s">
        <v>74</v>
      </c>
      <c r="BW195" s="5"/>
      <c r="BX195" s="5">
        <v>4</v>
      </c>
      <c r="BY195" s="5"/>
      <c r="BZ195" s="5"/>
      <c r="CA195" s="10">
        <v>4</v>
      </c>
      <c r="CB195" s="5" t="s">
        <v>74</v>
      </c>
      <c r="CC195" s="5" t="s">
        <v>74</v>
      </c>
      <c r="CD195" s="5" t="s">
        <v>74</v>
      </c>
      <c r="CE195" s="5" t="s">
        <v>74</v>
      </c>
      <c r="CF195" s="8"/>
      <c r="CG195" s="5"/>
      <c r="CH195" s="5" t="s">
        <v>74</v>
      </c>
      <c r="CI195" s="5" t="s">
        <v>74</v>
      </c>
      <c r="CJ195" s="8">
        <v>4</v>
      </c>
      <c r="CK195" s="5"/>
      <c r="CL195" s="5" t="s">
        <v>74</v>
      </c>
      <c r="CM195" s="5" t="s">
        <v>74</v>
      </c>
      <c r="CN195" s="5" t="s">
        <v>74</v>
      </c>
      <c r="CO195" s="5"/>
      <c r="CP195" s="5" t="s">
        <v>74</v>
      </c>
    </row>
    <row r="196" spans="1:94" ht="25.25" customHeight="1">
      <c r="A196" s="5">
        <v>195</v>
      </c>
      <c r="B196" s="9" t="s">
        <v>270</v>
      </c>
      <c r="C196" s="9">
        <v>2024202186</v>
      </c>
      <c r="D196" s="5" t="s">
        <v>135</v>
      </c>
      <c r="E196" s="5">
        <f>SUM(G196:$XET196)</f>
        <v>135.5</v>
      </c>
      <c r="F196" s="5">
        <f>COUNT(G196:$XFD196)</f>
        <v>10</v>
      </c>
      <c r="G196" s="5"/>
      <c r="H196" s="5"/>
      <c r="I196" s="5"/>
      <c r="J196" s="5"/>
      <c r="K196" s="5"/>
      <c r="L196" s="5">
        <v>3</v>
      </c>
      <c r="M196" s="5"/>
      <c r="N196" s="5"/>
      <c r="O196" s="5"/>
      <c r="P196" s="5"/>
      <c r="Q196" s="5"/>
      <c r="R196" s="5"/>
      <c r="S196" s="5">
        <v>15</v>
      </c>
      <c r="T196" s="5"/>
      <c r="U196" s="5">
        <v>4</v>
      </c>
      <c r="V196" s="5"/>
      <c r="W196" s="5"/>
      <c r="X196" s="5"/>
      <c r="Y196" s="5">
        <v>6.5</v>
      </c>
      <c r="Z196" s="5"/>
      <c r="AA196" s="5">
        <v>4</v>
      </c>
      <c r="AB196" s="5" t="s">
        <v>74</v>
      </c>
      <c r="AC196" s="5" t="s">
        <v>74</v>
      </c>
      <c r="AD196" s="5"/>
      <c r="AE196" s="5"/>
      <c r="AF196" s="5"/>
      <c r="AG196" s="5" t="s">
        <v>74</v>
      </c>
      <c r="AH196" s="5" t="s">
        <v>74</v>
      </c>
      <c r="AI196" s="5" t="s">
        <v>74</v>
      </c>
      <c r="AJ196" s="5" t="s">
        <v>74</v>
      </c>
      <c r="AK196" s="5">
        <v>4</v>
      </c>
      <c r="AL196" s="5"/>
      <c r="AM196" s="5"/>
      <c r="AN196" s="5"/>
      <c r="AO196" s="5"/>
      <c r="AP196" s="5"/>
      <c r="AQ196" s="5"/>
      <c r="AR196" s="5" t="s">
        <v>74</v>
      </c>
      <c r="AS196" s="5">
        <v>12</v>
      </c>
      <c r="AT196" s="5" t="s">
        <v>74</v>
      </c>
      <c r="AU196" s="5" t="s">
        <v>74</v>
      </c>
      <c r="AV196" s="5" t="s">
        <v>74</v>
      </c>
      <c r="AW196" s="5" t="s">
        <v>74</v>
      </c>
      <c r="AX196" s="5" t="s">
        <v>74</v>
      </c>
      <c r="AY196" s="5" t="s">
        <v>74</v>
      </c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 t="s">
        <v>74</v>
      </c>
      <c r="BQ196" s="5" t="s">
        <v>74</v>
      </c>
      <c r="BR196" s="5">
        <v>79</v>
      </c>
      <c r="BS196" s="5"/>
      <c r="BT196" s="5" t="s">
        <v>74</v>
      </c>
      <c r="BU196" s="6" t="s">
        <v>51</v>
      </c>
      <c r="BV196" s="5" t="s">
        <v>74</v>
      </c>
      <c r="BW196" s="5"/>
      <c r="BX196" s="5" t="s">
        <v>74</v>
      </c>
      <c r="BY196" s="5"/>
      <c r="BZ196" s="5"/>
      <c r="CA196" s="10">
        <v>4</v>
      </c>
      <c r="CB196" s="5" t="s">
        <v>74</v>
      </c>
      <c r="CC196" s="5" t="s">
        <v>74</v>
      </c>
      <c r="CD196" s="5" t="s">
        <v>74</v>
      </c>
      <c r="CE196" s="5" t="s">
        <v>74</v>
      </c>
      <c r="CF196" s="8"/>
      <c r="CG196" s="5"/>
      <c r="CH196" s="5" t="s">
        <v>74</v>
      </c>
      <c r="CI196" s="5" t="s">
        <v>74</v>
      </c>
      <c r="CJ196" s="8">
        <v>4</v>
      </c>
      <c r="CK196" s="5"/>
      <c r="CL196" s="5" t="s">
        <v>74</v>
      </c>
      <c r="CM196" s="5" t="s">
        <v>74</v>
      </c>
      <c r="CN196" s="5" t="s">
        <v>74</v>
      </c>
      <c r="CO196" s="5"/>
      <c r="CP196" s="5" t="s">
        <v>74</v>
      </c>
    </row>
    <row r="197" spans="1:94" ht="25.25" customHeight="1">
      <c r="A197" s="5">
        <v>196</v>
      </c>
      <c r="B197" s="9" t="s">
        <v>271</v>
      </c>
      <c r="C197" s="9">
        <v>2024202255</v>
      </c>
      <c r="D197" s="5" t="s">
        <v>135</v>
      </c>
      <c r="E197" s="5">
        <f>SUM(G197:$XET197)</f>
        <v>40</v>
      </c>
      <c r="F197" s="5">
        <f>COUNT(G197:$XFD197)</f>
        <v>7</v>
      </c>
      <c r="G197" s="5">
        <v>8</v>
      </c>
      <c r="H197" s="5"/>
      <c r="I197" s="5"/>
      <c r="J197" s="5"/>
      <c r="K197" s="5">
        <v>10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>
        <v>2</v>
      </c>
      <c r="AC197" s="5">
        <v>2</v>
      </c>
      <c r="AD197" s="5"/>
      <c r="AE197" s="5"/>
      <c r="AF197" s="5"/>
      <c r="AG197" s="5" t="s">
        <v>74</v>
      </c>
      <c r="AH197" s="5" t="s">
        <v>74</v>
      </c>
      <c r="AI197" s="5" t="s">
        <v>74</v>
      </c>
      <c r="AJ197" s="5">
        <v>2</v>
      </c>
      <c r="AK197" s="5">
        <v>4</v>
      </c>
      <c r="AL197" s="5"/>
      <c r="AM197" s="5"/>
      <c r="AN197" s="5"/>
      <c r="AO197" s="5"/>
      <c r="AP197" s="5"/>
      <c r="AQ197" s="5"/>
      <c r="AR197" s="5" t="s">
        <v>74</v>
      </c>
      <c r="AS197" s="5" t="s">
        <v>74</v>
      </c>
      <c r="AT197" s="5" t="s">
        <v>74</v>
      </c>
      <c r="AU197" s="5" t="s">
        <v>74</v>
      </c>
      <c r="AV197" s="5" t="s">
        <v>74</v>
      </c>
      <c r="AW197" s="5" t="s">
        <v>74</v>
      </c>
      <c r="AX197" s="5" t="s">
        <v>74</v>
      </c>
      <c r="AY197" s="5" t="s">
        <v>74</v>
      </c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 t="s">
        <v>74</v>
      </c>
      <c r="BQ197" s="5" t="s">
        <v>74</v>
      </c>
      <c r="BR197" s="5" t="s">
        <v>74</v>
      </c>
      <c r="BS197" s="5"/>
      <c r="BT197" s="5" t="s">
        <v>74</v>
      </c>
      <c r="BU197" s="6" t="s">
        <v>51</v>
      </c>
      <c r="BV197" s="5">
        <v>12</v>
      </c>
      <c r="BW197" s="5"/>
      <c r="BX197" s="5" t="s">
        <v>74</v>
      </c>
      <c r="BY197" s="5"/>
      <c r="BZ197" s="5"/>
      <c r="CA197" s="10" t="s">
        <v>74</v>
      </c>
      <c r="CB197" s="5" t="s">
        <v>74</v>
      </c>
      <c r="CC197" s="5" t="s">
        <v>74</v>
      </c>
      <c r="CD197" s="5" t="s">
        <v>74</v>
      </c>
      <c r="CE197" s="5" t="s">
        <v>74</v>
      </c>
      <c r="CF197" s="8"/>
      <c r="CG197" s="5"/>
      <c r="CH197" s="5" t="s">
        <v>74</v>
      </c>
      <c r="CI197" s="5" t="s">
        <v>74</v>
      </c>
      <c r="CJ197" s="8" t="s">
        <v>74</v>
      </c>
      <c r="CK197" s="5"/>
      <c r="CL197" s="5" t="s">
        <v>74</v>
      </c>
      <c r="CM197" s="5" t="s">
        <v>74</v>
      </c>
      <c r="CN197" s="5" t="s">
        <v>74</v>
      </c>
      <c r="CO197" s="5"/>
      <c r="CP197" s="5" t="s">
        <v>74</v>
      </c>
    </row>
    <row r="198" spans="1:94" ht="25.25" customHeight="1">
      <c r="A198" s="5">
        <v>197</v>
      </c>
      <c r="B198" s="9" t="s">
        <v>272</v>
      </c>
      <c r="C198" s="9">
        <v>2024202886</v>
      </c>
      <c r="D198" s="5" t="s">
        <v>135</v>
      </c>
      <c r="E198" s="5">
        <f>SUM(G198:$XET198)</f>
        <v>49</v>
      </c>
      <c r="F198" s="5">
        <f>COUNT(G198:$XFD198)</f>
        <v>7</v>
      </c>
      <c r="G198" s="5">
        <v>10</v>
      </c>
      <c r="H198" s="5"/>
      <c r="I198" s="5"/>
      <c r="J198" s="5"/>
      <c r="K198" s="5">
        <v>10</v>
      </c>
      <c r="L198" s="5">
        <v>2</v>
      </c>
      <c r="M198" s="5"/>
      <c r="N198" s="5">
        <v>2</v>
      </c>
      <c r="O198" s="5"/>
      <c r="P198" s="5"/>
      <c r="Q198" s="5"/>
      <c r="R198" s="5">
        <v>14.5</v>
      </c>
      <c r="S198" s="5"/>
      <c r="T198" s="5"/>
      <c r="U198" s="5">
        <v>4</v>
      </c>
      <c r="V198" s="5"/>
      <c r="W198" s="5"/>
      <c r="X198" s="5"/>
      <c r="Y198" s="5"/>
      <c r="Z198" s="5"/>
      <c r="AA198" s="5"/>
      <c r="AB198" s="5">
        <v>6.5</v>
      </c>
      <c r="AC198" s="5" t="s">
        <v>74</v>
      </c>
      <c r="AD198" s="5"/>
      <c r="AE198" s="5"/>
      <c r="AF198" s="5"/>
      <c r="AG198" s="5" t="s">
        <v>74</v>
      </c>
      <c r="AH198" s="5" t="s">
        <v>74</v>
      </c>
      <c r="AI198" s="5" t="s">
        <v>74</v>
      </c>
      <c r="AJ198" s="5" t="s">
        <v>74</v>
      </c>
      <c r="AK198" s="5" t="s">
        <v>74</v>
      </c>
      <c r="AL198" s="5"/>
      <c r="AM198" s="5"/>
      <c r="AN198" s="5"/>
      <c r="AO198" s="5"/>
      <c r="AP198" s="5"/>
      <c r="AQ198" s="5"/>
      <c r="AR198" s="5" t="s">
        <v>74</v>
      </c>
      <c r="AS198" s="5" t="s">
        <v>74</v>
      </c>
      <c r="AT198" s="5" t="s">
        <v>74</v>
      </c>
      <c r="AU198" s="5" t="s">
        <v>74</v>
      </c>
      <c r="AV198" s="5" t="s">
        <v>74</v>
      </c>
      <c r="AW198" s="5" t="s">
        <v>74</v>
      </c>
      <c r="AX198" s="5" t="s">
        <v>74</v>
      </c>
      <c r="AY198" s="5" t="s">
        <v>74</v>
      </c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 t="s">
        <v>74</v>
      </c>
      <c r="BQ198" s="5" t="s">
        <v>74</v>
      </c>
      <c r="BR198" s="5" t="s">
        <v>74</v>
      </c>
      <c r="BS198" s="5"/>
      <c r="BT198" s="5" t="s">
        <v>74</v>
      </c>
      <c r="BU198" s="6" t="s">
        <v>51</v>
      </c>
      <c r="BV198" s="5" t="s">
        <v>74</v>
      </c>
      <c r="BW198" s="5"/>
      <c r="BX198" s="5" t="s">
        <v>74</v>
      </c>
      <c r="BY198" s="5"/>
      <c r="BZ198" s="5"/>
      <c r="CA198" s="10" t="s">
        <v>74</v>
      </c>
      <c r="CB198" s="5" t="s">
        <v>74</v>
      </c>
      <c r="CC198" s="5" t="s">
        <v>74</v>
      </c>
      <c r="CD198" s="5" t="s">
        <v>74</v>
      </c>
      <c r="CE198" s="5" t="s">
        <v>74</v>
      </c>
      <c r="CF198" s="8"/>
      <c r="CG198" s="5"/>
      <c r="CH198" s="5" t="s">
        <v>74</v>
      </c>
      <c r="CI198" s="5" t="s">
        <v>74</v>
      </c>
      <c r="CJ198" s="8" t="s">
        <v>74</v>
      </c>
      <c r="CK198" s="5"/>
      <c r="CL198" s="5" t="s">
        <v>74</v>
      </c>
      <c r="CM198" s="5" t="s">
        <v>74</v>
      </c>
      <c r="CN198" s="5" t="s">
        <v>74</v>
      </c>
      <c r="CO198" s="5"/>
      <c r="CP198" s="5" t="s">
        <v>74</v>
      </c>
    </row>
    <row r="199" spans="1:94" ht="25.25" customHeight="1">
      <c r="A199" s="5">
        <v>198</v>
      </c>
      <c r="B199" s="9" t="s">
        <v>273</v>
      </c>
      <c r="C199" s="9">
        <v>2024202095</v>
      </c>
      <c r="D199" s="5" t="s">
        <v>135</v>
      </c>
      <c r="E199" s="5">
        <f>SUM(G199:$XET199)</f>
        <v>65.5</v>
      </c>
      <c r="F199" s="5">
        <f>COUNT(G199:$XFD199)</f>
        <v>6</v>
      </c>
      <c r="G199" s="5"/>
      <c r="H199" s="5"/>
      <c r="I199" s="5"/>
      <c r="J199" s="5"/>
      <c r="K199" s="5">
        <v>9</v>
      </c>
      <c r="L199" s="5"/>
      <c r="M199" s="5"/>
      <c r="N199" s="5">
        <v>2</v>
      </c>
      <c r="O199" s="5"/>
      <c r="P199" s="5"/>
      <c r="Q199" s="5"/>
      <c r="R199" s="5"/>
      <c r="S199" s="5"/>
      <c r="T199" s="5">
        <v>16</v>
      </c>
      <c r="U199" s="5"/>
      <c r="V199" s="5"/>
      <c r="W199" s="5"/>
      <c r="X199" s="5"/>
      <c r="Y199" s="5">
        <v>33.5</v>
      </c>
      <c r="Z199" s="5"/>
      <c r="AA199" s="5"/>
      <c r="AB199" s="5" t="s">
        <v>74</v>
      </c>
      <c r="AC199" s="5" t="s">
        <v>74</v>
      </c>
      <c r="AD199" s="5"/>
      <c r="AE199" s="5"/>
      <c r="AF199" s="5"/>
      <c r="AG199" s="5" t="s">
        <v>74</v>
      </c>
      <c r="AH199" s="5" t="s">
        <v>74</v>
      </c>
      <c r="AI199" s="5" t="s">
        <v>74</v>
      </c>
      <c r="AJ199" s="5" t="s">
        <v>74</v>
      </c>
      <c r="AK199" s="5">
        <v>4</v>
      </c>
      <c r="AL199" s="5"/>
      <c r="AM199" s="5"/>
      <c r="AN199" s="5"/>
      <c r="AO199" s="5"/>
      <c r="AP199" s="5"/>
      <c r="AQ199" s="5"/>
      <c r="AR199" s="5" t="s">
        <v>74</v>
      </c>
      <c r="AS199" s="5" t="s">
        <v>74</v>
      </c>
      <c r="AT199" s="5" t="s">
        <v>74</v>
      </c>
      <c r="AU199" s="5" t="s">
        <v>74</v>
      </c>
      <c r="AV199" s="5" t="s">
        <v>74</v>
      </c>
      <c r="AW199" s="5" t="s">
        <v>74</v>
      </c>
      <c r="AX199" s="5" t="s">
        <v>74</v>
      </c>
      <c r="AY199" s="5" t="s">
        <v>74</v>
      </c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 t="s">
        <v>74</v>
      </c>
      <c r="BQ199" s="5" t="s">
        <v>74</v>
      </c>
      <c r="BR199" s="5" t="s">
        <v>74</v>
      </c>
      <c r="BS199" s="5"/>
      <c r="BT199" s="5" t="s">
        <v>74</v>
      </c>
      <c r="BU199" s="6" t="s">
        <v>51</v>
      </c>
      <c r="BV199" s="5">
        <v>1</v>
      </c>
      <c r="BW199" s="5"/>
      <c r="BX199" s="5" t="s">
        <v>74</v>
      </c>
      <c r="BY199" s="5"/>
      <c r="BZ199" s="5"/>
      <c r="CA199" s="10" t="s">
        <v>74</v>
      </c>
      <c r="CB199" s="5" t="s">
        <v>74</v>
      </c>
      <c r="CC199" s="5" t="s">
        <v>74</v>
      </c>
      <c r="CD199" s="5" t="s">
        <v>74</v>
      </c>
      <c r="CE199" s="5" t="s">
        <v>74</v>
      </c>
      <c r="CF199" s="8"/>
      <c r="CG199" s="5"/>
      <c r="CH199" s="5" t="s">
        <v>74</v>
      </c>
      <c r="CI199" s="5" t="s">
        <v>74</v>
      </c>
      <c r="CJ199" s="8" t="s">
        <v>74</v>
      </c>
      <c r="CK199" s="5"/>
      <c r="CL199" s="5" t="s">
        <v>74</v>
      </c>
      <c r="CM199" s="5" t="s">
        <v>74</v>
      </c>
      <c r="CN199" s="5" t="s">
        <v>74</v>
      </c>
      <c r="CO199" s="5"/>
      <c r="CP199" s="5" t="s">
        <v>74</v>
      </c>
    </row>
    <row r="200" spans="1:94" ht="25.25" customHeight="1">
      <c r="A200" s="5">
        <v>199</v>
      </c>
      <c r="B200" s="9" t="s">
        <v>274</v>
      </c>
      <c r="C200" s="9">
        <v>2024202257</v>
      </c>
      <c r="D200" s="5" t="s">
        <v>135</v>
      </c>
      <c r="E200" s="5">
        <f>SUM(G200:$XET200)</f>
        <v>58</v>
      </c>
      <c r="F200" s="5">
        <f>COUNT(G200:$XFD200)</f>
        <v>5</v>
      </c>
      <c r="G200" s="5"/>
      <c r="H200" s="5"/>
      <c r="I200" s="5"/>
      <c r="J200" s="5"/>
      <c r="K200" s="5">
        <v>9</v>
      </c>
      <c r="L200" s="5"/>
      <c r="M200" s="5"/>
      <c r="N200" s="5">
        <v>0.5</v>
      </c>
      <c r="O200" s="5"/>
      <c r="P200" s="5"/>
      <c r="Q200" s="5"/>
      <c r="R200" s="5"/>
      <c r="S200" s="5"/>
      <c r="T200" s="5"/>
      <c r="U200" s="5"/>
      <c r="V200" s="5"/>
      <c r="W200" s="5"/>
      <c r="X200" s="5">
        <v>10</v>
      </c>
      <c r="Y200" s="5">
        <v>34.5</v>
      </c>
      <c r="Z200" s="5"/>
      <c r="AA200" s="5"/>
      <c r="AB200" s="5" t="s">
        <v>74</v>
      </c>
      <c r="AC200" s="5" t="s">
        <v>74</v>
      </c>
      <c r="AD200" s="5"/>
      <c r="AE200" s="5"/>
      <c r="AF200" s="5"/>
      <c r="AG200" s="5" t="s">
        <v>74</v>
      </c>
      <c r="AH200" s="5" t="s">
        <v>74</v>
      </c>
      <c r="AI200" s="5" t="s">
        <v>74</v>
      </c>
      <c r="AJ200" s="5" t="s">
        <v>74</v>
      </c>
      <c r="AK200" s="5" t="s">
        <v>74</v>
      </c>
      <c r="AL200" s="5"/>
      <c r="AM200" s="5"/>
      <c r="AN200" s="5"/>
      <c r="AO200" s="5"/>
      <c r="AP200" s="5"/>
      <c r="AQ200" s="5"/>
      <c r="AR200" s="5" t="s">
        <v>74</v>
      </c>
      <c r="AS200" s="5" t="s">
        <v>74</v>
      </c>
      <c r="AT200" s="5" t="s">
        <v>74</v>
      </c>
      <c r="AU200" s="5" t="s">
        <v>74</v>
      </c>
      <c r="AV200" s="5" t="s">
        <v>74</v>
      </c>
      <c r="AW200" s="5" t="s">
        <v>74</v>
      </c>
      <c r="AX200" s="5" t="s">
        <v>74</v>
      </c>
      <c r="AY200" s="5" t="s">
        <v>74</v>
      </c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 t="s">
        <v>74</v>
      </c>
      <c r="BQ200" s="5" t="s">
        <v>74</v>
      </c>
      <c r="BR200" s="5" t="s">
        <v>74</v>
      </c>
      <c r="BS200" s="5"/>
      <c r="BT200" s="5" t="s">
        <v>74</v>
      </c>
      <c r="BU200" s="6" t="s">
        <v>51</v>
      </c>
      <c r="BV200" s="5" t="s">
        <v>74</v>
      </c>
      <c r="BW200" s="5"/>
      <c r="BX200" s="5" t="s">
        <v>74</v>
      </c>
      <c r="BY200" s="5"/>
      <c r="BZ200" s="5"/>
      <c r="CA200" s="10">
        <v>4</v>
      </c>
      <c r="CB200" s="5" t="s">
        <v>74</v>
      </c>
      <c r="CC200" s="5" t="s">
        <v>74</v>
      </c>
      <c r="CD200" s="5" t="s">
        <v>74</v>
      </c>
      <c r="CE200" s="5" t="s">
        <v>74</v>
      </c>
      <c r="CF200" s="8"/>
      <c r="CG200" s="5"/>
      <c r="CH200" s="5" t="s">
        <v>74</v>
      </c>
      <c r="CI200" s="5" t="s">
        <v>74</v>
      </c>
      <c r="CJ200" s="8" t="s">
        <v>74</v>
      </c>
      <c r="CK200" s="5"/>
      <c r="CL200" s="5" t="s">
        <v>74</v>
      </c>
      <c r="CM200" s="5" t="s">
        <v>74</v>
      </c>
      <c r="CN200" s="5" t="s">
        <v>74</v>
      </c>
      <c r="CO200" s="5"/>
      <c r="CP200" s="5" t="s">
        <v>74</v>
      </c>
    </row>
    <row r="201" spans="1:94" ht="25.25" customHeight="1">
      <c r="A201" s="5">
        <v>200</v>
      </c>
      <c r="B201" s="9" t="s">
        <v>275</v>
      </c>
      <c r="C201" s="9">
        <v>2024202881</v>
      </c>
      <c r="D201" s="5" t="s">
        <v>135</v>
      </c>
      <c r="E201" s="5">
        <f>SUM(G201:$XET201)</f>
        <v>54.5</v>
      </c>
      <c r="F201" s="5">
        <f>COUNT(G201:$XFD201)</f>
        <v>7</v>
      </c>
      <c r="G201" s="5"/>
      <c r="H201" s="5"/>
      <c r="I201" s="5"/>
      <c r="J201" s="5"/>
      <c r="K201" s="5">
        <v>9</v>
      </c>
      <c r="L201" s="5"/>
      <c r="M201" s="5"/>
      <c r="N201" s="5"/>
      <c r="O201" s="5"/>
      <c r="P201" s="5"/>
      <c r="Q201" s="5"/>
      <c r="R201" s="5">
        <v>14.5</v>
      </c>
      <c r="S201" s="5"/>
      <c r="T201" s="5">
        <v>16</v>
      </c>
      <c r="U201" s="5"/>
      <c r="V201" s="5"/>
      <c r="W201" s="5"/>
      <c r="X201" s="5">
        <v>6</v>
      </c>
      <c r="Y201" s="5"/>
      <c r="Z201" s="5"/>
      <c r="AA201" s="5"/>
      <c r="AB201" s="5" t="s">
        <v>74</v>
      </c>
      <c r="AC201" s="5" t="s">
        <v>74</v>
      </c>
      <c r="AD201" s="5"/>
      <c r="AE201" s="5"/>
      <c r="AF201" s="5"/>
      <c r="AG201" s="5" t="s">
        <v>74</v>
      </c>
      <c r="AH201" s="5" t="s">
        <v>74</v>
      </c>
      <c r="AI201" s="5" t="s">
        <v>74</v>
      </c>
      <c r="AJ201" s="5">
        <v>4</v>
      </c>
      <c r="AK201" s="5">
        <v>4</v>
      </c>
      <c r="AL201" s="5"/>
      <c r="AM201" s="5"/>
      <c r="AN201" s="5"/>
      <c r="AO201" s="5"/>
      <c r="AP201" s="5"/>
      <c r="AQ201" s="5"/>
      <c r="AR201" s="5" t="s">
        <v>74</v>
      </c>
      <c r="AS201" s="5" t="s">
        <v>74</v>
      </c>
      <c r="AT201" s="5" t="s">
        <v>74</v>
      </c>
      <c r="AU201" s="5" t="s">
        <v>74</v>
      </c>
      <c r="AV201" s="5" t="s">
        <v>74</v>
      </c>
      <c r="AW201" s="5" t="s">
        <v>74</v>
      </c>
      <c r="AX201" s="5" t="s">
        <v>74</v>
      </c>
      <c r="AY201" s="5" t="s">
        <v>74</v>
      </c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 t="s">
        <v>74</v>
      </c>
      <c r="BQ201" s="5" t="s">
        <v>74</v>
      </c>
      <c r="BR201" s="5" t="s">
        <v>74</v>
      </c>
      <c r="BS201" s="5"/>
      <c r="BT201" s="5" t="s">
        <v>74</v>
      </c>
      <c r="BU201" s="6" t="s">
        <v>51</v>
      </c>
      <c r="BV201" s="5">
        <v>1</v>
      </c>
      <c r="BW201" s="5"/>
      <c r="BX201" s="5" t="s">
        <v>74</v>
      </c>
      <c r="BY201" s="5"/>
      <c r="BZ201" s="5"/>
      <c r="CA201" s="10" t="s">
        <v>74</v>
      </c>
      <c r="CB201" s="5" t="s">
        <v>74</v>
      </c>
      <c r="CC201" s="5" t="s">
        <v>74</v>
      </c>
      <c r="CD201" s="5" t="s">
        <v>74</v>
      </c>
      <c r="CE201" s="5" t="s">
        <v>74</v>
      </c>
      <c r="CF201" s="8"/>
      <c r="CG201" s="5"/>
      <c r="CH201" s="5" t="s">
        <v>74</v>
      </c>
      <c r="CI201" s="5" t="s">
        <v>74</v>
      </c>
      <c r="CJ201" s="8" t="s">
        <v>74</v>
      </c>
      <c r="CK201" s="5"/>
      <c r="CL201" s="5" t="s">
        <v>74</v>
      </c>
      <c r="CM201" s="5" t="s">
        <v>74</v>
      </c>
      <c r="CN201" s="5" t="s">
        <v>74</v>
      </c>
      <c r="CO201" s="5"/>
      <c r="CP201" s="5" t="s">
        <v>74</v>
      </c>
    </row>
    <row r="202" spans="1:94" ht="25.25" customHeight="1">
      <c r="A202" s="5">
        <v>201</v>
      </c>
      <c r="B202" s="9" t="s">
        <v>276</v>
      </c>
      <c r="C202" s="9">
        <v>2024202887</v>
      </c>
      <c r="D202" s="5" t="s">
        <v>135</v>
      </c>
      <c r="E202" s="5">
        <f>SUM(G202:$XET202)</f>
        <v>65</v>
      </c>
      <c r="F202" s="5">
        <f>COUNT(G202:$XFD202)</f>
        <v>11</v>
      </c>
      <c r="G202" s="5"/>
      <c r="H202" s="5"/>
      <c r="I202" s="5">
        <v>4</v>
      </c>
      <c r="J202" s="5"/>
      <c r="K202" s="5">
        <v>9</v>
      </c>
      <c r="L202" s="5"/>
      <c r="M202" s="5"/>
      <c r="N202" s="5"/>
      <c r="O202" s="5">
        <v>2</v>
      </c>
      <c r="P202" s="5">
        <v>6</v>
      </c>
      <c r="Q202" s="5"/>
      <c r="R202" s="5">
        <v>14.5</v>
      </c>
      <c r="S202" s="5"/>
      <c r="T202" s="5"/>
      <c r="U202" s="5"/>
      <c r="V202" s="5"/>
      <c r="W202" s="5"/>
      <c r="X202" s="5">
        <v>10</v>
      </c>
      <c r="Y202" s="5"/>
      <c r="Z202" s="5"/>
      <c r="AA202" s="5"/>
      <c r="AB202" s="5" t="s">
        <v>74</v>
      </c>
      <c r="AC202" s="5" t="s">
        <v>74</v>
      </c>
      <c r="AD202" s="5"/>
      <c r="AE202" s="5"/>
      <c r="AF202" s="5"/>
      <c r="AG202" s="5" t="s">
        <v>74</v>
      </c>
      <c r="AH202" s="5" t="s">
        <v>74</v>
      </c>
      <c r="AI202" s="5" t="s">
        <v>74</v>
      </c>
      <c r="AJ202" s="5" t="s">
        <v>74</v>
      </c>
      <c r="AK202" s="5">
        <v>4</v>
      </c>
      <c r="AL202" s="5"/>
      <c r="AM202" s="5"/>
      <c r="AN202" s="5"/>
      <c r="AO202" s="5"/>
      <c r="AP202" s="5"/>
      <c r="AQ202" s="5"/>
      <c r="AR202" s="5" t="s">
        <v>74</v>
      </c>
      <c r="AS202" s="5" t="s">
        <v>74</v>
      </c>
      <c r="AT202" s="5" t="s">
        <v>74</v>
      </c>
      <c r="AU202" s="5" t="s">
        <v>74</v>
      </c>
      <c r="AV202" s="5" t="s">
        <v>74</v>
      </c>
      <c r="AW202" s="5">
        <v>6</v>
      </c>
      <c r="AX202" s="5" t="s">
        <v>74</v>
      </c>
      <c r="AY202" s="5" t="s">
        <v>74</v>
      </c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 t="s">
        <v>74</v>
      </c>
      <c r="BQ202" s="5" t="s">
        <v>74</v>
      </c>
      <c r="BR202" s="5" t="s">
        <v>74</v>
      </c>
      <c r="BS202" s="5"/>
      <c r="BT202" s="5" t="s">
        <v>74</v>
      </c>
      <c r="BU202" s="6" t="s">
        <v>51</v>
      </c>
      <c r="BV202" s="5">
        <v>1</v>
      </c>
      <c r="BW202" s="5"/>
      <c r="BX202" s="5" t="s">
        <v>74</v>
      </c>
      <c r="BY202" s="5"/>
      <c r="BZ202" s="5"/>
      <c r="CA202" s="10" t="s">
        <v>74</v>
      </c>
      <c r="CB202" s="5" t="s">
        <v>74</v>
      </c>
      <c r="CC202" s="5" t="s">
        <v>74</v>
      </c>
      <c r="CD202" s="5" t="s">
        <v>74</v>
      </c>
      <c r="CE202" s="5" t="s">
        <v>74</v>
      </c>
      <c r="CF202" s="8"/>
      <c r="CG202" s="5"/>
      <c r="CH202" s="5" t="s">
        <v>74</v>
      </c>
      <c r="CI202" s="5" t="s">
        <v>74</v>
      </c>
      <c r="CJ202" s="8" t="s">
        <v>74</v>
      </c>
      <c r="CK202" s="5">
        <v>4.5</v>
      </c>
      <c r="CL202" s="5" t="s">
        <v>74</v>
      </c>
      <c r="CM202" s="5" t="s">
        <v>74</v>
      </c>
      <c r="CN202" s="5" t="s">
        <v>74</v>
      </c>
      <c r="CO202" s="5"/>
      <c r="CP202" s="5">
        <v>4</v>
      </c>
    </row>
    <row r="203" spans="1:94" ht="25.25" customHeight="1">
      <c r="A203" s="5">
        <v>202</v>
      </c>
      <c r="B203" s="9" t="s">
        <v>277</v>
      </c>
      <c r="C203" s="9">
        <v>2024202878</v>
      </c>
      <c r="D203" s="5" t="s">
        <v>135</v>
      </c>
      <c r="E203" s="5">
        <f>SUM(G203:$XET203)</f>
        <v>4</v>
      </c>
      <c r="F203" s="5">
        <f>COUNT(G203:$XFD203)</f>
        <v>1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>
        <v>4</v>
      </c>
      <c r="V203" s="5"/>
      <c r="W203" s="5"/>
      <c r="X203" s="5"/>
      <c r="Y203" s="5"/>
      <c r="Z203" s="5"/>
      <c r="AA203" s="5"/>
      <c r="AB203" s="5" t="s">
        <v>74</v>
      </c>
      <c r="AC203" s="5" t="s">
        <v>74</v>
      </c>
      <c r="AD203" s="5"/>
      <c r="AE203" s="5"/>
      <c r="AF203" s="5"/>
      <c r="AG203" s="5" t="s">
        <v>74</v>
      </c>
      <c r="AH203" s="5" t="s">
        <v>74</v>
      </c>
      <c r="AI203" s="5" t="s">
        <v>74</v>
      </c>
      <c r="AJ203" s="5" t="s">
        <v>74</v>
      </c>
      <c r="AK203" s="5" t="s">
        <v>74</v>
      </c>
      <c r="AL203" s="5"/>
      <c r="AM203" s="5"/>
      <c r="AN203" s="5"/>
      <c r="AO203" s="5"/>
      <c r="AP203" s="5"/>
      <c r="AQ203" s="5"/>
      <c r="AR203" s="5" t="s">
        <v>74</v>
      </c>
      <c r="AS203" s="5" t="s">
        <v>74</v>
      </c>
      <c r="AT203" s="5" t="s">
        <v>74</v>
      </c>
      <c r="AU203" s="5" t="s">
        <v>74</v>
      </c>
      <c r="AV203" s="5" t="s">
        <v>74</v>
      </c>
      <c r="AW203" s="5" t="s">
        <v>74</v>
      </c>
      <c r="AX203" s="5" t="s">
        <v>74</v>
      </c>
      <c r="AY203" s="5" t="s">
        <v>74</v>
      </c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 t="s">
        <v>74</v>
      </c>
      <c r="BQ203" s="5" t="s">
        <v>74</v>
      </c>
      <c r="BR203" s="5" t="s">
        <v>74</v>
      </c>
      <c r="BS203" s="5"/>
      <c r="BT203" s="5" t="s">
        <v>74</v>
      </c>
      <c r="BU203" s="6" t="s">
        <v>51</v>
      </c>
      <c r="BV203" s="5" t="s">
        <v>74</v>
      </c>
      <c r="BW203" s="5"/>
      <c r="BX203" s="5" t="s">
        <v>74</v>
      </c>
      <c r="BY203" s="5"/>
      <c r="BZ203" s="5"/>
      <c r="CA203" s="10" t="s">
        <v>74</v>
      </c>
      <c r="CB203" s="5" t="s">
        <v>74</v>
      </c>
      <c r="CC203" s="5" t="s">
        <v>74</v>
      </c>
      <c r="CD203" s="5" t="s">
        <v>74</v>
      </c>
      <c r="CE203" s="5" t="s">
        <v>74</v>
      </c>
      <c r="CF203" s="8"/>
      <c r="CG203" s="5"/>
      <c r="CH203" s="5" t="s">
        <v>74</v>
      </c>
      <c r="CI203" s="5" t="s">
        <v>74</v>
      </c>
      <c r="CJ203" s="8" t="s">
        <v>74</v>
      </c>
      <c r="CK203" s="5"/>
      <c r="CL203" s="5" t="s">
        <v>74</v>
      </c>
      <c r="CM203" s="5" t="s">
        <v>74</v>
      </c>
      <c r="CN203" s="5" t="s">
        <v>74</v>
      </c>
      <c r="CO203" s="5"/>
      <c r="CP203" s="5" t="s">
        <v>74</v>
      </c>
    </row>
    <row r="204" spans="1:94" ht="25.25" customHeight="1">
      <c r="A204" s="5">
        <v>203</v>
      </c>
      <c r="B204" s="9" t="s">
        <v>278</v>
      </c>
      <c r="C204" s="9">
        <v>2024202101</v>
      </c>
      <c r="D204" s="5" t="s">
        <v>135</v>
      </c>
      <c r="E204" s="5">
        <f>SUM(G204:$XET204)</f>
        <v>30</v>
      </c>
      <c r="F204" s="5">
        <f>COUNT(G204:$XFD204)</f>
        <v>8</v>
      </c>
      <c r="G204" s="5"/>
      <c r="H204" s="5"/>
      <c r="I204" s="5"/>
      <c r="J204" s="5"/>
      <c r="K204" s="5">
        <v>9</v>
      </c>
      <c r="L204" s="5">
        <v>2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 t="s">
        <v>74</v>
      </c>
      <c r="AC204" s="5">
        <v>2</v>
      </c>
      <c r="AD204" s="5"/>
      <c r="AE204" s="5"/>
      <c r="AF204" s="5"/>
      <c r="AG204" s="5" t="s">
        <v>74</v>
      </c>
      <c r="AH204" s="5" t="s">
        <v>74</v>
      </c>
      <c r="AI204" s="5" t="s">
        <v>74</v>
      </c>
      <c r="AJ204" s="5" t="s">
        <v>74</v>
      </c>
      <c r="AK204" s="5">
        <v>4</v>
      </c>
      <c r="AL204" s="5"/>
      <c r="AM204" s="5"/>
      <c r="AN204" s="5"/>
      <c r="AO204" s="5"/>
      <c r="AP204" s="5"/>
      <c r="AQ204" s="5"/>
      <c r="AR204" s="5" t="s">
        <v>74</v>
      </c>
      <c r="AS204" s="5" t="s">
        <v>74</v>
      </c>
      <c r="AT204" s="5" t="s">
        <v>74</v>
      </c>
      <c r="AU204" s="5" t="s">
        <v>74</v>
      </c>
      <c r="AV204" s="5" t="s">
        <v>74</v>
      </c>
      <c r="AW204" s="5" t="s">
        <v>74</v>
      </c>
      <c r="AX204" s="5" t="s">
        <v>74</v>
      </c>
      <c r="AY204" s="5" t="s">
        <v>74</v>
      </c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 t="s">
        <v>74</v>
      </c>
      <c r="BQ204" s="5" t="s">
        <v>74</v>
      </c>
      <c r="BR204" s="5" t="s">
        <v>74</v>
      </c>
      <c r="BS204" s="5"/>
      <c r="BT204" s="5" t="s">
        <v>74</v>
      </c>
      <c r="BU204" s="6" t="s">
        <v>51</v>
      </c>
      <c r="BV204" s="5">
        <v>1</v>
      </c>
      <c r="BW204" s="5"/>
      <c r="BX204" s="5" t="s">
        <v>74</v>
      </c>
      <c r="BY204" s="5"/>
      <c r="BZ204" s="5"/>
      <c r="CA204" s="10" t="s">
        <v>74</v>
      </c>
      <c r="CB204" s="5" t="s">
        <v>74</v>
      </c>
      <c r="CC204" s="5" t="s">
        <v>74</v>
      </c>
      <c r="CD204" s="5" t="s">
        <v>74</v>
      </c>
      <c r="CE204" s="5">
        <v>2</v>
      </c>
      <c r="CF204" s="8"/>
      <c r="CG204" s="5"/>
      <c r="CH204" s="5">
        <v>5</v>
      </c>
      <c r="CI204" s="5" t="s">
        <v>74</v>
      </c>
      <c r="CJ204" s="8" t="s">
        <v>74</v>
      </c>
      <c r="CK204" s="5"/>
      <c r="CL204" s="5" t="s">
        <v>74</v>
      </c>
      <c r="CM204" s="5" t="s">
        <v>74</v>
      </c>
      <c r="CN204" s="5">
        <v>5</v>
      </c>
      <c r="CO204" s="5"/>
      <c r="CP204" s="5" t="s">
        <v>74</v>
      </c>
    </row>
    <row r="205" spans="1:94" ht="25.25" customHeight="1">
      <c r="A205" s="5">
        <v>204</v>
      </c>
      <c r="B205" s="9" t="s">
        <v>279</v>
      </c>
      <c r="C205" s="9">
        <v>2024202888</v>
      </c>
      <c r="D205" s="5" t="s">
        <v>135</v>
      </c>
      <c r="E205" s="5">
        <f>SUM(G205:$XET205)</f>
        <v>41</v>
      </c>
      <c r="F205" s="5">
        <f>COUNT(G205:$XFD205)</f>
        <v>8</v>
      </c>
      <c r="G205" s="5"/>
      <c r="H205" s="5"/>
      <c r="I205" s="5"/>
      <c r="J205" s="5"/>
      <c r="K205" s="5">
        <v>10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>
        <v>4</v>
      </c>
      <c r="X205" s="5"/>
      <c r="Y205" s="5"/>
      <c r="Z205" s="5"/>
      <c r="AA205" s="5">
        <v>4</v>
      </c>
      <c r="AB205" s="5" t="s">
        <v>74</v>
      </c>
      <c r="AC205" s="5">
        <v>1</v>
      </c>
      <c r="AD205" s="5"/>
      <c r="AE205" s="5"/>
      <c r="AF205" s="5"/>
      <c r="AG205" s="5" t="s">
        <v>74</v>
      </c>
      <c r="AH205" s="5" t="s">
        <v>74</v>
      </c>
      <c r="AI205" s="5" t="s">
        <v>74</v>
      </c>
      <c r="AJ205" s="5" t="s">
        <v>74</v>
      </c>
      <c r="AK205" s="5" t="s">
        <v>74</v>
      </c>
      <c r="AL205" s="5"/>
      <c r="AM205" s="5"/>
      <c r="AN205" s="5"/>
      <c r="AO205" s="5"/>
      <c r="AP205" s="5"/>
      <c r="AQ205" s="5"/>
      <c r="AR205" s="5" t="s">
        <v>74</v>
      </c>
      <c r="AS205" s="5">
        <v>12</v>
      </c>
      <c r="AT205" s="5" t="s">
        <v>74</v>
      </c>
      <c r="AU205" s="5" t="s">
        <v>74</v>
      </c>
      <c r="AV205" s="5" t="s">
        <v>74</v>
      </c>
      <c r="AW205" s="5" t="s">
        <v>74</v>
      </c>
      <c r="AX205" s="5" t="s">
        <v>74</v>
      </c>
      <c r="AY205" s="5" t="s">
        <v>74</v>
      </c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 t="s">
        <v>74</v>
      </c>
      <c r="BQ205" s="5" t="s">
        <v>74</v>
      </c>
      <c r="BR205" s="5" t="s">
        <v>74</v>
      </c>
      <c r="BS205" s="5"/>
      <c r="BT205" s="5" t="s">
        <v>74</v>
      </c>
      <c r="BU205" s="6" t="s">
        <v>51</v>
      </c>
      <c r="BV205" s="5" t="s">
        <v>74</v>
      </c>
      <c r="BW205" s="5"/>
      <c r="BX205" s="5" t="s">
        <v>74</v>
      </c>
      <c r="BY205" s="5"/>
      <c r="BZ205" s="5"/>
      <c r="CA205" s="10" t="s">
        <v>74</v>
      </c>
      <c r="CB205" s="5" t="s">
        <v>74</v>
      </c>
      <c r="CC205" s="5">
        <v>5</v>
      </c>
      <c r="CD205" s="5" t="s">
        <v>74</v>
      </c>
      <c r="CE205" s="5">
        <v>1</v>
      </c>
      <c r="CF205" s="8"/>
      <c r="CG205" s="5"/>
      <c r="CH205" s="5" t="s">
        <v>74</v>
      </c>
      <c r="CI205" s="5" t="s">
        <v>74</v>
      </c>
      <c r="CJ205" s="8" t="s">
        <v>74</v>
      </c>
      <c r="CK205" s="5"/>
      <c r="CL205" s="5" t="s">
        <v>74</v>
      </c>
      <c r="CM205" s="5" t="s">
        <v>74</v>
      </c>
      <c r="CN205" s="5" t="s">
        <v>74</v>
      </c>
      <c r="CO205" s="5"/>
      <c r="CP205" s="5">
        <v>4</v>
      </c>
    </row>
    <row r="206" spans="1:94" ht="25.25" customHeight="1">
      <c r="A206" s="5">
        <v>205</v>
      </c>
      <c r="B206" s="9" t="s">
        <v>280</v>
      </c>
      <c r="C206" s="9">
        <v>2024201994</v>
      </c>
      <c r="D206" s="5" t="s">
        <v>135</v>
      </c>
      <c r="E206" s="5">
        <f>SUM(G206:$XET206)</f>
        <v>84</v>
      </c>
      <c r="F206" s="5">
        <f>COUNT(G206:$XFD206)</f>
        <v>3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>
        <v>16</v>
      </c>
      <c r="U206" s="5"/>
      <c r="V206" s="5"/>
      <c r="W206" s="5"/>
      <c r="X206" s="5">
        <v>52</v>
      </c>
      <c r="Y206" s="5"/>
      <c r="Z206" s="5"/>
      <c r="AA206" s="5"/>
      <c r="AB206" s="5" t="s">
        <v>74</v>
      </c>
      <c r="AC206" s="5" t="s">
        <v>74</v>
      </c>
      <c r="AD206" s="5"/>
      <c r="AE206" s="5"/>
      <c r="AF206" s="5"/>
      <c r="AG206" s="5" t="s">
        <v>74</v>
      </c>
      <c r="AH206" s="5" t="s">
        <v>74</v>
      </c>
      <c r="AI206" s="5" t="s">
        <v>74</v>
      </c>
      <c r="AJ206" s="5" t="s">
        <v>74</v>
      </c>
      <c r="AK206" s="5" t="s">
        <v>74</v>
      </c>
      <c r="AL206" s="5"/>
      <c r="AM206" s="5"/>
      <c r="AN206" s="5"/>
      <c r="AO206" s="5"/>
      <c r="AP206" s="5"/>
      <c r="AQ206" s="5"/>
      <c r="AR206" s="5" t="s">
        <v>74</v>
      </c>
      <c r="AS206" s="5" t="s">
        <v>74</v>
      </c>
      <c r="AT206" s="5" t="s">
        <v>74</v>
      </c>
      <c r="AU206" s="5" t="s">
        <v>74</v>
      </c>
      <c r="AV206" s="5" t="s">
        <v>74</v>
      </c>
      <c r="AW206" s="5" t="s">
        <v>74</v>
      </c>
      <c r="AX206" s="5" t="s">
        <v>74</v>
      </c>
      <c r="AY206" s="5" t="s">
        <v>74</v>
      </c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 t="s">
        <v>74</v>
      </c>
      <c r="BQ206" s="5" t="s">
        <v>74</v>
      </c>
      <c r="BR206" s="5" t="s">
        <v>74</v>
      </c>
      <c r="BS206" s="5"/>
      <c r="BT206" s="5" t="s">
        <v>74</v>
      </c>
      <c r="BU206" s="6" t="s">
        <v>51</v>
      </c>
      <c r="BV206" s="5" t="s">
        <v>74</v>
      </c>
      <c r="BW206" s="5"/>
      <c r="BX206" s="5" t="s">
        <v>74</v>
      </c>
      <c r="BY206" s="5"/>
      <c r="BZ206" s="5"/>
      <c r="CA206" s="10" t="s">
        <v>74</v>
      </c>
      <c r="CB206" s="5" t="s">
        <v>74</v>
      </c>
      <c r="CC206" s="5" t="s">
        <v>74</v>
      </c>
      <c r="CD206" s="5" t="s">
        <v>74</v>
      </c>
      <c r="CE206" s="5" t="s">
        <v>74</v>
      </c>
      <c r="CF206" s="8"/>
      <c r="CG206" s="5"/>
      <c r="CH206" s="5" t="s">
        <v>74</v>
      </c>
      <c r="CI206" s="5">
        <v>16</v>
      </c>
      <c r="CJ206" s="8" t="s">
        <v>74</v>
      </c>
      <c r="CK206" s="5"/>
      <c r="CL206" s="5" t="s">
        <v>74</v>
      </c>
      <c r="CM206" s="5" t="s">
        <v>74</v>
      </c>
      <c r="CN206" s="5" t="s">
        <v>74</v>
      </c>
      <c r="CO206" s="5"/>
      <c r="CP206" s="5" t="s">
        <v>74</v>
      </c>
    </row>
    <row r="207" spans="1:94" ht="25.25" customHeight="1">
      <c r="A207" s="5">
        <v>206</v>
      </c>
      <c r="B207" s="9" t="s">
        <v>281</v>
      </c>
      <c r="C207" s="9">
        <v>2024201999</v>
      </c>
      <c r="D207" s="5" t="s">
        <v>135</v>
      </c>
      <c r="E207" s="5">
        <f>SUM(G207:$XET207)</f>
        <v>2.5</v>
      </c>
      <c r="F207" s="5">
        <f>COUNT(G207:$XFD207)</f>
        <v>1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>
        <v>2.5</v>
      </c>
      <c r="AC207" s="5" t="s">
        <v>74</v>
      </c>
      <c r="AD207" s="5"/>
      <c r="AE207" s="5"/>
      <c r="AF207" s="5"/>
      <c r="AG207" s="5" t="s">
        <v>74</v>
      </c>
      <c r="AH207" s="5" t="s">
        <v>74</v>
      </c>
      <c r="AI207" s="5" t="s">
        <v>74</v>
      </c>
      <c r="AJ207" s="5" t="s">
        <v>74</v>
      </c>
      <c r="AK207" s="5" t="s">
        <v>74</v>
      </c>
      <c r="AL207" s="5"/>
      <c r="AM207" s="5"/>
      <c r="AN207" s="5"/>
      <c r="AO207" s="5"/>
      <c r="AP207" s="5"/>
      <c r="AQ207" s="5"/>
      <c r="AR207" s="5" t="s">
        <v>74</v>
      </c>
      <c r="AS207" s="5" t="s">
        <v>74</v>
      </c>
      <c r="AT207" s="5" t="s">
        <v>74</v>
      </c>
      <c r="AU207" s="5" t="s">
        <v>74</v>
      </c>
      <c r="AV207" s="5" t="s">
        <v>74</v>
      </c>
      <c r="AW207" s="5" t="s">
        <v>74</v>
      </c>
      <c r="AX207" s="5" t="s">
        <v>74</v>
      </c>
      <c r="AY207" s="5" t="s">
        <v>74</v>
      </c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 t="s">
        <v>74</v>
      </c>
      <c r="BQ207" s="5" t="s">
        <v>74</v>
      </c>
      <c r="BR207" s="5" t="s">
        <v>74</v>
      </c>
      <c r="BS207" s="5"/>
      <c r="BT207" s="5" t="s">
        <v>74</v>
      </c>
      <c r="BU207" s="6" t="s">
        <v>51</v>
      </c>
      <c r="BV207" s="5" t="s">
        <v>74</v>
      </c>
      <c r="BW207" s="5"/>
      <c r="BX207" s="5" t="s">
        <v>74</v>
      </c>
      <c r="BY207" s="5"/>
      <c r="BZ207" s="5"/>
      <c r="CA207" s="10" t="s">
        <v>74</v>
      </c>
      <c r="CB207" s="5" t="s">
        <v>74</v>
      </c>
      <c r="CC207" s="5" t="s">
        <v>74</v>
      </c>
      <c r="CD207" s="5" t="s">
        <v>74</v>
      </c>
      <c r="CE207" s="5" t="s">
        <v>74</v>
      </c>
      <c r="CF207" s="8"/>
      <c r="CG207" s="5"/>
      <c r="CH207" s="5" t="s">
        <v>74</v>
      </c>
      <c r="CI207" s="5" t="s">
        <v>74</v>
      </c>
      <c r="CJ207" s="8" t="s">
        <v>74</v>
      </c>
      <c r="CK207" s="5"/>
      <c r="CL207" s="5" t="s">
        <v>74</v>
      </c>
      <c r="CM207" s="5" t="s">
        <v>74</v>
      </c>
      <c r="CN207" s="5" t="s">
        <v>74</v>
      </c>
      <c r="CO207" s="5"/>
      <c r="CP207" s="5" t="s">
        <v>74</v>
      </c>
    </row>
    <row r="208" spans="1:94" ht="25.25" customHeight="1">
      <c r="A208" s="5">
        <v>207</v>
      </c>
      <c r="B208" s="9" t="s">
        <v>282</v>
      </c>
      <c r="C208" s="9">
        <v>2024202006</v>
      </c>
      <c r="D208" s="5" t="s">
        <v>135</v>
      </c>
      <c r="E208" s="5">
        <f>SUM(G208:$XET208)</f>
        <v>38.5</v>
      </c>
      <c r="F208" s="5">
        <f>COUNT(G208:$XFD208)</f>
        <v>3</v>
      </c>
      <c r="G208" s="5"/>
      <c r="H208" s="5"/>
      <c r="I208" s="5"/>
      <c r="J208" s="5"/>
      <c r="K208" s="5">
        <v>10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>
        <v>16</v>
      </c>
      <c r="Y208" s="5">
        <v>12.5</v>
      </c>
      <c r="Z208" s="5"/>
      <c r="AA208" s="5"/>
      <c r="AB208" s="5" t="s">
        <v>74</v>
      </c>
      <c r="AC208" s="5" t="s">
        <v>74</v>
      </c>
      <c r="AD208" s="5"/>
      <c r="AE208" s="5"/>
      <c r="AF208" s="5"/>
      <c r="AG208" s="5" t="s">
        <v>74</v>
      </c>
      <c r="AH208" s="5" t="s">
        <v>74</v>
      </c>
      <c r="AI208" s="5" t="s">
        <v>74</v>
      </c>
      <c r="AJ208" s="5" t="s">
        <v>74</v>
      </c>
      <c r="AK208" s="5" t="s">
        <v>74</v>
      </c>
      <c r="AL208" s="5"/>
      <c r="AM208" s="5"/>
      <c r="AN208" s="5"/>
      <c r="AO208" s="5"/>
      <c r="AP208" s="5"/>
      <c r="AQ208" s="5"/>
      <c r="AR208" s="5" t="s">
        <v>74</v>
      </c>
      <c r="AS208" s="5" t="s">
        <v>74</v>
      </c>
      <c r="AT208" s="5" t="s">
        <v>74</v>
      </c>
      <c r="AU208" s="5" t="s">
        <v>74</v>
      </c>
      <c r="AV208" s="5" t="s">
        <v>74</v>
      </c>
      <c r="AW208" s="5" t="s">
        <v>74</v>
      </c>
      <c r="AX208" s="5" t="s">
        <v>74</v>
      </c>
      <c r="AY208" s="5" t="s">
        <v>74</v>
      </c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 t="s">
        <v>74</v>
      </c>
      <c r="BQ208" s="5" t="s">
        <v>74</v>
      </c>
      <c r="BR208" s="5" t="s">
        <v>74</v>
      </c>
      <c r="BS208" s="5"/>
      <c r="BT208" s="5" t="s">
        <v>74</v>
      </c>
      <c r="BU208" s="6" t="s">
        <v>51</v>
      </c>
      <c r="BV208" s="5" t="s">
        <v>74</v>
      </c>
      <c r="BW208" s="5"/>
      <c r="BX208" s="5" t="s">
        <v>74</v>
      </c>
      <c r="BY208" s="5"/>
      <c r="BZ208" s="5"/>
      <c r="CA208" s="10" t="s">
        <v>74</v>
      </c>
      <c r="CB208" s="5" t="s">
        <v>74</v>
      </c>
      <c r="CC208" s="5" t="s">
        <v>74</v>
      </c>
      <c r="CD208" s="5" t="s">
        <v>74</v>
      </c>
      <c r="CE208" s="5" t="s">
        <v>74</v>
      </c>
      <c r="CF208" s="8"/>
      <c r="CG208" s="5"/>
      <c r="CH208" s="5" t="s">
        <v>74</v>
      </c>
      <c r="CI208" s="5" t="s">
        <v>74</v>
      </c>
      <c r="CJ208" s="8" t="s">
        <v>74</v>
      </c>
      <c r="CK208" s="5"/>
      <c r="CL208" s="5" t="s">
        <v>74</v>
      </c>
      <c r="CM208" s="5" t="s">
        <v>74</v>
      </c>
      <c r="CN208" s="5" t="s">
        <v>74</v>
      </c>
      <c r="CO208" s="5"/>
      <c r="CP208" s="5" t="s">
        <v>74</v>
      </c>
    </row>
    <row r="209" spans="1:94" ht="25.25" customHeight="1">
      <c r="A209" s="5">
        <v>208</v>
      </c>
      <c r="B209" s="9" t="s">
        <v>283</v>
      </c>
      <c r="C209" s="9">
        <v>2024202011</v>
      </c>
      <c r="D209" s="5" t="s">
        <v>135</v>
      </c>
      <c r="E209" s="5">
        <f>SUM(G209:$XET209)</f>
        <v>92</v>
      </c>
      <c r="F209" s="5">
        <f>COUNT(G209:$XFD209)</f>
        <v>7</v>
      </c>
      <c r="G209" s="5"/>
      <c r="H209" s="5"/>
      <c r="I209" s="5">
        <v>4</v>
      </c>
      <c r="J209" s="5"/>
      <c r="K209" s="5">
        <v>9</v>
      </c>
      <c r="L209" s="5"/>
      <c r="M209" s="5"/>
      <c r="N209" s="5"/>
      <c r="O209" s="5"/>
      <c r="P209" s="5">
        <v>6</v>
      </c>
      <c r="Q209" s="5"/>
      <c r="R209" s="5"/>
      <c r="S209" s="5"/>
      <c r="T209" s="5"/>
      <c r="U209" s="5"/>
      <c r="V209" s="5"/>
      <c r="W209" s="5">
        <v>5</v>
      </c>
      <c r="X209" s="5"/>
      <c r="Y209" s="5">
        <v>62</v>
      </c>
      <c r="Z209" s="5"/>
      <c r="AA209" s="5"/>
      <c r="AB209" s="5" t="s">
        <v>74</v>
      </c>
      <c r="AC209" s="5" t="s">
        <v>74</v>
      </c>
      <c r="AD209" s="5"/>
      <c r="AE209" s="5"/>
      <c r="AF209" s="5"/>
      <c r="AG209" s="5" t="s">
        <v>74</v>
      </c>
      <c r="AH209" s="5" t="s">
        <v>74</v>
      </c>
      <c r="AI209" s="5" t="s">
        <v>74</v>
      </c>
      <c r="AJ209" s="5">
        <v>2</v>
      </c>
      <c r="AK209" s="5">
        <v>4</v>
      </c>
      <c r="AL209" s="5"/>
      <c r="AM209" s="5"/>
      <c r="AN209" s="5"/>
      <c r="AO209" s="5"/>
      <c r="AP209" s="5"/>
      <c r="AQ209" s="5"/>
      <c r="AR209" s="5" t="s">
        <v>74</v>
      </c>
      <c r="AS209" s="5" t="s">
        <v>74</v>
      </c>
      <c r="AT209" s="5" t="s">
        <v>74</v>
      </c>
      <c r="AU209" s="5" t="s">
        <v>74</v>
      </c>
      <c r="AV209" s="5" t="s">
        <v>74</v>
      </c>
      <c r="AW209" s="5" t="s">
        <v>74</v>
      </c>
      <c r="AX209" s="5" t="s">
        <v>74</v>
      </c>
      <c r="AY209" s="5" t="s">
        <v>74</v>
      </c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 t="s">
        <v>74</v>
      </c>
      <c r="BQ209" s="5" t="s">
        <v>74</v>
      </c>
      <c r="BR209" s="5" t="s">
        <v>74</v>
      </c>
      <c r="BS209" s="5"/>
      <c r="BT209" s="5" t="s">
        <v>74</v>
      </c>
      <c r="BU209" s="6" t="s">
        <v>51</v>
      </c>
      <c r="BV209" s="5" t="s">
        <v>74</v>
      </c>
      <c r="BW209" s="5"/>
      <c r="BX209" s="5" t="s">
        <v>74</v>
      </c>
      <c r="BY209" s="5"/>
      <c r="BZ209" s="5"/>
      <c r="CA209" s="10" t="s">
        <v>74</v>
      </c>
      <c r="CB209" s="5" t="s">
        <v>74</v>
      </c>
      <c r="CC209" s="5" t="s">
        <v>74</v>
      </c>
      <c r="CD209" s="5" t="s">
        <v>74</v>
      </c>
      <c r="CE209" s="5" t="s">
        <v>74</v>
      </c>
      <c r="CF209" s="8"/>
      <c r="CG209" s="5"/>
      <c r="CH209" s="5" t="s">
        <v>74</v>
      </c>
      <c r="CI209" s="5" t="s">
        <v>74</v>
      </c>
      <c r="CJ209" s="8" t="s">
        <v>74</v>
      </c>
      <c r="CK209" s="5"/>
      <c r="CL209" s="5" t="s">
        <v>74</v>
      </c>
      <c r="CM209" s="5" t="s">
        <v>74</v>
      </c>
      <c r="CN209" s="5" t="s">
        <v>74</v>
      </c>
      <c r="CO209" s="5"/>
      <c r="CP209" s="5" t="s">
        <v>74</v>
      </c>
    </row>
    <row r="210" spans="1:94" ht="25.25" customHeight="1">
      <c r="A210" s="5">
        <v>209</v>
      </c>
      <c r="B210" s="9" t="s">
        <v>284</v>
      </c>
      <c r="C210" s="9">
        <v>2024202033</v>
      </c>
      <c r="D210" s="5" t="s">
        <v>135</v>
      </c>
      <c r="E210" s="5">
        <f>SUM(G210:$XET210)</f>
        <v>56.5</v>
      </c>
      <c r="F210" s="5">
        <f>COUNT(G210:$XFD210)</f>
        <v>6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>
        <v>14.5</v>
      </c>
      <c r="S210" s="5"/>
      <c r="T210" s="5"/>
      <c r="U210" s="5"/>
      <c r="V210" s="5"/>
      <c r="W210" s="5"/>
      <c r="X210" s="5">
        <v>8</v>
      </c>
      <c r="Y210" s="5"/>
      <c r="Z210" s="5"/>
      <c r="AA210" s="5"/>
      <c r="AB210" s="5" t="s">
        <v>74</v>
      </c>
      <c r="AC210" s="5" t="s">
        <v>74</v>
      </c>
      <c r="AD210" s="5"/>
      <c r="AE210" s="5"/>
      <c r="AF210" s="5"/>
      <c r="AG210" s="5" t="s">
        <v>74</v>
      </c>
      <c r="AH210" s="5" t="s">
        <v>74</v>
      </c>
      <c r="AI210" s="5" t="s">
        <v>74</v>
      </c>
      <c r="AJ210" s="5">
        <v>2</v>
      </c>
      <c r="AK210" s="5">
        <v>4</v>
      </c>
      <c r="AL210" s="5"/>
      <c r="AM210" s="5"/>
      <c r="AN210" s="5"/>
      <c r="AO210" s="5"/>
      <c r="AP210" s="5"/>
      <c r="AQ210" s="5"/>
      <c r="AR210" s="5" t="s">
        <v>74</v>
      </c>
      <c r="AS210" s="5" t="s">
        <v>74</v>
      </c>
      <c r="AT210" s="5" t="s">
        <v>74</v>
      </c>
      <c r="AU210" s="5" t="s">
        <v>74</v>
      </c>
      <c r="AV210" s="5" t="s">
        <v>74</v>
      </c>
      <c r="AW210" s="5" t="s">
        <v>74</v>
      </c>
      <c r="AX210" s="5" t="s">
        <v>74</v>
      </c>
      <c r="AY210" s="5">
        <v>22</v>
      </c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 t="s">
        <v>74</v>
      </c>
      <c r="BQ210" s="5" t="s">
        <v>74</v>
      </c>
      <c r="BR210" s="5" t="s">
        <v>74</v>
      </c>
      <c r="BS210" s="5"/>
      <c r="BT210" s="5" t="s">
        <v>74</v>
      </c>
      <c r="BU210" s="6" t="s">
        <v>51</v>
      </c>
      <c r="BV210" s="5" t="s">
        <v>74</v>
      </c>
      <c r="BW210" s="5"/>
      <c r="BX210" s="5">
        <v>6</v>
      </c>
      <c r="BY210" s="5"/>
      <c r="BZ210" s="5"/>
      <c r="CA210" s="10" t="s">
        <v>74</v>
      </c>
      <c r="CB210" s="5" t="s">
        <v>74</v>
      </c>
      <c r="CC210" s="5" t="s">
        <v>74</v>
      </c>
      <c r="CD210" s="5" t="s">
        <v>74</v>
      </c>
      <c r="CE210" s="5" t="s">
        <v>74</v>
      </c>
      <c r="CF210" s="8"/>
      <c r="CG210" s="5"/>
      <c r="CH210" s="5" t="s">
        <v>74</v>
      </c>
      <c r="CI210" s="5" t="s">
        <v>74</v>
      </c>
      <c r="CJ210" s="8" t="s">
        <v>74</v>
      </c>
      <c r="CK210" s="5"/>
      <c r="CL210" s="5" t="s">
        <v>74</v>
      </c>
      <c r="CM210" s="5" t="s">
        <v>74</v>
      </c>
      <c r="CN210" s="5" t="s">
        <v>74</v>
      </c>
      <c r="CO210" s="5"/>
      <c r="CP210" s="5" t="s">
        <v>74</v>
      </c>
    </row>
    <row r="211" spans="1:94" ht="25.25" customHeight="1">
      <c r="A211" s="5">
        <v>210</v>
      </c>
      <c r="B211" s="9" t="s">
        <v>285</v>
      </c>
      <c r="C211" s="9">
        <v>2024202075</v>
      </c>
      <c r="D211" s="5" t="s">
        <v>135</v>
      </c>
      <c r="E211" s="5">
        <f>SUM(G211:$XET211)</f>
        <v>4</v>
      </c>
      <c r="F211" s="5">
        <f>COUNT(G211:$XFD211)</f>
        <v>1</v>
      </c>
      <c r="G211" s="5"/>
      <c r="H211" s="5"/>
      <c r="I211" s="5"/>
      <c r="J211" s="5"/>
      <c r="K211" s="5"/>
      <c r="L211" s="5"/>
      <c r="M211" s="5"/>
      <c r="N211" s="5"/>
      <c r="O211" s="5">
        <v>4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 t="s">
        <v>74</v>
      </c>
      <c r="AC211" s="5" t="s">
        <v>74</v>
      </c>
      <c r="AD211" s="5"/>
      <c r="AE211" s="5"/>
      <c r="AF211" s="5"/>
      <c r="AG211" s="5" t="s">
        <v>74</v>
      </c>
      <c r="AH211" s="5" t="s">
        <v>74</v>
      </c>
      <c r="AI211" s="5" t="s">
        <v>74</v>
      </c>
      <c r="AJ211" s="5" t="s">
        <v>74</v>
      </c>
      <c r="AK211" s="5" t="s">
        <v>74</v>
      </c>
      <c r="AL211" s="5"/>
      <c r="AM211" s="5"/>
      <c r="AN211" s="5"/>
      <c r="AO211" s="5"/>
      <c r="AP211" s="5"/>
      <c r="AQ211" s="5"/>
      <c r="AR211" s="5" t="s">
        <v>74</v>
      </c>
      <c r="AS211" s="5" t="s">
        <v>74</v>
      </c>
      <c r="AT211" s="5" t="s">
        <v>74</v>
      </c>
      <c r="AU211" s="5" t="s">
        <v>74</v>
      </c>
      <c r="AV211" s="5" t="s">
        <v>74</v>
      </c>
      <c r="AW211" s="5" t="s">
        <v>74</v>
      </c>
      <c r="AX211" s="5" t="s">
        <v>74</v>
      </c>
      <c r="AY211" s="5" t="s">
        <v>74</v>
      </c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 t="s">
        <v>74</v>
      </c>
      <c r="BQ211" s="5" t="s">
        <v>74</v>
      </c>
      <c r="BR211" s="5" t="s">
        <v>74</v>
      </c>
      <c r="BS211" s="5"/>
      <c r="BT211" s="5" t="s">
        <v>74</v>
      </c>
      <c r="BU211" s="6" t="s">
        <v>51</v>
      </c>
      <c r="BV211" s="5" t="s">
        <v>74</v>
      </c>
      <c r="BW211" s="5"/>
      <c r="BX211" s="5" t="s">
        <v>74</v>
      </c>
      <c r="BY211" s="5"/>
      <c r="BZ211" s="5"/>
      <c r="CA211" s="10" t="s">
        <v>74</v>
      </c>
      <c r="CB211" s="5" t="s">
        <v>74</v>
      </c>
      <c r="CC211" s="5" t="s">
        <v>74</v>
      </c>
      <c r="CD211" s="5" t="s">
        <v>74</v>
      </c>
      <c r="CE211" s="5" t="s">
        <v>74</v>
      </c>
      <c r="CF211" s="8"/>
      <c r="CG211" s="5"/>
      <c r="CH211" s="5" t="s">
        <v>74</v>
      </c>
      <c r="CI211" s="5" t="s">
        <v>74</v>
      </c>
      <c r="CJ211" s="8" t="s">
        <v>74</v>
      </c>
      <c r="CK211" s="5"/>
      <c r="CL211" s="5" t="s">
        <v>74</v>
      </c>
      <c r="CM211" s="5" t="s">
        <v>74</v>
      </c>
      <c r="CN211" s="5" t="s">
        <v>74</v>
      </c>
      <c r="CO211" s="5"/>
      <c r="CP211" s="5" t="s">
        <v>74</v>
      </c>
    </row>
    <row r="212" spans="1:94" ht="25.25" customHeight="1">
      <c r="A212" s="5">
        <v>211</v>
      </c>
      <c r="B212" s="9" t="s">
        <v>286</v>
      </c>
      <c r="C212" s="9">
        <v>2024202009</v>
      </c>
      <c r="D212" s="5" t="s">
        <v>135</v>
      </c>
      <c r="E212" s="5">
        <f>SUM(G212:$XET212)</f>
        <v>133</v>
      </c>
      <c r="F212" s="5">
        <f>COUNT(G212:$XFD212)</f>
        <v>16</v>
      </c>
      <c r="G212" s="5"/>
      <c r="H212" s="5"/>
      <c r="I212" s="5">
        <v>4</v>
      </c>
      <c r="J212" s="5"/>
      <c r="K212" s="5">
        <v>10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>
        <v>8</v>
      </c>
      <c r="X212" s="5">
        <v>14</v>
      </c>
      <c r="Y212" s="5">
        <v>30.5</v>
      </c>
      <c r="Z212" s="5"/>
      <c r="AA212" s="5"/>
      <c r="AB212" s="5">
        <v>6.5</v>
      </c>
      <c r="AC212" s="5">
        <v>1</v>
      </c>
      <c r="AD212" s="5"/>
      <c r="AE212" s="5"/>
      <c r="AF212" s="5"/>
      <c r="AG212" s="5" t="s">
        <v>74</v>
      </c>
      <c r="AH212" s="5" t="s">
        <v>74</v>
      </c>
      <c r="AI212" s="5" t="s">
        <v>74</v>
      </c>
      <c r="AJ212" s="5">
        <v>2</v>
      </c>
      <c r="AK212" s="5">
        <v>4</v>
      </c>
      <c r="AL212" s="5"/>
      <c r="AM212" s="5"/>
      <c r="AN212" s="5"/>
      <c r="AO212" s="5"/>
      <c r="AP212" s="5"/>
      <c r="AQ212" s="5"/>
      <c r="AR212" s="5" t="s">
        <v>74</v>
      </c>
      <c r="AS212" s="5" t="s">
        <v>74</v>
      </c>
      <c r="AT212" s="5" t="s">
        <v>74</v>
      </c>
      <c r="AU212" s="5">
        <v>4</v>
      </c>
      <c r="AV212" s="5" t="s">
        <v>74</v>
      </c>
      <c r="AW212" s="5" t="s">
        <v>74</v>
      </c>
      <c r="AX212" s="5" t="s">
        <v>74</v>
      </c>
      <c r="AY212" s="5" t="s">
        <v>74</v>
      </c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 t="s">
        <v>74</v>
      </c>
      <c r="BQ212" s="5">
        <v>7</v>
      </c>
      <c r="BR212" s="5">
        <v>24</v>
      </c>
      <c r="BS212" s="5"/>
      <c r="BT212" s="5" t="s">
        <v>74</v>
      </c>
      <c r="BU212" s="6" t="s">
        <v>51</v>
      </c>
      <c r="BV212" s="5">
        <v>7</v>
      </c>
      <c r="BW212" s="5"/>
      <c r="BX212" s="5" t="s">
        <v>74</v>
      </c>
      <c r="BY212" s="5"/>
      <c r="BZ212" s="5"/>
      <c r="CA212" s="10" t="s">
        <v>74</v>
      </c>
      <c r="CB212" s="5" t="s">
        <v>74</v>
      </c>
      <c r="CC212" s="5" t="s">
        <v>74</v>
      </c>
      <c r="CD212" s="5" t="s">
        <v>74</v>
      </c>
      <c r="CE212" s="5" t="s">
        <v>74</v>
      </c>
      <c r="CF212" s="8">
        <v>3</v>
      </c>
      <c r="CG212" s="5"/>
      <c r="CH212" s="5" t="s">
        <v>74</v>
      </c>
      <c r="CI212" s="5" t="s">
        <v>74</v>
      </c>
      <c r="CJ212" s="8">
        <v>4</v>
      </c>
      <c r="CK212" s="5"/>
      <c r="CL212" s="5">
        <v>4</v>
      </c>
      <c r="CM212" s="5" t="s">
        <v>74</v>
      </c>
      <c r="CN212" s="5" t="s">
        <v>74</v>
      </c>
      <c r="CO212" s="5"/>
      <c r="CP212" s="5" t="s">
        <v>74</v>
      </c>
    </row>
    <row r="213" spans="1:94" ht="25.25" customHeight="1">
      <c r="A213" s="5">
        <v>212</v>
      </c>
      <c r="B213" s="9" t="s">
        <v>287</v>
      </c>
      <c r="C213" s="9">
        <v>2024202078</v>
      </c>
      <c r="D213" s="5" t="s">
        <v>135</v>
      </c>
      <c r="E213" s="5">
        <f>SUM(G213:$XET213)</f>
        <v>18</v>
      </c>
      <c r="F213" s="5">
        <f>COUNT(G213:$XFD213)</f>
        <v>4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>
        <v>3</v>
      </c>
      <c r="R213" s="5"/>
      <c r="S213" s="5"/>
      <c r="T213" s="5"/>
      <c r="U213" s="5"/>
      <c r="V213" s="5"/>
      <c r="W213" s="5">
        <v>8</v>
      </c>
      <c r="X213" s="5"/>
      <c r="Y213" s="5"/>
      <c r="Z213" s="5"/>
      <c r="AA213" s="5"/>
      <c r="AB213" s="5" t="s">
        <v>74</v>
      </c>
      <c r="AC213" s="5" t="s">
        <v>74</v>
      </c>
      <c r="AD213" s="5"/>
      <c r="AE213" s="5"/>
      <c r="AF213" s="5"/>
      <c r="AG213" s="5" t="s">
        <v>74</v>
      </c>
      <c r="AH213" s="5" t="s">
        <v>74</v>
      </c>
      <c r="AI213" s="5" t="s">
        <v>74</v>
      </c>
      <c r="AJ213" s="5" t="s">
        <v>74</v>
      </c>
      <c r="AK213" s="5">
        <v>4</v>
      </c>
      <c r="AL213" s="5"/>
      <c r="AM213" s="5"/>
      <c r="AN213" s="5"/>
      <c r="AO213" s="5"/>
      <c r="AP213" s="5"/>
      <c r="AQ213" s="5"/>
      <c r="AR213" s="5" t="s">
        <v>74</v>
      </c>
      <c r="AS213" s="5" t="s">
        <v>74</v>
      </c>
      <c r="AT213" s="5" t="s">
        <v>74</v>
      </c>
      <c r="AU213" s="5" t="s">
        <v>74</v>
      </c>
      <c r="AV213" s="5" t="s">
        <v>74</v>
      </c>
      <c r="AW213" s="5" t="s">
        <v>74</v>
      </c>
      <c r="AX213" s="5" t="s">
        <v>74</v>
      </c>
      <c r="AY213" s="5" t="s">
        <v>74</v>
      </c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 t="s">
        <v>74</v>
      </c>
      <c r="BQ213" s="5" t="s">
        <v>74</v>
      </c>
      <c r="BR213" s="5" t="s">
        <v>74</v>
      </c>
      <c r="BS213" s="5"/>
      <c r="BT213" s="5" t="s">
        <v>74</v>
      </c>
      <c r="BU213" s="6" t="s">
        <v>51</v>
      </c>
      <c r="BV213" s="5" t="s">
        <v>74</v>
      </c>
      <c r="BW213" s="5"/>
      <c r="BX213" s="5" t="s">
        <v>74</v>
      </c>
      <c r="BY213" s="5"/>
      <c r="BZ213" s="5"/>
      <c r="CA213" s="10" t="s">
        <v>74</v>
      </c>
      <c r="CB213" s="5" t="s">
        <v>74</v>
      </c>
      <c r="CC213" s="5" t="s">
        <v>74</v>
      </c>
      <c r="CD213" s="5" t="s">
        <v>74</v>
      </c>
      <c r="CE213" s="5" t="s">
        <v>74</v>
      </c>
      <c r="CF213" s="8"/>
      <c r="CG213" s="5"/>
      <c r="CH213" s="5" t="s">
        <v>74</v>
      </c>
      <c r="CI213" s="5" t="s">
        <v>74</v>
      </c>
      <c r="CJ213" s="8" t="s">
        <v>74</v>
      </c>
      <c r="CK213" s="5"/>
      <c r="CL213" s="5" t="s">
        <v>74</v>
      </c>
      <c r="CM213" s="5" t="s">
        <v>74</v>
      </c>
      <c r="CN213" s="5">
        <v>3</v>
      </c>
      <c r="CO213" s="5"/>
      <c r="CP213" s="5" t="s">
        <v>74</v>
      </c>
    </row>
    <row r="214" spans="1:94" ht="25.25" customHeight="1">
      <c r="A214" s="5">
        <v>213</v>
      </c>
      <c r="B214" s="9" t="s">
        <v>288</v>
      </c>
      <c r="C214" s="9">
        <v>2024202138</v>
      </c>
      <c r="D214" s="5" t="s">
        <v>135</v>
      </c>
      <c r="E214" s="5">
        <f>SUM(G214:$XET214)</f>
        <v>0</v>
      </c>
      <c r="F214" s="5">
        <f>COUNT(G214:$XFD214)</f>
        <v>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 t="s">
        <v>74</v>
      </c>
      <c r="AC214" s="5" t="s">
        <v>74</v>
      </c>
      <c r="AD214" s="5"/>
      <c r="AE214" s="5"/>
      <c r="AF214" s="5"/>
      <c r="AG214" s="5" t="s">
        <v>74</v>
      </c>
      <c r="AH214" s="5" t="s">
        <v>74</v>
      </c>
      <c r="AI214" s="5" t="s">
        <v>74</v>
      </c>
      <c r="AJ214" s="5" t="s">
        <v>74</v>
      </c>
      <c r="AK214" s="5" t="s">
        <v>74</v>
      </c>
      <c r="AL214" s="5"/>
      <c r="AM214" s="5"/>
      <c r="AN214" s="5"/>
      <c r="AO214" s="5"/>
      <c r="AP214" s="5"/>
      <c r="AQ214" s="5"/>
      <c r="AR214" s="5" t="s">
        <v>74</v>
      </c>
      <c r="AS214" s="5" t="s">
        <v>74</v>
      </c>
      <c r="AT214" s="5" t="s">
        <v>74</v>
      </c>
      <c r="AU214" s="5" t="s">
        <v>74</v>
      </c>
      <c r="AV214" s="5" t="s">
        <v>74</v>
      </c>
      <c r="AW214" s="5" t="s">
        <v>74</v>
      </c>
      <c r="AX214" s="5" t="s">
        <v>74</v>
      </c>
      <c r="AY214" s="5" t="s">
        <v>74</v>
      </c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 t="s">
        <v>74</v>
      </c>
      <c r="BQ214" s="5" t="s">
        <v>74</v>
      </c>
      <c r="BR214" s="5" t="s">
        <v>74</v>
      </c>
      <c r="BS214" s="5"/>
      <c r="BT214" s="5" t="s">
        <v>74</v>
      </c>
      <c r="BU214" s="6" t="s">
        <v>51</v>
      </c>
      <c r="BV214" s="5" t="s">
        <v>74</v>
      </c>
      <c r="BW214" s="5"/>
      <c r="BX214" s="5" t="s">
        <v>74</v>
      </c>
      <c r="BY214" s="5"/>
      <c r="BZ214" s="5"/>
      <c r="CA214" s="10" t="s">
        <v>74</v>
      </c>
      <c r="CB214" s="5" t="s">
        <v>74</v>
      </c>
      <c r="CC214" s="5" t="s">
        <v>74</v>
      </c>
      <c r="CD214" s="5" t="s">
        <v>74</v>
      </c>
      <c r="CE214" s="5" t="s">
        <v>74</v>
      </c>
      <c r="CF214" s="8"/>
      <c r="CG214" s="5"/>
      <c r="CH214" s="5" t="s">
        <v>74</v>
      </c>
      <c r="CI214" s="5" t="s">
        <v>74</v>
      </c>
      <c r="CJ214" s="8" t="s">
        <v>74</v>
      </c>
      <c r="CK214" s="5"/>
      <c r="CL214" s="5" t="s">
        <v>74</v>
      </c>
      <c r="CM214" s="5" t="s">
        <v>74</v>
      </c>
      <c r="CN214" s="5" t="s">
        <v>74</v>
      </c>
      <c r="CO214" s="5"/>
      <c r="CP214" s="5" t="s">
        <v>74</v>
      </c>
    </row>
    <row r="215" spans="1:94" ht="25.25" customHeight="1">
      <c r="A215" s="5">
        <v>214</v>
      </c>
      <c r="B215" s="9" t="s">
        <v>289</v>
      </c>
      <c r="C215" s="9">
        <v>2024202164</v>
      </c>
      <c r="D215" s="5" t="s">
        <v>135</v>
      </c>
      <c r="E215" s="5">
        <f>SUM(G215:$XET215)</f>
        <v>54</v>
      </c>
      <c r="F215" s="5">
        <f>COUNT(G215:$XFD215)</f>
        <v>4</v>
      </c>
      <c r="G215" s="5"/>
      <c r="H215" s="5"/>
      <c r="I215" s="5"/>
      <c r="J215" s="5"/>
      <c r="K215" s="5"/>
      <c r="L215" s="5"/>
      <c r="M215" s="5"/>
      <c r="N215" s="5"/>
      <c r="O215" s="5"/>
      <c r="P215" s="5">
        <v>6</v>
      </c>
      <c r="Q215" s="5"/>
      <c r="R215" s="5"/>
      <c r="S215" s="5"/>
      <c r="T215" s="5"/>
      <c r="U215" s="5"/>
      <c r="V215" s="5"/>
      <c r="W215" s="5"/>
      <c r="X215" s="5">
        <v>42</v>
      </c>
      <c r="Y215" s="5"/>
      <c r="Z215" s="5"/>
      <c r="AA215" s="5"/>
      <c r="AB215" s="5" t="s">
        <v>74</v>
      </c>
      <c r="AC215" s="5" t="s">
        <v>74</v>
      </c>
      <c r="AD215" s="5"/>
      <c r="AE215" s="5"/>
      <c r="AF215" s="5"/>
      <c r="AG215" s="5" t="s">
        <v>74</v>
      </c>
      <c r="AH215" s="5" t="s">
        <v>74</v>
      </c>
      <c r="AI215" s="5" t="s">
        <v>74</v>
      </c>
      <c r="AJ215" s="5">
        <v>2</v>
      </c>
      <c r="AK215" s="5">
        <v>4</v>
      </c>
      <c r="AL215" s="5"/>
      <c r="AM215" s="5"/>
      <c r="AN215" s="5"/>
      <c r="AO215" s="5"/>
      <c r="AP215" s="5"/>
      <c r="AQ215" s="5"/>
      <c r="AR215" s="5" t="s">
        <v>74</v>
      </c>
      <c r="AS215" s="5" t="s">
        <v>74</v>
      </c>
      <c r="AT215" s="5" t="s">
        <v>74</v>
      </c>
      <c r="AU215" s="5" t="s">
        <v>74</v>
      </c>
      <c r="AV215" s="5" t="s">
        <v>74</v>
      </c>
      <c r="AW215" s="5" t="s">
        <v>74</v>
      </c>
      <c r="AX215" s="5" t="s">
        <v>74</v>
      </c>
      <c r="AY215" s="5" t="s">
        <v>74</v>
      </c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 t="s">
        <v>74</v>
      </c>
      <c r="BQ215" s="5" t="s">
        <v>74</v>
      </c>
      <c r="BR215" s="5" t="s">
        <v>74</v>
      </c>
      <c r="BS215" s="5"/>
      <c r="BT215" s="5" t="s">
        <v>74</v>
      </c>
      <c r="BU215" s="6" t="s">
        <v>51</v>
      </c>
      <c r="BV215" s="5" t="s">
        <v>74</v>
      </c>
      <c r="BW215" s="5"/>
      <c r="BX215" s="5" t="s">
        <v>74</v>
      </c>
      <c r="BY215" s="5"/>
      <c r="BZ215" s="5"/>
      <c r="CA215" s="10" t="s">
        <v>74</v>
      </c>
      <c r="CB215" s="5" t="s">
        <v>74</v>
      </c>
      <c r="CC215" s="5" t="s">
        <v>74</v>
      </c>
      <c r="CD215" s="5" t="s">
        <v>74</v>
      </c>
      <c r="CE215" s="5" t="s">
        <v>74</v>
      </c>
      <c r="CF215" s="8"/>
      <c r="CG215" s="5"/>
      <c r="CH215" s="5" t="s">
        <v>74</v>
      </c>
      <c r="CI215" s="5" t="s">
        <v>74</v>
      </c>
      <c r="CJ215" s="8" t="s">
        <v>74</v>
      </c>
      <c r="CK215" s="5"/>
      <c r="CL215" s="5" t="s">
        <v>74</v>
      </c>
      <c r="CM215" s="5" t="s">
        <v>74</v>
      </c>
      <c r="CN215" s="5" t="s">
        <v>74</v>
      </c>
      <c r="CO215" s="5"/>
      <c r="CP215" s="5" t="s">
        <v>74</v>
      </c>
    </row>
    <row r="216" spans="1:94" ht="25.25" customHeight="1">
      <c r="A216" s="5">
        <v>215</v>
      </c>
      <c r="B216" s="9" t="s">
        <v>290</v>
      </c>
      <c r="C216" s="9">
        <v>2024202091</v>
      </c>
      <c r="D216" s="5" t="s">
        <v>135</v>
      </c>
      <c r="E216" s="5">
        <f>SUM(G216:$XET216)</f>
        <v>45</v>
      </c>
      <c r="F216" s="5">
        <f>COUNT(G216:$XFD216)</f>
        <v>9</v>
      </c>
      <c r="G216" s="5"/>
      <c r="H216" s="5"/>
      <c r="I216" s="5"/>
      <c r="J216" s="5"/>
      <c r="K216" s="5"/>
      <c r="L216" s="5"/>
      <c r="M216" s="5"/>
      <c r="N216" s="5">
        <v>2</v>
      </c>
      <c r="O216" s="5"/>
      <c r="P216" s="5"/>
      <c r="Q216" s="5"/>
      <c r="R216" s="5"/>
      <c r="S216" s="5"/>
      <c r="T216" s="5"/>
      <c r="U216" s="5"/>
      <c r="V216" s="5"/>
      <c r="W216" s="5">
        <v>8</v>
      </c>
      <c r="X216" s="5">
        <v>14</v>
      </c>
      <c r="Y216" s="5"/>
      <c r="Z216" s="5"/>
      <c r="AA216" s="5"/>
      <c r="AB216" s="5">
        <v>2</v>
      </c>
      <c r="AC216" s="5">
        <v>2</v>
      </c>
      <c r="AD216" s="5"/>
      <c r="AE216" s="5"/>
      <c r="AF216" s="5"/>
      <c r="AG216" s="5" t="s">
        <v>74</v>
      </c>
      <c r="AH216" s="5" t="s">
        <v>74</v>
      </c>
      <c r="AI216" s="5" t="s">
        <v>74</v>
      </c>
      <c r="AJ216" s="5" t="s">
        <v>74</v>
      </c>
      <c r="AK216" s="5">
        <v>4</v>
      </c>
      <c r="AL216" s="5"/>
      <c r="AM216" s="5"/>
      <c r="AN216" s="5"/>
      <c r="AO216" s="5"/>
      <c r="AP216" s="5"/>
      <c r="AQ216" s="5"/>
      <c r="AR216" s="5" t="s">
        <v>74</v>
      </c>
      <c r="AS216" s="5" t="s">
        <v>74</v>
      </c>
      <c r="AT216" s="5" t="s">
        <v>74</v>
      </c>
      <c r="AU216" s="5" t="s">
        <v>74</v>
      </c>
      <c r="AV216" s="5" t="s">
        <v>74</v>
      </c>
      <c r="AW216" s="5" t="s">
        <v>74</v>
      </c>
      <c r="AX216" s="5" t="s">
        <v>74</v>
      </c>
      <c r="AY216" s="5">
        <v>8</v>
      </c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 t="s">
        <v>74</v>
      </c>
      <c r="BQ216" s="5" t="s">
        <v>74</v>
      </c>
      <c r="BR216" s="5" t="s">
        <v>74</v>
      </c>
      <c r="BS216" s="5"/>
      <c r="BT216" s="5" t="s">
        <v>74</v>
      </c>
      <c r="BU216" s="6" t="s">
        <v>51</v>
      </c>
      <c r="BV216" s="5">
        <v>1</v>
      </c>
      <c r="BW216" s="5"/>
      <c r="BX216" s="5" t="s">
        <v>74</v>
      </c>
      <c r="BY216" s="5"/>
      <c r="BZ216" s="5"/>
      <c r="CA216" s="10">
        <v>4</v>
      </c>
      <c r="CB216" s="5" t="s">
        <v>74</v>
      </c>
      <c r="CC216" s="5" t="s">
        <v>74</v>
      </c>
      <c r="CD216" s="5" t="s">
        <v>74</v>
      </c>
      <c r="CE216" s="5" t="s">
        <v>74</v>
      </c>
      <c r="CF216" s="8"/>
      <c r="CG216" s="5"/>
      <c r="CH216" s="5" t="s">
        <v>74</v>
      </c>
      <c r="CI216" s="5" t="s">
        <v>74</v>
      </c>
      <c r="CJ216" s="8" t="s">
        <v>74</v>
      </c>
      <c r="CK216" s="5"/>
      <c r="CL216" s="5" t="s">
        <v>74</v>
      </c>
      <c r="CM216" s="5" t="s">
        <v>74</v>
      </c>
      <c r="CN216" s="5" t="s">
        <v>74</v>
      </c>
      <c r="CO216" s="5"/>
      <c r="CP216" s="5" t="s">
        <v>74</v>
      </c>
    </row>
    <row r="217" spans="1:94" ht="25.25" customHeight="1">
      <c r="A217" s="5">
        <v>216</v>
      </c>
      <c r="B217" s="9" t="s">
        <v>291</v>
      </c>
      <c r="C217" s="9">
        <v>2024202168</v>
      </c>
      <c r="D217" s="5" t="s">
        <v>135</v>
      </c>
      <c r="E217" s="5">
        <f>SUM(G217:$XET217)</f>
        <v>32.5</v>
      </c>
      <c r="F217" s="5">
        <f>COUNT(G217:$XFD217)</f>
        <v>9</v>
      </c>
      <c r="G217" s="5"/>
      <c r="H217" s="5"/>
      <c r="I217" s="5"/>
      <c r="J217" s="5">
        <v>4</v>
      </c>
      <c r="K217" s="5"/>
      <c r="L217" s="5"/>
      <c r="M217" s="5"/>
      <c r="N217" s="5">
        <v>2</v>
      </c>
      <c r="O217" s="5"/>
      <c r="P217" s="5"/>
      <c r="Q217" s="5"/>
      <c r="R217" s="5"/>
      <c r="S217" s="5"/>
      <c r="T217" s="5"/>
      <c r="U217" s="5"/>
      <c r="V217" s="5"/>
      <c r="W217" s="5">
        <v>5</v>
      </c>
      <c r="X217" s="5"/>
      <c r="Y217" s="5"/>
      <c r="Z217" s="5">
        <v>4</v>
      </c>
      <c r="AA217" s="5"/>
      <c r="AB217" s="5" t="s">
        <v>74</v>
      </c>
      <c r="AC217" s="5" t="s">
        <v>74</v>
      </c>
      <c r="AD217" s="5"/>
      <c r="AE217" s="5"/>
      <c r="AF217" s="5"/>
      <c r="AG217" s="5" t="s">
        <v>74</v>
      </c>
      <c r="AH217" s="5" t="s">
        <v>74</v>
      </c>
      <c r="AI217" s="5" t="s">
        <v>74</v>
      </c>
      <c r="AJ217" s="5" t="s">
        <v>74</v>
      </c>
      <c r="AK217" s="5">
        <v>4</v>
      </c>
      <c r="AL217" s="5"/>
      <c r="AM217" s="5"/>
      <c r="AN217" s="5"/>
      <c r="AO217" s="5"/>
      <c r="AP217" s="5"/>
      <c r="AQ217" s="5"/>
      <c r="AR217" s="5" t="s">
        <v>74</v>
      </c>
      <c r="AS217" s="5" t="s">
        <v>74</v>
      </c>
      <c r="AT217" s="5" t="s">
        <v>74</v>
      </c>
      <c r="AU217" s="5" t="s">
        <v>74</v>
      </c>
      <c r="AV217" s="5" t="s">
        <v>74</v>
      </c>
      <c r="AW217" s="5" t="s">
        <v>74</v>
      </c>
      <c r="AX217" s="5" t="s">
        <v>74</v>
      </c>
      <c r="AY217" s="5" t="s">
        <v>74</v>
      </c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 t="s">
        <v>74</v>
      </c>
      <c r="BQ217" s="5" t="s">
        <v>74</v>
      </c>
      <c r="BR217" s="5" t="s">
        <v>74</v>
      </c>
      <c r="BS217" s="5"/>
      <c r="BT217" s="5" t="s">
        <v>74</v>
      </c>
      <c r="BU217" s="6" t="s">
        <v>51</v>
      </c>
      <c r="BV217" s="5" t="s">
        <v>74</v>
      </c>
      <c r="BW217" s="5"/>
      <c r="BX217" s="5" t="s">
        <v>74</v>
      </c>
      <c r="BY217" s="5"/>
      <c r="BZ217" s="5"/>
      <c r="CA217" s="10" t="s">
        <v>74</v>
      </c>
      <c r="CB217" s="5" t="s">
        <v>74</v>
      </c>
      <c r="CC217" s="5" t="s">
        <v>74</v>
      </c>
      <c r="CD217" s="5" t="s">
        <v>74</v>
      </c>
      <c r="CE217" s="5">
        <v>2</v>
      </c>
      <c r="CF217" s="8"/>
      <c r="CG217" s="5"/>
      <c r="CH217" s="5" t="s">
        <v>74</v>
      </c>
      <c r="CI217" s="5" t="s">
        <v>74</v>
      </c>
      <c r="CJ217" s="8">
        <v>6</v>
      </c>
      <c r="CK217" s="5"/>
      <c r="CL217" s="5" t="s">
        <v>74</v>
      </c>
      <c r="CM217" s="5">
        <v>0.5</v>
      </c>
      <c r="CN217" s="5">
        <v>5</v>
      </c>
      <c r="CO217" s="5"/>
      <c r="CP217" s="5" t="s">
        <v>74</v>
      </c>
    </row>
    <row r="218" spans="1:94" ht="25.25" customHeight="1">
      <c r="A218" s="5">
        <v>217</v>
      </c>
      <c r="B218" s="9" t="s">
        <v>292</v>
      </c>
      <c r="C218" s="9">
        <v>2024202225</v>
      </c>
      <c r="D218" s="5" t="s">
        <v>135</v>
      </c>
      <c r="E218" s="5">
        <f>SUM(G218:$XET218)</f>
        <v>10</v>
      </c>
      <c r="F218" s="5">
        <f>COUNT(G218:$XFD218)</f>
        <v>3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>
        <v>1</v>
      </c>
      <c r="AC218" s="5" t="s">
        <v>74</v>
      </c>
      <c r="AD218" s="5"/>
      <c r="AE218" s="5"/>
      <c r="AF218" s="5"/>
      <c r="AG218" s="5" t="s">
        <v>74</v>
      </c>
      <c r="AH218" s="5" t="s">
        <v>74</v>
      </c>
      <c r="AI218" s="5" t="s">
        <v>74</v>
      </c>
      <c r="AJ218" s="5" t="s">
        <v>74</v>
      </c>
      <c r="AK218" s="5">
        <v>4</v>
      </c>
      <c r="AL218" s="5"/>
      <c r="AM218" s="5"/>
      <c r="AN218" s="5"/>
      <c r="AO218" s="5"/>
      <c r="AP218" s="5"/>
      <c r="AQ218" s="5"/>
      <c r="AR218" s="5" t="s">
        <v>74</v>
      </c>
      <c r="AS218" s="5" t="s">
        <v>74</v>
      </c>
      <c r="AT218" s="5" t="s">
        <v>74</v>
      </c>
      <c r="AU218" s="5" t="s">
        <v>74</v>
      </c>
      <c r="AV218" s="5" t="s">
        <v>74</v>
      </c>
      <c r="AW218" s="5" t="s">
        <v>74</v>
      </c>
      <c r="AX218" s="5" t="s">
        <v>74</v>
      </c>
      <c r="AY218" s="5" t="s">
        <v>74</v>
      </c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 t="s">
        <v>74</v>
      </c>
      <c r="BQ218" s="5" t="s">
        <v>74</v>
      </c>
      <c r="BR218" s="5" t="s">
        <v>74</v>
      </c>
      <c r="BS218" s="5"/>
      <c r="BT218" s="5" t="s">
        <v>74</v>
      </c>
      <c r="BU218" s="6" t="s">
        <v>51</v>
      </c>
      <c r="BV218" s="5" t="s">
        <v>74</v>
      </c>
      <c r="BW218" s="5"/>
      <c r="BX218" s="5" t="s">
        <v>74</v>
      </c>
      <c r="BY218" s="5"/>
      <c r="BZ218" s="5"/>
      <c r="CA218" s="10" t="s">
        <v>74</v>
      </c>
      <c r="CB218" s="5" t="s">
        <v>74</v>
      </c>
      <c r="CC218" s="5" t="s">
        <v>74</v>
      </c>
      <c r="CD218" s="5" t="s">
        <v>74</v>
      </c>
      <c r="CE218" s="5" t="s">
        <v>74</v>
      </c>
      <c r="CF218" s="8"/>
      <c r="CG218" s="5"/>
      <c r="CH218" s="5" t="s">
        <v>74</v>
      </c>
      <c r="CI218" s="5" t="s">
        <v>74</v>
      </c>
      <c r="CJ218" s="8">
        <v>5</v>
      </c>
      <c r="CK218" s="5"/>
      <c r="CL218" s="5" t="s">
        <v>74</v>
      </c>
      <c r="CM218" s="5" t="s">
        <v>74</v>
      </c>
      <c r="CN218" s="5" t="s">
        <v>74</v>
      </c>
      <c r="CO218" s="5"/>
      <c r="CP218" s="5" t="s">
        <v>74</v>
      </c>
    </row>
    <row r="219" spans="1:94" ht="25.25" customHeight="1">
      <c r="A219" s="5">
        <v>218</v>
      </c>
      <c r="B219" s="9" t="s">
        <v>293</v>
      </c>
      <c r="C219" s="9">
        <v>2024202226</v>
      </c>
      <c r="D219" s="5" t="s">
        <v>135</v>
      </c>
      <c r="E219" s="5">
        <f>SUM(G219:$XET219)</f>
        <v>104</v>
      </c>
      <c r="F219" s="5">
        <f>COUNT(G219:$XFD219)</f>
        <v>6</v>
      </c>
      <c r="G219" s="5"/>
      <c r="H219" s="5"/>
      <c r="I219" s="5"/>
      <c r="J219" s="5"/>
      <c r="K219" s="5">
        <v>10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 t="s">
        <v>74</v>
      </c>
      <c r="AC219" s="5">
        <v>2</v>
      </c>
      <c r="AD219" s="5"/>
      <c r="AE219" s="5"/>
      <c r="AF219" s="5"/>
      <c r="AG219" s="5" t="s">
        <v>74</v>
      </c>
      <c r="AH219" s="5" t="s">
        <v>74</v>
      </c>
      <c r="AI219" s="5" t="s">
        <v>74</v>
      </c>
      <c r="AJ219" s="5" t="s">
        <v>74</v>
      </c>
      <c r="AK219" s="5">
        <v>4</v>
      </c>
      <c r="AL219" s="5"/>
      <c r="AM219" s="5"/>
      <c r="AN219" s="5"/>
      <c r="AO219" s="5"/>
      <c r="AP219" s="5"/>
      <c r="AQ219" s="5"/>
      <c r="AR219" s="5" t="s">
        <v>74</v>
      </c>
      <c r="AS219" s="5" t="s">
        <v>74</v>
      </c>
      <c r="AT219" s="5" t="s">
        <v>74</v>
      </c>
      <c r="AU219" s="5" t="s">
        <v>74</v>
      </c>
      <c r="AV219" s="5" t="s">
        <v>74</v>
      </c>
      <c r="AW219" s="5" t="s">
        <v>74</v>
      </c>
      <c r="AX219" s="5" t="s">
        <v>74</v>
      </c>
      <c r="AY219" s="5" t="s">
        <v>74</v>
      </c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>
        <v>4</v>
      </c>
      <c r="BQ219" s="5" t="s">
        <v>74</v>
      </c>
      <c r="BR219" s="5">
        <v>80</v>
      </c>
      <c r="BS219" s="5"/>
      <c r="BT219" s="5" t="s">
        <v>74</v>
      </c>
      <c r="BU219" s="6" t="s">
        <v>51</v>
      </c>
      <c r="BV219" s="5" t="s">
        <v>74</v>
      </c>
      <c r="BW219" s="5"/>
      <c r="BX219" s="5">
        <v>4</v>
      </c>
      <c r="BY219" s="5"/>
      <c r="BZ219" s="5"/>
      <c r="CA219" s="10" t="s">
        <v>74</v>
      </c>
      <c r="CB219" s="5" t="s">
        <v>74</v>
      </c>
      <c r="CC219" s="5" t="s">
        <v>74</v>
      </c>
      <c r="CD219" s="5" t="s">
        <v>74</v>
      </c>
      <c r="CE219" s="5" t="s">
        <v>74</v>
      </c>
      <c r="CF219" s="8"/>
      <c r="CG219" s="5"/>
      <c r="CH219" s="5" t="s">
        <v>74</v>
      </c>
      <c r="CI219" s="5" t="s">
        <v>74</v>
      </c>
      <c r="CJ219" s="8" t="s">
        <v>74</v>
      </c>
      <c r="CK219" s="5"/>
      <c r="CL219" s="5" t="s">
        <v>74</v>
      </c>
      <c r="CM219" s="5" t="s">
        <v>74</v>
      </c>
      <c r="CN219" s="5" t="s">
        <v>74</v>
      </c>
      <c r="CO219" s="5"/>
      <c r="CP219" s="5" t="s">
        <v>74</v>
      </c>
    </row>
    <row r="220" spans="1:94" ht="25.25" customHeight="1">
      <c r="A220" s="5">
        <v>219</v>
      </c>
      <c r="B220" s="9" t="s">
        <v>294</v>
      </c>
      <c r="C220" s="9">
        <v>2024202099</v>
      </c>
      <c r="D220" s="5" t="s">
        <v>135</v>
      </c>
      <c r="E220" s="5">
        <f>SUM(G220:$XET220)</f>
        <v>19.5</v>
      </c>
      <c r="F220" s="5">
        <f>COUNT(G220:$XFD220)</f>
        <v>5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>
        <v>4</v>
      </c>
      <c r="AA220" s="5"/>
      <c r="AB220" s="5">
        <v>3</v>
      </c>
      <c r="AC220" s="5" t="s">
        <v>74</v>
      </c>
      <c r="AD220" s="5"/>
      <c r="AE220" s="5"/>
      <c r="AF220" s="5"/>
      <c r="AG220" s="5" t="s">
        <v>74</v>
      </c>
      <c r="AH220" s="5">
        <v>4.5</v>
      </c>
      <c r="AI220" s="5" t="s">
        <v>74</v>
      </c>
      <c r="AJ220" s="5">
        <v>4</v>
      </c>
      <c r="AK220" s="5">
        <v>4</v>
      </c>
      <c r="AL220" s="5"/>
      <c r="AM220" s="5"/>
      <c r="AN220" s="5"/>
      <c r="AO220" s="5"/>
      <c r="AP220" s="5"/>
      <c r="AQ220" s="5"/>
      <c r="AR220" s="5" t="s">
        <v>74</v>
      </c>
      <c r="AS220" s="5" t="s">
        <v>74</v>
      </c>
      <c r="AT220" s="5" t="s">
        <v>74</v>
      </c>
      <c r="AU220" s="5" t="s">
        <v>74</v>
      </c>
      <c r="AV220" s="5" t="s">
        <v>74</v>
      </c>
      <c r="AW220" s="5" t="s">
        <v>74</v>
      </c>
      <c r="AX220" s="5" t="s">
        <v>74</v>
      </c>
      <c r="AY220" s="5" t="s">
        <v>74</v>
      </c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 t="s">
        <v>74</v>
      </c>
      <c r="BQ220" s="5" t="s">
        <v>74</v>
      </c>
      <c r="BR220" s="5" t="s">
        <v>74</v>
      </c>
      <c r="BS220" s="5"/>
      <c r="BT220" s="5" t="s">
        <v>74</v>
      </c>
      <c r="BU220" s="6" t="s">
        <v>51</v>
      </c>
      <c r="BV220" s="5" t="s">
        <v>74</v>
      </c>
      <c r="BW220" s="5"/>
      <c r="BX220" s="5" t="s">
        <v>74</v>
      </c>
      <c r="BY220" s="5"/>
      <c r="BZ220" s="5"/>
      <c r="CA220" s="10" t="s">
        <v>74</v>
      </c>
      <c r="CB220" s="5" t="s">
        <v>74</v>
      </c>
      <c r="CC220" s="5" t="s">
        <v>74</v>
      </c>
      <c r="CD220" s="5" t="s">
        <v>74</v>
      </c>
      <c r="CE220" s="5" t="s">
        <v>74</v>
      </c>
      <c r="CF220" s="8"/>
      <c r="CG220" s="5"/>
      <c r="CH220" s="5" t="s">
        <v>74</v>
      </c>
      <c r="CI220" s="5" t="s">
        <v>74</v>
      </c>
      <c r="CJ220" s="8" t="s">
        <v>74</v>
      </c>
      <c r="CK220" s="5"/>
      <c r="CL220" s="5" t="s">
        <v>74</v>
      </c>
      <c r="CM220" s="5" t="s">
        <v>74</v>
      </c>
      <c r="CN220" s="5" t="s">
        <v>74</v>
      </c>
      <c r="CO220" s="5"/>
      <c r="CP220" s="5" t="s">
        <v>74</v>
      </c>
    </row>
    <row r="221" spans="1:94" ht="25.25" customHeight="1">
      <c r="A221" s="5">
        <v>220</v>
      </c>
      <c r="B221" s="9" t="s">
        <v>295</v>
      </c>
      <c r="C221" s="9">
        <v>2024202171</v>
      </c>
      <c r="D221" s="5" t="s">
        <v>135</v>
      </c>
      <c r="E221" s="5">
        <f>SUM(G221:$XET221)</f>
        <v>19</v>
      </c>
      <c r="F221" s="5">
        <f>COUNT(G221:$XFD221)</f>
        <v>4</v>
      </c>
      <c r="G221" s="5"/>
      <c r="H221" s="5"/>
      <c r="I221" s="5"/>
      <c r="J221" s="5"/>
      <c r="K221" s="5">
        <v>9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>
        <v>3</v>
      </c>
      <c r="AC221" s="5" t="s">
        <v>74</v>
      </c>
      <c r="AD221" s="5"/>
      <c r="AE221" s="5"/>
      <c r="AF221" s="5"/>
      <c r="AG221" s="5" t="s">
        <v>74</v>
      </c>
      <c r="AH221" s="5" t="s">
        <v>74</v>
      </c>
      <c r="AI221" s="5" t="s">
        <v>74</v>
      </c>
      <c r="AJ221" s="5" t="s">
        <v>74</v>
      </c>
      <c r="AK221" s="5" t="s">
        <v>74</v>
      </c>
      <c r="AL221" s="5"/>
      <c r="AM221" s="5"/>
      <c r="AN221" s="5"/>
      <c r="AO221" s="5"/>
      <c r="AP221" s="5"/>
      <c r="AQ221" s="5"/>
      <c r="AR221" s="5" t="s">
        <v>74</v>
      </c>
      <c r="AS221" s="5" t="s">
        <v>74</v>
      </c>
      <c r="AT221" s="5" t="s">
        <v>74</v>
      </c>
      <c r="AU221" s="5" t="s">
        <v>74</v>
      </c>
      <c r="AV221" s="5" t="s">
        <v>74</v>
      </c>
      <c r="AW221" s="5" t="s">
        <v>74</v>
      </c>
      <c r="AX221" s="5" t="s">
        <v>74</v>
      </c>
      <c r="AY221" s="5" t="s">
        <v>74</v>
      </c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 t="s">
        <v>74</v>
      </c>
      <c r="BQ221" s="5" t="s">
        <v>74</v>
      </c>
      <c r="BR221" s="5" t="s">
        <v>74</v>
      </c>
      <c r="BS221" s="5"/>
      <c r="BT221" s="5" t="s">
        <v>74</v>
      </c>
      <c r="BU221" s="6" t="s">
        <v>51</v>
      </c>
      <c r="BV221" s="5" t="s">
        <v>74</v>
      </c>
      <c r="BW221" s="5"/>
      <c r="BX221" s="5" t="s">
        <v>74</v>
      </c>
      <c r="BY221" s="5"/>
      <c r="BZ221" s="5"/>
      <c r="CA221" s="10" t="s">
        <v>74</v>
      </c>
      <c r="CB221" s="5" t="s">
        <v>74</v>
      </c>
      <c r="CC221" s="5" t="s">
        <v>74</v>
      </c>
      <c r="CD221" s="5" t="s">
        <v>74</v>
      </c>
      <c r="CE221" s="5">
        <v>2</v>
      </c>
      <c r="CF221" s="8"/>
      <c r="CG221" s="5"/>
      <c r="CH221" s="5" t="s">
        <v>74</v>
      </c>
      <c r="CI221" s="5" t="s">
        <v>74</v>
      </c>
      <c r="CJ221" s="8" t="s">
        <v>74</v>
      </c>
      <c r="CK221" s="5"/>
      <c r="CL221" s="5" t="s">
        <v>74</v>
      </c>
      <c r="CM221" s="5" t="s">
        <v>74</v>
      </c>
      <c r="CN221" s="5">
        <v>5</v>
      </c>
      <c r="CO221" s="5"/>
      <c r="CP221" s="5" t="s">
        <v>74</v>
      </c>
    </row>
    <row r="222" spans="1:94" ht="25.25" customHeight="1">
      <c r="A222" s="5">
        <v>221</v>
      </c>
      <c r="B222" s="9" t="s">
        <v>296</v>
      </c>
      <c r="C222" s="9">
        <v>2024202231</v>
      </c>
      <c r="D222" s="5" t="s">
        <v>135</v>
      </c>
      <c r="E222" s="5">
        <f>SUM(G222:$XET222)</f>
        <v>23</v>
      </c>
      <c r="F222" s="5">
        <f>COUNT(G222:$XFD222)</f>
        <v>5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>
        <v>3</v>
      </c>
      <c r="AC222" s="5" t="s">
        <v>74</v>
      </c>
      <c r="AD222" s="5"/>
      <c r="AE222" s="5"/>
      <c r="AF222" s="5"/>
      <c r="AG222" s="5" t="s">
        <v>74</v>
      </c>
      <c r="AH222" s="5" t="s">
        <v>74</v>
      </c>
      <c r="AI222" s="5" t="s">
        <v>74</v>
      </c>
      <c r="AJ222" s="5" t="s">
        <v>74</v>
      </c>
      <c r="AK222" s="5" t="s">
        <v>74</v>
      </c>
      <c r="AL222" s="5"/>
      <c r="AM222" s="5"/>
      <c r="AN222" s="5"/>
      <c r="AO222" s="5"/>
      <c r="AP222" s="5"/>
      <c r="AQ222" s="5"/>
      <c r="AR222" s="5" t="s">
        <v>74</v>
      </c>
      <c r="AS222" s="5" t="s">
        <v>74</v>
      </c>
      <c r="AT222" s="5" t="s">
        <v>74</v>
      </c>
      <c r="AU222" s="5" t="s">
        <v>74</v>
      </c>
      <c r="AV222" s="5" t="s">
        <v>74</v>
      </c>
      <c r="AW222" s="5" t="s">
        <v>74</v>
      </c>
      <c r="AX222" s="5" t="s">
        <v>74</v>
      </c>
      <c r="AY222" s="5">
        <v>17</v>
      </c>
      <c r="AZ222" s="5">
        <v>0</v>
      </c>
      <c r="BA222" s="5">
        <v>0</v>
      </c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 t="s">
        <v>74</v>
      </c>
      <c r="BQ222" s="5" t="s">
        <v>74</v>
      </c>
      <c r="BR222" s="5" t="s">
        <v>74</v>
      </c>
      <c r="BS222" s="5"/>
      <c r="BT222" s="5" t="s">
        <v>74</v>
      </c>
      <c r="BU222" s="6" t="s">
        <v>51</v>
      </c>
      <c r="BV222" s="5" t="s">
        <v>74</v>
      </c>
      <c r="BW222" s="5"/>
      <c r="BX222" s="5" t="s">
        <v>74</v>
      </c>
      <c r="BY222" s="5"/>
      <c r="BZ222" s="5"/>
      <c r="CA222" s="10" t="s">
        <v>74</v>
      </c>
      <c r="CB222" s="5" t="s">
        <v>74</v>
      </c>
      <c r="CC222" s="5" t="s">
        <v>74</v>
      </c>
      <c r="CD222" s="5" t="s">
        <v>74</v>
      </c>
      <c r="CE222" s="5" t="s">
        <v>74</v>
      </c>
      <c r="CF222" s="8"/>
      <c r="CG222" s="5"/>
      <c r="CH222" s="5" t="s">
        <v>74</v>
      </c>
      <c r="CI222" s="5" t="s">
        <v>74</v>
      </c>
      <c r="CJ222" s="8" t="s">
        <v>74</v>
      </c>
      <c r="CK222" s="5"/>
      <c r="CL222" s="5" t="s">
        <v>74</v>
      </c>
      <c r="CM222" s="5" t="s">
        <v>74</v>
      </c>
      <c r="CN222" s="5">
        <v>3</v>
      </c>
      <c r="CO222" s="5"/>
      <c r="CP222" s="5" t="s">
        <v>74</v>
      </c>
    </row>
    <row r="223" spans="1:94" ht="25.25" customHeight="1">
      <c r="A223" s="5">
        <v>222</v>
      </c>
      <c r="B223" s="9" t="s">
        <v>297</v>
      </c>
      <c r="C223" s="9">
        <v>2024202251</v>
      </c>
      <c r="D223" s="5" t="s">
        <v>135</v>
      </c>
      <c r="E223" s="5">
        <f>SUM(G223:$XET223)</f>
        <v>82.5</v>
      </c>
      <c r="F223" s="5">
        <f>COUNT(G223:$XFD223)</f>
        <v>9</v>
      </c>
      <c r="G223" s="5"/>
      <c r="H223" s="5"/>
      <c r="I223" s="5">
        <v>4</v>
      </c>
      <c r="J223" s="5"/>
      <c r="K223" s="5">
        <v>10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>
        <v>16</v>
      </c>
      <c r="Y223" s="5">
        <v>30.5</v>
      </c>
      <c r="Z223" s="5"/>
      <c r="AA223" s="5"/>
      <c r="AB223" s="5">
        <v>3</v>
      </c>
      <c r="AC223" s="5">
        <v>2</v>
      </c>
      <c r="AD223" s="5"/>
      <c r="AE223" s="5"/>
      <c r="AF223" s="5"/>
      <c r="AG223" s="5" t="s">
        <v>74</v>
      </c>
      <c r="AH223" s="5" t="s">
        <v>74</v>
      </c>
      <c r="AI223" s="5" t="s">
        <v>74</v>
      </c>
      <c r="AJ223" s="5" t="s">
        <v>74</v>
      </c>
      <c r="AK223" s="5">
        <v>4</v>
      </c>
      <c r="AL223" s="5"/>
      <c r="AM223" s="5"/>
      <c r="AN223" s="5"/>
      <c r="AO223" s="5"/>
      <c r="AP223" s="5"/>
      <c r="AQ223" s="5"/>
      <c r="AR223" s="5" t="s">
        <v>74</v>
      </c>
      <c r="AS223" s="5" t="s">
        <v>74</v>
      </c>
      <c r="AT223" s="5" t="s">
        <v>74</v>
      </c>
      <c r="AU223" s="5">
        <v>5</v>
      </c>
      <c r="AV223" s="5" t="s">
        <v>74</v>
      </c>
      <c r="AW223" s="5" t="s">
        <v>74</v>
      </c>
      <c r="AX223" s="5" t="s">
        <v>74</v>
      </c>
      <c r="AY223" s="5" t="s">
        <v>74</v>
      </c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 t="s">
        <v>74</v>
      </c>
      <c r="BQ223" s="5" t="s">
        <v>74</v>
      </c>
      <c r="BR223" s="5">
        <v>8</v>
      </c>
      <c r="BS223" s="5"/>
      <c r="BT223" s="5" t="s">
        <v>74</v>
      </c>
      <c r="BU223" s="6" t="s">
        <v>51</v>
      </c>
      <c r="BV223" s="5" t="s">
        <v>74</v>
      </c>
      <c r="BW223" s="5"/>
      <c r="BX223" s="5" t="s">
        <v>74</v>
      </c>
      <c r="BY223" s="5"/>
      <c r="BZ223" s="5"/>
      <c r="CA223" s="10" t="s">
        <v>74</v>
      </c>
      <c r="CB223" s="5" t="s">
        <v>74</v>
      </c>
      <c r="CC223" s="5" t="s">
        <v>74</v>
      </c>
      <c r="CD223" s="5" t="s">
        <v>74</v>
      </c>
      <c r="CE223" s="5" t="s">
        <v>74</v>
      </c>
      <c r="CF223" s="8"/>
      <c r="CG223" s="5"/>
      <c r="CH223" s="5" t="s">
        <v>74</v>
      </c>
      <c r="CI223" s="5" t="s">
        <v>74</v>
      </c>
      <c r="CJ223" s="8" t="s">
        <v>74</v>
      </c>
      <c r="CK223" s="5"/>
      <c r="CL223" s="5" t="s">
        <v>74</v>
      </c>
      <c r="CM223" s="5" t="s">
        <v>74</v>
      </c>
      <c r="CN223" s="5" t="s">
        <v>74</v>
      </c>
      <c r="CO223" s="5"/>
      <c r="CP223" s="5" t="s">
        <v>74</v>
      </c>
    </row>
    <row r="224" spans="1:94" ht="25.25" customHeight="1">
      <c r="A224" s="5">
        <v>223</v>
      </c>
      <c r="B224" s="9" t="s">
        <v>298</v>
      </c>
      <c r="C224" s="9">
        <v>2024202253</v>
      </c>
      <c r="D224" s="5" t="s">
        <v>135</v>
      </c>
      <c r="E224" s="5">
        <f>SUM(G224:$XET224)</f>
        <v>42.5</v>
      </c>
      <c r="F224" s="5">
        <f>COUNT(G224:$XFD224)</f>
        <v>5</v>
      </c>
      <c r="G224" s="5"/>
      <c r="H224" s="5"/>
      <c r="I224" s="5"/>
      <c r="J224" s="5"/>
      <c r="K224" s="5">
        <v>10</v>
      </c>
      <c r="L224" s="5"/>
      <c r="M224" s="5"/>
      <c r="N224" s="5"/>
      <c r="O224" s="5"/>
      <c r="P224" s="5"/>
      <c r="Q224" s="5">
        <v>4</v>
      </c>
      <c r="R224" s="5"/>
      <c r="S224" s="5"/>
      <c r="T224" s="5"/>
      <c r="U224" s="5"/>
      <c r="V224" s="5"/>
      <c r="W224" s="5"/>
      <c r="X224" s="5">
        <v>18</v>
      </c>
      <c r="Y224" s="5"/>
      <c r="Z224" s="5"/>
      <c r="AA224" s="5"/>
      <c r="AB224" s="5" t="s">
        <v>74</v>
      </c>
      <c r="AC224" s="5" t="s">
        <v>74</v>
      </c>
      <c r="AD224" s="5"/>
      <c r="AE224" s="5"/>
      <c r="AF224" s="5"/>
      <c r="AG224" s="5" t="s">
        <v>74</v>
      </c>
      <c r="AH224" s="5" t="s">
        <v>74</v>
      </c>
      <c r="AI224" s="5" t="s">
        <v>74</v>
      </c>
      <c r="AJ224" s="5" t="s">
        <v>74</v>
      </c>
      <c r="AK224" s="5" t="s">
        <v>74</v>
      </c>
      <c r="AL224" s="5"/>
      <c r="AM224" s="5"/>
      <c r="AN224" s="5"/>
      <c r="AO224" s="5"/>
      <c r="AP224" s="5"/>
      <c r="AQ224" s="5"/>
      <c r="AR224" s="5" t="s">
        <v>74</v>
      </c>
      <c r="AS224" s="5" t="s">
        <v>74</v>
      </c>
      <c r="AT224" s="5" t="s">
        <v>74</v>
      </c>
      <c r="AU224" s="5" t="s">
        <v>74</v>
      </c>
      <c r="AV224" s="5" t="s">
        <v>74</v>
      </c>
      <c r="AW224" s="5" t="s">
        <v>74</v>
      </c>
      <c r="AX224" s="5" t="s">
        <v>74</v>
      </c>
      <c r="AY224" s="5" t="s">
        <v>74</v>
      </c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 t="s">
        <v>74</v>
      </c>
      <c r="BQ224" s="5" t="s">
        <v>74</v>
      </c>
      <c r="BR224" s="5" t="s">
        <v>74</v>
      </c>
      <c r="BS224" s="5"/>
      <c r="BT224" s="5" t="s">
        <v>74</v>
      </c>
      <c r="BU224" s="6" t="s">
        <v>51</v>
      </c>
      <c r="BV224" s="5" t="s">
        <v>74</v>
      </c>
      <c r="BW224" s="5"/>
      <c r="BX224" s="5">
        <v>6.5</v>
      </c>
      <c r="BY224" s="5"/>
      <c r="BZ224" s="5"/>
      <c r="CA224" s="10">
        <v>4</v>
      </c>
      <c r="CB224" s="5" t="s">
        <v>74</v>
      </c>
      <c r="CC224" s="5" t="s">
        <v>74</v>
      </c>
      <c r="CD224" s="5" t="s">
        <v>74</v>
      </c>
      <c r="CE224" s="5" t="s">
        <v>74</v>
      </c>
      <c r="CF224" s="8"/>
      <c r="CG224" s="5"/>
      <c r="CH224" s="5" t="s">
        <v>74</v>
      </c>
      <c r="CI224" s="5" t="s">
        <v>74</v>
      </c>
      <c r="CJ224" s="8" t="s">
        <v>74</v>
      </c>
      <c r="CK224" s="5"/>
      <c r="CL224" s="5" t="s">
        <v>74</v>
      </c>
      <c r="CM224" s="5" t="s">
        <v>74</v>
      </c>
      <c r="CN224" s="5" t="s">
        <v>74</v>
      </c>
      <c r="CO224" s="5"/>
      <c r="CP224" s="5" t="s">
        <v>74</v>
      </c>
    </row>
    <row r="225" spans="1:94" ht="25.25" customHeight="1">
      <c r="A225" s="5">
        <v>224</v>
      </c>
      <c r="B225" s="9" t="s">
        <v>299</v>
      </c>
      <c r="C225" s="9">
        <v>2024202256</v>
      </c>
      <c r="D225" s="5" t="s">
        <v>135</v>
      </c>
      <c r="E225" s="5">
        <f>SUM(G225:$XET225)</f>
        <v>18</v>
      </c>
      <c r="F225" s="5">
        <f>COUNT(G225:$XFD225)</f>
        <v>3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>
        <v>5</v>
      </c>
      <c r="X225" s="5"/>
      <c r="Y225" s="5"/>
      <c r="Z225" s="5"/>
      <c r="AA225" s="5"/>
      <c r="AB225" s="5" t="s">
        <v>74</v>
      </c>
      <c r="AC225" s="5" t="s">
        <v>74</v>
      </c>
      <c r="AD225" s="5"/>
      <c r="AE225" s="5"/>
      <c r="AF225" s="5"/>
      <c r="AG225" s="5" t="s">
        <v>74</v>
      </c>
      <c r="AH225" s="5">
        <v>9</v>
      </c>
      <c r="AI225" s="5" t="s">
        <v>74</v>
      </c>
      <c r="AJ225" s="5" t="s">
        <v>74</v>
      </c>
      <c r="AK225" s="5" t="s">
        <v>74</v>
      </c>
      <c r="AL225" s="5"/>
      <c r="AM225" s="5"/>
      <c r="AN225" s="5"/>
      <c r="AO225" s="5"/>
      <c r="AP225" s="5"/>
      <c r="AQ225" s="5"/>
      <c r="AR225" s="5" t="s">
        <v>74</v>
      </c>
      <c r="AS225" s="5" t="s">
        <v>74</v>
      </c>
      <c r="AT225" s="5" t="s">
        <v>74</v>
      </c>
      <c r="AU225" s="5" t="s">
        <v>74</v>
      </c>
      <c r="AV225" s="5" t="s">
        <v>74</v>
      </c>
      <c r="AW225" s="5" t="s">
        <v>74</v>
      </c>
      <c r="AX225" s="5" t="s">
        <v>74</v>
      </c>
      <c r="AY225" s="5" t="s">
        <v>74</v>
      </c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 t="s">
        <v>74</v>
      </c>
      <c r="BQ225" s="5" t="s">
        <v>74</v>
      </c>
      <c r="BR225" s="5" t="s">
        <v>74</v>
      </c>
      <c r="BS225" s="5"/>
      <c r="BT225" s="5" t="s">
        <v>74</v>
      </c>
      <c r="BU225" s="6" t="s">
        <v>51</v>
      </c>
      <c r="BV225" s="5" t="s">
        <v>74</v>
      </c>
      <c r="BW225" s="5"/>
      <c r="BX225" s="5" t="s">
        <v>74</v>
      </c>
      <c r="BY225" s="5"/>
      <c r="BZ225" s="5"/>
      <c r="CA225" s="10">
        <v>4</v>
      </c>
      <c r="CB225" s="5" t="s">
        <v>74</v>
      </c>
      <c r="CC225" s="5" t="s">
        <v>74</v>
      </c>
      <c r="CD225" s="5" t="s">
        <v>74</v>
      </c>
      <c r="CE225" s="5" t="s">
        <v>74</v>
      </c>
      <c r="CF225" s="8"/>
      <c r="CG225" s="5"/>
      <c r="CH225" s="5" t="s">
        <v>74</v>
      </c>
      <c r="CI225" s="5" t="s">
        <v>74</v>
      </c>
      <c r="CJ225" s="8" t="s">
        <v>74</v>
      </c>
      <c r="CK225" s="5"/>
      <c r="CL225" s="5" t="s">
        <v>74</v>
      </c>
      <c r="CM225" s="5" t="s">
        <v>74</v>
      </c>
      <c r="CN225" s="5" t="s">
        <v>74</v>
      </c>
      <c r="CO225" s="5"/>
      <c r="CP225" s="5" t="s">
        <v>74</v>
      </c>
    </row>
    <row r="226" spans="1:94" ht="25.25" customHeight="1">
      <c r="A226" s="5">
        <v>225</v>
      </c>
      <c r="B226" s="9" t="s">
        <v>300</v>
      </c>
      <c r="C226" s="9">
        <v>2024202260</v>
      </c>
      <c r="D226" s="5" t="s">
        <v>135</v>
      </c>
      <c r="E226" s="5">
        <f>SUM(G226:$XET226)</f>
        <v>58.5</v>
      </c>
      <c r="F226" s="5">
        <f>COUNT(G226:$XFD226)</f>
        <v>6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>
        <v>4</v>
      </c>
      <c r="AA226" s="5"/>
      <c r="AB226" s="5">
        <v>3</v>
      </c>
      <c r="AC226" s="5">
        <v>2</v>
      </c>
      <c r="AD226" s="5"/>
      <c r="AE226" s="5"/>
      <c r="AF226" s="5"/>
      <c r="AG226" s="5" t="s">
        <v>74</v>
      </c>
      <c r="AH226" s="5">
        <v>13.5</v>
      </c>
      <c r="AI226" s="5" t="s">
        <v>74</v>
      </c>
      <c r="AJ226" s="5" t="s">
        <v>74</v>
      </c>
      <c r="AK226" s="5" t="s">
        <v>74</v>
      </c>
      <c r="AL226" s="5"/>
      <c r="AM226" s="5"/>
      <c r="AN226" s="5"/>
      <c r="AO226" s="5"/>
      <c r="AP226" s="5"/>
      <c r="AQ226" s="5"/>
      <c r="AR226" s="5" t="s">
        <v>74</v>
      </c>
      <c r="AS226" s="5" t="s">
        <v>74</v>
      </c>
      <c r="AT226" s="5" t="s">
        <v>74</v>
      </c>
      <c r="AU226" s="5" t="s">
        <v>74</v>
      </c>
      <c r="AV226" s="5" t="s">
        <v>74</v>
      </c>
      <c r="AW226" s="5" t="s">
        <v>74</v>
      </c>
      <c r="AX226" s="5" t="s">
        <v>74</v>
      </c>
      <c r="AY226" s="5" t="s">
        <v>74</v>
      </c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 t="s">
        <v>74</v>
      </c>
      <c r="BQ226" s="5" t="s">
        <v>74</v>
      </c>
      <c r="BR226" s="5">
        <v>32</v>
      </c>
      <c r="BS226" s="5"/>
      <c r="BT226" s="5" t="s">
        <v>74</v>
      </c>
      <c r="BU226" s="6" t="s">
        <v>51</v>
      </c>
      <c r="BV226" s="5" t="s">
        <v>74</v>
      </c>
      <c r="BW226" s="5"/>
      <c r="BX226" s="5" t="s">
        <v>74</v>
      </c>
      <c r="BY226" s="5"/>
      <c r="BZ226" s="5"/>
      <c r="CA226" s="10">
        <v>4</v>
      </c>
      <c r="CB226" s="5" t="s">
        <v>74</v>
      </c>
      <c r="CC226" s="5" t="s">
        <v>74</v>
      </c>
      <c r="CD226" s="5" t="s">
        <v>74</v>
      </c>
      <c r="CE226" s="5" t="s">
        <v>74</v>
      </c>
      <c r="CF226" s="8"/>
      <c r="CG226" s="5"/>
      <c r="CH226" s="5" t="s">
        <v>74</v>
      </c>
      <c r="CI226" s="5" t="s">
        <v>74</v>
      </c>
      <c r="CJ226" s="8" t="s">
        <v>74</v>
      </c>
      <c r="CK226" s="5"/>
      <c r="CL226" s="5" t="s">
        <v>74</v>
      </c>
      <c r="CM226" s="5" t="s">
        <v>74</v>
      </c>
      <c r="CN226" s="5" t="s">
        <v>74</v>
      </c>
      <c r="CO226" s="5"/>
      <c r="CP226" s="5" t="s">
        <v>74</v>
      </c>
    </row>
    <row r="227" spans="1:94" ht="25.25" customHeight="1">
      <c r="A227" s="5">
        <v>226</v>
      </c>
      <c r="B227" s="9" t="s">
        <v>301</v>
      </c>
      <c r="C227" s="9">
        <v>2024202265</v>
      </c>
      <c r="D227" s="5" t="s">
        <v>135</v>
      </c>
      <c r="E227" s="5">
        <f>SUM(G227:$XET227)</f>
        <v>34</v>
      </c>
      <c r="F227" s="5">
        <f>COUNT(G227:$XFD227)</f>
        <v>4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>
        <v>16</v>
      </c>
      <c r="U227" s="5"/>
      <c r="V227" s="5"/>
      <c r="W227" s="5"/>
      <c r="X227" s="5"/>
      <c r="Y227" s="5"/>
      <c r="Z227" s="5"/>
      <c r="AA227" s="5"/>
      <c r="AB227" s="5" t="s">
        <v>74</v>
      </c>
      <c r="AC227" s="5" t="s">
        <v>74</v>
      </c>
      <c r="AD227" s="5"/>
      <c r="AE227" s="5"/>
      <c r="AF227" s="5"/>
      <c r="AG227" s="5" t="s">
        <v>74</v>
      </c>
      <c r="AH227" s="5" t="s">
        <v>74</v>
      </c>
      <c r="AI227" s="5" t="s">
        <v>74</v>
      </c>
      <c r="AJ227" s="5">
        <v>2</v>
      </c>
      <c r="AK227" s="5" t="s">
        <v>74</v>
      </c>
      <c r="AL227" s="5"/>
      <c r="AM227" s="5"/>
      <c r="AN227" s="5"/>
      <c r="AO227" s="5"/>
      <c r="AP227" s="5"/>
      <c r="AQ227" s="5"/>
      <c r="AR227" s="5" t="s">
        <v>74</v>
      </c>
      <c r="AS227" s="5">
        <v>12</v>
      </c>
      <c r="AT227" s="5" t="s">
        <v>74</v>
      </c>
      <c r="AU227" s="5" t="s">
        <v>74</v>
      </c>
      <c r="AV227" s="5" t="s">
        <v>74</v>
      </c>
      <c r="AW227" s="5" t="s">
        <v>74</v>
      </c>
      <c r="AX227" s="5" t="s">
        <v>74</v>
      </c>
      <c r="AY227" s="5" t="s">
        <v>74</v>
      </c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 t="s">
        <v>74</v>
      </c>
      <c r="BQ227" s="5" t="s">
        <v>74</v>
      </c>
      <c r="BR227" s="5" t="s">
        <v>74</v>
      </c>
      <c r="BS227" s="5"/>
      <c r="BT227" s="5" t="s">
        <v>74</v>
      </c>
      <c r="BU227" s="6" t="s">
        <v>51</v>
      </c>
      <c r="BV227" s="5" t="s">
        <v>74</v>
      </c>
      <c r="BW227" s="5"/>
      <c r="BX227" s="5" t="s">
        <v>74</v>
      </c>
      <c r="BY227" s="5"/>
      <c r="BZ227" s="5"/>
      <c r="CA227" s="10" t="s">
        <v>74</v>
      </c>
      <c r="CB227" s="5" t="s">
        <v>74</v>
      </c>
      <c r="CC227" s="5" t="s">
        <v>74</v>
      </c>
      <c r="CD227" s="5" t="s">
        <v>74</v>
      </c>
      <c r="CE227" s="5" t="s">
        <v>74</v>
      </c>
      <c r="CF227" s="8"/>
      <c r="CG227" s="5"/>
      <c r="CH227" s="5" t="s">
        <v>74</v>
      </c>
      <c r="CI227" s="5" t="s">
        <v>74</v>
      </c>
      <c r="CJ227" s="8">
        <v>4</v>
      </c>
      <c r="CK227" s="5"/>
      <c r="CL227" s="5" t="s">
        <v>74</v>
      </c>
      <c r="CM227" s="5" t="s">
        <v>74</v>
      </c>
      <c r="CN227" s="5" t="s">
        <v>74</v>
      </c>
      <c r="CO227" s="5"/>
      <c r="CP227" s="5" t="s">
        <v>74</v>
      </c>
    </row>
    <row r="228" spans="1:94" ht="25.25" customHeight="1">
      <c r="A228" s="5">
        <v>227</v>
      </c>
      <c r="B228" s="9" t="s">
        <v>302</v>
      </c>
      <c r="C228" s="9">
        <v>2024202879</v>
      </c>
      <c r="D228" s="5" t="s">
        <v>135</v>
      </c>
      <c r="E228" s="5">
        <f>SUM(G228:$XET228)</f>
        <v>85</v>
      </c>
      <c r="F228" s="5">
        <f>COUNT(G228:$XFD228)</f>
        <v>9</v>
      </c>
      <c r="G228" s="5">
        <v>40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>
        <v>0.5</v>
      </c>
      <c r="S228" s="5"/>
      <c r="T228" s="5"/>
      <c r="U228" s="5"/>
      <c r="V228" s="5"/>
      <c r="W228" s="5">
        <v>7</v>
      </c>
      <c r="X228" s="5"/>
      <c r="Y228" s="5"/>
      <c r="Z228" s="5"/>
      <c r="AA228" s="5"/>
      <c r="AB228" s="5">
        <v>3.5</v>
      </c>
      <c r="AC228" s="5" t="s">
        <v>74</v>
      </c>
      <c r="AD228" s="5"/>
      <c r="AE228" s="5"/>
      <c r="AF228" s="5"/>
      <c r="AG228" s="5" t="s">
        <v>74</v>
      </c>
      <c r="AH228" s="5" t="s">
        <v>74</v>
      </c>
      <c r="AI228" s="5" t="s">
        <v>74</v>
      </c>
      <c r="AJ228" s="5">
        <v>4</v>
      </c>
      <c r="AK228" s="5">
        <v>4</v>
      </c>
      <c r="AL228" s="5"/>
      <c r="AM228" s="5"/>
      <c r="AN228" s="5"/>
      <c r="AO228" s="5"/>
      <c r="AP228" s="5"/>
      <c r="AQ228" s="5"/>
      <c r="AR228" s="5" t="s">
        <v>74</v>
      </c>
      <c r="AS228" s="5" t="s">
        <v>74</v>
      </c>
      <c r="AT228" s="5" t="s">
        <v>74</v>
      </c>
      <c r="AU228" s="5" t="s">
        <v>74</v>
      </c>
      <c r="AV228" s="5" t="s">
        <v>74</v>
      </c>
      <c r="AW228" s="5" t="s">
        <v>74</v>
      </c>
      <c r="AX228" s="5" t="s">
        <v>74</v>
      </c>
      <c r="AY228" s="5">
        <v>20</v>
      </c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 t="s">
        <v>74</v>
      </c>
      <c r="BQ228" s="5" t="s">
        <v>74</v>
      </c>
      <c r="BR228" s="5" t="s">
        <v>74</v>
      </c>
      <c r="BS228" s="5"/>
      <c r="BT228" s="5" t="s">
        <v>74</v>
      </c>
      <c r="BU228" s="6" t="s">
        <v>51</v>
      </c>
      <c r="BV228" s="5" t="s">
        <v>74</v>
      </c>
      <c r="BW228" s="5"/>
      <c r="BX228" s="5" t="s">
        <v>74</v>
      </c>
      <c r="BY228" s="5"/>
      <c r="BZ228" s="5">
        <v>3</v>
      </c>
      <c r="CA228" s="10" t="s">
        <v>74</v>
      </c>
      <c r="CB228" s="5">
        <v>3</v>
      </c>
      <c r="CC228" s="5" t="s">
        <v>74</v>
      </c>
      <c r="CD228" s="5" t="s">
        <v>74</v>
      </c>
      <c r="CE228" s="5" t="s">
        <v>74</v>
      </c>
      <c r="CF228" s="8"/>
      <c r="CG228" s="5"/>
      <c r="CH228" s="5" t="s">
        <v>74</v>
      </c>
      <c r="CI228" s="5" t="s">
        <v>74</v>
      </c>
      <c r="CJ228" s="8" t="s">
        <v>74</v>
      </c>
      <c r="CK228" s="5"/>
      <c r="CL228" s="5" t="s">
        <v>74</v>
      </c>
      <c r="CM228" s="5" t="s">
        <v>74</v>
      </c>
      <c r="CN228" s="5" t="s">
        <v>74</v>
      </c>
      <c r="CO228" s="5"/>
      <c r="CP228" s="5" t="s">
        <v>74</v>
      </c>
    </row>
    <row r="229" spans="1:94" ht="25.25" customHeight="1">
      <c r="A229" s="5">
        <v>228</v>
      </c>
      <c r="B229" s="9" t="s">
        <v>303</v>
      </c>
      <c r="C229" s="9">
        <v>2024202001</v>
      </c>
      <c r="D229" s="5" t="s">
        <v>135</v>
      </c>
      <c r="E229" s="5">
        <f>SUM(G229:$XET229)</f>
        <v>47</v>
      </c>
      <c r="F229" s="5">
        <f>COUNT(G229:$XFD229)</f>
        <v>4</v>
      </c>
      <c r="G229" s="5"/>
      <c r="H229" s="5"/>
      <c r="I229" s="5"/>
      <c r="J229" s="5"/>
      <c r="K229" s="5">
        <v>16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>
        <v>22</v>
      </c>
      <c r="Y229" s="5"/>
      <c r="Z229" s="5"/>
      <c r="AA229" s="5"/>
      <c r="AB229" s="5" t="s">
        <v>74</v>
      </c>
      <c r="AC229" s="5" t="s">
        <v>74</v>
      </c>
      <c r="AD229" s="5"/>
      <c r="AE229" s="5"/>
      <c r="AF229" s="5"/>
      <c r="AG229" s="5" t="s">
        <v>74</v>
      </c>
      <c r="AH229" s="5" t="s">
        <v>74</v>
      </c>
      <c r="AI229" s="5" t="s">
        <v>74</v>
      </c>
      <c r="AJ229" s="5" t="s">
        <v>74</v>
      </c>
      <c r="AK229" s="5">
        <v>4</v>
      </c>
      <c r="AL229" s="5"/>
      <c r="AM229" s="5"/>
      <c r="AN229" s="5"/>
      <c r="AO229" s="5"/>
      <c r="AP229" s="5"/>
      <c r="AQ229" s="5"/>
      <c r="AR229" s="5" t="s">
        <v>74</v>
      </c>
      <c r="AS229" s="5" t="s">
        <v>74</v>
      </c>
      <c r="AT229" s="5" t="s">
        <v>74</v>
      </c>
      <c r="AU229" s="5" t="s">
        <v>74</v>
      </c>
      <c r="AV229" s="5" t="s">
        <v>74</v>
      </c>
      <c r="AW229" s="5" t="s">
        <v>74</v>
      </c>
      <c r="AX229" s="5" t="s">
        <v>74</v>
      </c>
      <c r="AY229" s="5" t="s">
        <v>74</v>
      </c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 t="s">
        <v>74</v>
      </c>
      <c r="BQ229" s="5" t="s">
        <v>74</v>
      </c>
      <c r="BR229" s="5" t="s">
        <v>74</v>
      </c>
      <c r="BS229" s="5"/>
      <c r="BT229" s="5" t="s">
        <v>74</v>
      </c>
      <c r="BU229" s="6" t="s">
        <v>51</v>
      </c>
      <c r="BV229" s="5" t="s">
        <v>74</v>
      </c>
      <c r="BW229" s="5"/>
      <c r="BX229" s="5" t="s">
        <v>74</v>
      </c>
      <c r="BY229" s="5"/>
      <c r="BZ229" s="5"/>
      <c r="CA229" s="10" t="s">
        <v>74</v>
      </c>
      <c r="CB229" s="5" t="s">
        <v>74</v>
      </c>
      <c r="CC229" s="5" t="s">
        <v>74</v>
      </c>
      <c r="CD229" s="5" t="s">
        <v>74</v>
      </c>
      <c r="CE229" s="5" t="s">
        <v>74</v>
      </c>
      <c r="CF229" s="8"/>
      <c r="CG229" s="5"/>
      <c r="CH229" s="5" t="s">
        <v>74</v>
      </c>
      <c r="CI229" s="5" t="s">
        <v>74</v>
      </c>
      <c r="CJ229" s="8" t="s">
        <v>74</v>
      </c>
      <c r="CK229" s="5"/>
      <c r="CL229" s="5" t="s">
        <v>74</v>
      </c>
      <c r="CM229" s="5" t="s">
        <v>74</v>
      </c>
      <c r="CN229" s="5">
        <v>5</v>
      </c>
      <c r="CO229" s="5"/>
      <c r="CP229" s="5" t="s">
        <v>74</v>
      </c>
    </row>
    <row r="230" spans="1:94" ht="25.25" customHeight="1">
      <c r="A230" s="5">
        <v>229</v>
      </c>
      <c r="B230" s="9" t="s">
        <v>304</v>
      </c>
      <c r="C230" s="9">
        <v>2024202014</v>
      </c>
      <c r="D230" s="5" t="s">
        <v>135</v>
      </c>
      <c r="E230" s="5">
        <f>SUM(G230:$XET230)</f>
        <v>23</v>
      </c>
      <c r="F230" s="5">
        <f>COUNT(G230:$XFD230)</f>
        <v>3</v>
      </c>
      <c r="G230" s="5"/>
      <c r="H230" s="5"/>
      <c r="I230" s="5">
        <v>4</v>
      </c>
      <c r="J230" s="5"/>
      <c r="K230" s="5"/>
      <c r="L230" s="5"/>
      <c r="M230" s="5"/>
      <c r="N230" s="5"/>
      <c r="O230" s="5"/>
      <c r="P230" s="5"/>
      <c r="Q230" s="5">
        <v>3</v>
      </c>
      <c r="R230" s="5"/>
      <c r="S230" s="5"/>
      <c r="T230" s="5"/>
      <c r="U230" s="5"/>
      <c r="V230" s="5"/>
      <c r="W230" s="5"/>
      <c r="X230" s="5">
        <v>16</v>
      </c>
      <c r="Y230" s="5"/>
      <c r="Z230" s="5"/>
      <c r="AA230" s="5"/>
      <c r="AB230" s="5" t="s">
        <v>74</v>
      </c>
      <c r="AC230" s="5" t="s">
        <v>74</v>
      </c>
      <c r="AD230" s="5"/>
      <c r="AE230" s="5"/>
      <c r="AF230" s="5"/>
      <c r="AG230" s="5" t="s">
        <v>74</v>
      </c>
      <c r="AH230" s="5" t="s">
        <v>74</v>
      </c>
      <c r="AI230" s="5" t="s">
        <v>74</v>
      </c>
      <c r="AJ230" s="5" t="s">
        <v>74</v>
      </c>
      <c r="AK230" s="5" t="s">
        <v>74</v>
      </c>
      <c r="AL230" s="5"/>
      <c r="AM230" s="5"/>
      <c r="AN230" s="5"/>
      <c r="AO230" s="5"/>
      <c r="AP230" s="5"/>
      <c r="AQ230" s="5"/>
      <c r="AR230" s="5" t="s">
        <v>74</v>
      </c>
      <c r="AS230" s="5" t="s">
        <v>74</v>
      </c>
      <c r="AT230" s="5" t="s">
        <v>74</v>
      </c>
      <c r="AU230" s="5" t="s">
        <v>74</v>
      </c>
      <c r="AV230" s="5" t="s">
        <v>74</v>
      </c>
      <c r="AW230" s="5" t="s">
        <v>74</v>
      </c>
      <c r="AX230" s="5" t="s">
        <v>74</v>
      </c>
      <c r="AY230" s="5" t="s">
        <v>74</v>
      </c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 t="s">
        <v>74</v>
      </c>
      <c r="BQ230" s="5" t="s">
        <v>74</v>
      </c>
      <c r="BR230" s="5" t="s">
        <v>74</v>
      </c>
      <c r="BS230" s="5"/>
      <c r="BT230" s="5" t="s">
        <v>74</v>
      </c>
      <c r="BU230" s="6" t="s">
        <v>51</v>
      </c>
      <c r="BV230" s="5" t="s">
        <v>74</v>
      </c>
      <c r="BW230" s="5"/>
      <c r="BX230" s="5" t="s">
        <v>74</v>
      </c>
      <c r="BY230" s="5"/>
      <c r="BZ230" s="5"/>
      <c r="CA230" s="10" t="s">
        <v>74</v>
      </c>
      <c r="CB230" s="5" t="s">
        <v>74</v>
      </c>
      <c r="CC230" s="5" t="s">
        <v>74</v>
      </c>
      <c r="CD230" s="5" t="s">
        <v>74</v>
      </c>
      <c r="CE230" s="5" t="s">
        <v>74</v>
      </c>
      <c r="CF230" s="8"/>
      <c r="CG230" s="5"/>
      <c r="CH230" s="5" t="s">
        <v>74</v>
      </c>
      <c r="CI230" s="5" t="s">
        <v>74</v>
      </c>
      <c r="CJ230" s="8" t="s">
        <v>74</v>
      </c>
      <c r="CK230" s="5"/>
      <c r="CL230" s="5" t="s">
        <v>74</v>
      </c>
      <c r="CM230" s="5" t="s">
        <v>74</v>
      </c>
      <c r="CN230" s="5" t="s">
        <v>74</v>
      </c>
      <c r="CO230" s="5"/>
      <c r="CP230" s="5" t="s">
        <v>74</v>
      </c>
    </row>
    <row r="231" spans="1:94" ht="25.25" customHeight="1">
      <c r="A231" s="5">
        <v>230</v>
      </c>
      <c r="B231" s="9" t="s">
        <v>305</v>
      </c>
      <c r="C231" s="9">
        <v>2024202035</v>
      </c>
      <c r="D231" s="5" t="s">
        <v>135</v>
      </c>
      <c r="E231" s="5">
        <f>SUM(G231:$XET231)</f>
        <v>39</v>
      </c>
      <c r="F231" s="5">
        <f>COUNT(G231:$XFD231)</f>
        <v>10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>
        <v>6</v>
      </c>
      <c r="X231" s="5">
        <v>8</v>
      </c>
      <c r="Y231" s="5"/>
      <c r="Z231" s="5"/>
      <c r="AA231" s="5"/>
      <c r="AB231" s="5" t="s">
        <v>74</v>
      </c>
      <c r="AC231" s="5">
        <v>2</v>
      </c>
      <c r="AD231" s="5">
        <v>4</v>
      </c>
      <c r="AE231" s="5"/>
      <c r="AF231" s="5"/>
      <c r="AG231" s="5" t="s">
        <v>74</v>
      </c>
      <c r="AH231" s="5" t="s">
        <v>74</v>
      </c>
      <c r="AI231" s="5" t="s">
        <v>74</v>
      </c>
      <c r="AJ231" s="5" t="s">
        <v>74</v>
      </c>
      <c r="AK231" s="5">
        <v>4</v>
      </c>
      <c r="AL231" s="5"/>
      <c r="AM231" s="5"/>
      <c r="AN231" s="5"/>
      <c r="AO231" s="5"/>
      <c r="AP231" s="5"/>
      <c r="AQ231" s="5"/>
      <c r="AR231" s="5" t="s">
        <v>74</v>
      </c>
      <c r="AS231" s="5" t="s">
        <v>74</v>
      </c>
      <c r="AT231" s="5" t="s">
        <v>74</v>
      </c>
      <c r="AU231" s="5" t="s">
        <v>74</v>
      </c>
      <c r="AV231" s="5" t="s">
        <v>74</v>
      </c>
      <c r="AW231" s="5" t="s">
        <v>74</v>
      </c>
      <c r="AX231" s="5" t="s">
        <v>74</v>
      </c>
      <c r="AY231" s="5" t="s">
        <v>74</v>
      </c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>
        <v>4</v>
      </c>
      <c r="BQ231" s="5" t="s">
        <v>74</v>
      </c>
      <c r="BR231" s="5" t="s">
        <v>74</v>
      </c>
      <c r="BS231" s="5"/>
      <c r="BT231" s="5" t="s">
        <v>74</v>
      </c>
      <c r="BU231" s="6" t="s">
        <v>51</v>
      </c>
      <c r="BV231" s="5">
        <v>1</v>
      </c>
      <c r="BW231" s="5"/>
      <c r="BX231" s="5" t="s">
        <v>74</v>
      </c>
      <c r="BY231" s="5"/>
      <c r="BZ231" s="5"/>
      <c r="CA231" s="10" t="s">
        <v>74</v>
      </c>
      <c r="CB231" s="5">
        <v>3</v>
      </c>
      <c r="CC231" s="5" t="s">
        <v>74</v>
      </c>
      <c r="CD231" s="5">
        <v>5</v>
      </c>
      <c r="CE231" s="5">
        <v>2</v>
      </c>
      <c r="CF231" s="8"/>
      <c r="CG231" s="5"/>
      <c r="CH231" s="5" t="s">
        <v>74</v>
      </c>
      <c r="CI231" s="5" t="s">
        <v>74</v>
      </c>
      <c r="CJ231" s="8" t="s">
        <v>74</v>
      </c>
      <c r="CK231" s="5"/>
      <c r="CL231" s="5" t="s">
        <v>74</v>
      </c>
      <c r="CM231" s="5" t="s">
        <v>74</v>
      </c>
      <c r="CN231" s="5" t="s">
        <v>74</v>
      </c>
      <c r="CO231" s="5"/>
      <c r="CP231" s="5" t="s">
        <v>74</v>
      </c>
    </row>
    <row r="232" spans="1:94" ht="25.25" customHeight="1">
      <c r="A232" s="5">
        <v>231</v>
      </c>
      <c r="B232" s="9" t="s">
        <v>306</v>
      </c>
      <c r="C232" s="9">
        <v>2024202062</v>
      </c>
      <c r="D232" s="5" t="s">
        <v>135</v>
      </c>
      <c r="E232" s="5">
        <f>SUM(G232:$XET232)</f>
        <v>41</v>
      </c>
      <c r="F232" s="5">
        <f>COUNT(G232:$XFD232)</f>
        <v>4</v>
      </c>
      <c r="G232" s="5"/>
      <c r="H232" s="5"/>
      <c r="I232" s="5"/>
      <c r="J232" s="5"/>
      <c r="K232" s="5"/>
      <c r="L232" s="5">
        <v>5</v>
      </c>
      <c r="M232" s="5"/>
      <c r="N232" s="5">
        <v>2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 t="s">
        <v>74</v>
      </c>
      <c r="AC232" s="5" t="s">
        <v>74</v>
      </c>
      <c r="AD232" s="5"/>
      <c r="AE232" s="5"/>
      <c r="AF232" s="5"/>
      <c r="AG232" s="5" t="s">
        <v>74</v>
      </c>
      <c r="AH232" s="5" t="s">
        <v>74</v>
      </c>
      <c r="AI232" s="5" t="s">
        <v>74</v>
      </c>
      <c r="AJ232" s="5" t="s">
        <v>74</v>
      </c>
      <c r="AK232" s="5">
        <v>4</v>
      </c>
      <c r="AL232" s="5"/>
      <c r="AM232" s="5"/>
      <c r="AN232" s="5"/>
      <c r="AO232" s="5"/>
      <c r="AP232" s="5"/>
      <c r="AQ232" s="5"/>
      <c r="AR232" s="5" t="s">
        <v>74</v>
      </c>
      <c r="AS232" s="5" t="s">
        <v>74</v>
      </c>
      <c r="AT232" s="5" t="s">
        <v>74</v>
      </c>
      <c r="AU232" s="5" t="s">
        <v>74</v>
      </c>
      <c r="AV232" s="5" t="s">
        <v>74</v>
      </c>
      <c r="AW232" s="5" t="s">
        <v>74</v>
      </c>
      <c r="AX232" s="5" t="s">
        <v>74</v>
      </c>
      <c r="AY232" s="5">
        <v>30</v>
      </c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 t="s">
        <v>74</v>
      </c>
      <c r="BQ232" s="5" t="s">
        <v>74</v>
      </c>
      <c r="BR232" s="5" t="s">
        <v>74</v>
      </c>
      <c r="BS232" s="5"/>
      <c r="BT232" s="5" t="s">
        <v>74</v>
      </c>
      <c r="BU232" s="6" t="s">
        <v>51</v>
      </c>
      <c r="BV232" s="5" t="s">
        <v>74</v>
      </c>
      <c r="BW232" s="5"/>
      <c r="BX232" s="5" t="s">
        <v>74</v>
      </c>
      <c r="BY232" s="5"/>
      <c r="BZ232" s="5"/>
      <c r="CA232" s="10" t="s">
        <v>74</v>
      </c>
      <c r="CB232" s="5" t="s">
        <v>74</v>
      </c>
      <c r="CC232" s="5" t="s">
        <v>74</v>
      </c>
      <c r="CD232" s="5" t="s">
        <v>74</v>
      </c>
      <c r="CE232" s="5" t="s">
        <v>74</v>
      </c>
      <c r="CF232" s="8"/>
      <c r="CG232" s="5"/>
      <c r="CH232" s="5" t="s">
        <v>74</v>
      </c>
      <c r="CI232" s="5" t="s">
        <v>74</v>
      </c>
      <c r="CJ232" s="8" t="s">
        <v>74</v>
      </c>
      <c r="CK232" s="5"/>
      <c r="CL232" s="5" t="s">
        <v>74</v>
      </c>
      <c r="CM232" s="5" t="s">
        <v>74</v>
      </c>
      <c r="CN232" s="5" t="s">
        <v>74</v>
      </c>
      <c r="CO232" s="5"/>
      <c r="CP232" s="5" t="s">
        <v>74</v>
      </c>
    </row>
    <row r="233" spans="1:94" ht="25.25" customHeight="1">
      <c r="A233" s="5">
        <v>232</v>
      </c>
      <c r="B233" s="9" t="s">
        <v>307</v>
      </c>
      <c r="C233" s="9">
        <v>2024202074</v>
      </c>
      <c r="D233" s="5" t="s">
        <v>135</v>
      </c>
      <c r="E233" s="5">
        <f>SUM(G233:$XET233)</f>
        <v>72</v>
      </c>
      <c r="F233" s="5">
        <f>COUNT(G233:$XFD233)</f>
        <v>5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>
        <v>20</v>
      </c>
      <c r="Y233" s="5"/>
      <c r="Z233" s="5"/>
      <c r="AA233" s="5"/>
      <c r="AB233" s="5" t="s">
        <v>74</v>
      </c>
      <c r="AC233" s="5" t="s">
        <v>74</v>
      </c>
      <c r="AD233" s="5"/>
      <c r="AE233" s="5"/>
      <c r="AF233" s="5"/>
      <c r="AG233" s="5" t="s">
        <v>74</v>
      </c>
      <c r="AH233" s="5" t="s">
        <v>74</v>
      </c>
      <c r="AI233" s="5" t="s">
        <v>74</v>
      </c>
      <c r="AJ233" s="5">
        <v>4</v>
      </c>
      <c r="AK233" s="5">
        <v>4</v>
      </c>
      <c r="AL233" s="5"/>
      <c r="AM233" s="5"/>
      <c r="AN233" s="5"/>
      <c r="AO233" s="5"/>
      <c r="AP233" s="5"/>
      <c r="AQ233" s="5"/>
      <c r="AR233" s="5" t="s">
        <v>74</v>
      </c>
      <c r="AS233" s="5" t="s">
        <v>74</v>
      </c>
      <c r="AT233" s="5" t="s">
        <v>74</v>
      </c>
      <c r="AU233" s="5" t="s">
        <v>74</v>
      </c>
      <c r="AV233" s="5" t="s">
        <v>74</v>
      </c>
      <c r="AW233" s="5" t="s">
        <v>74</v>
      </c>
      <c r="AX233" s="5" t="s">
        <v>74</v>
      </c>
      <c r="AY233" s="5">
        <v>44</v>
      </c>
      <c r="AZ233" s="5">
        <v>0</v>
      </c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 t="s">
        <v>74</v>
      </c>
      <c r="BQ233" s="5" t="s">
        <v>74</v>
      </c>
      <c r="BR233" s="5" t="s">
        <v>74</v>
      </c>
      <c r="BS233" s="5"/>
      <c r="BT233" s="5" t="s">
        <v>74</v>
      </c>
      <c r="BU233" s="6" t="s">
        <v>51</v>
      </c>
      <c r="BV233" s="5" t="s">
        <v>74</v>
      </c>
      <c r="BW233" s="5"/>
      <c r="BX233" s="5" t="s">
        <v>74</v>
      </c>
      <c r="BY233" s="5"/>
      <c r="BZ233" s="5"/>
      <c r="CA233" s="10" t="s">
        <v>74</v>
      </c>
      <c r="CB233" s="5" t="s">
        <v>74</v>
      </c>
      <c r="CC233" s="5" t="s">
        <v>74</v>
      </c>
      <c r="CD233" s="5" t="s">
        <v>74</v>
      </c>
      <c r="CE233" s="5" t="s">
        <v>74</v>
      </c>
      <c r="CF233" s="8"/>
      <c r="CG233" s="5"/>
      <c r="CH233" s="5" t="s">
        <v>74</v>
      </c>
      <c r="CI233" s="5" t="s">
        <v>74</v>
      </c>
      <c r="CJ233" s="8" t="s">
        <v>74</v>
      </c>
      <c r="CK233" s="5"/>
      <c r="CL233" s="5" t="s">
        <v>74</v>
      </c>
      <c r="CM233" s="5" t="s">
        <v>74</v>
      </c>
      <c r="CN233" s="5" t="s">
        <v>74</v>
      </c>
      <c r="CO233" s="5"/>
      <c r="CP233" s="5" t="s">
        <v>74</v>
      </c>
    </row>
    <row r="234" spans="1:94" ht="25.25" customHeight="1">
      <c r="A234" s="5">
        <v>233</v>
      </c>
      <c r="B234" s="9" t="s">
        <v>308</v>
      </c>
      <c r="C234" s="9">
        <v>2024202046</v>
      </c>
      <c r="D234" s="5" t="s">
        <v>135</v>
      </c>
      <c r="E234" s="5">
        <f>SUM(G234:$XET234)</f>
        <v>15</v>
      </c>
      <c r="F234" s="5">
        <f>COUNT(G234:$XFD234)</f>
        <v>3</v>
      </c>
      <c r="G234" s="5"/>
      <c r="H234" s="5"/>
      <c r="I234" s="5"/>
      <c r="J234" s="5"/>
      <c r="K234" s="5">
        <v>10</v>
      </c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>
        <v>4</v>
      </c>
      <c r="AA234" s="5"/>
      <c r="AB234" s="5" t="s">
        <v>74</v>
      </c>
      <c r="AC234" s="5" t="s">
        <v>74</v>
      </c>
      <c r="AD234" s="5"/>
      <c r="AE234" s="5"/>
      <c r="AF234" s="5"/>
      <c r="AG234" s="5" t="s">
        <v>74</v>
      </c>
      <c r="AH234" s="5" t="s">
        <v>74</v>
      </c>
      <c r="AI234" s="5" t="s">
        <v>74</v>
      </c>
      <c r="AJ234" s="5" t="s">
        <v>74</v>
      </c>
      <c r="AK234" s="5" t="s">
        <v>74</v>
      </c>
      <c r="AL234" s="5"/>
      <c r="AM234" s="5"/>
      <c r="AN234" s="5"/>
      <c r="AO234" s="5"/>
      <c r="AP234" s="5"/>
      <c r="AQ234" s="5"/>
      <c r="AR234" s="5" t="s">
        <v>74</v>
      </c>
      <c r="AS234" s="5" t="s">
        <v>74</v>
      </c>
      <c r="AT234" s="5" t="s">
        <v>74</v>
      </c>
      <c r="AU234" s="5" t="s">
        <v>74</v>
      </c>
      <c r="AV234" s="5" t="s">
        <v>74</v>
      </c>
      <c r="AW234" s="5" t="s">
        <v>74</v>
      </c>
      <c r="AX234" s="5" t="s">
        <v>74</v>
      </c>
      <c r="AY234" s="5" t="s">
        <v>74</v>
      </c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 t="s">
        <v>74</v>
      </c>
      <c r="BQ234" s="5" t="s">
        <v>74</v>
      </c>
      <c r="BR234" s="5" t="s">
        <v>74</v>
      </c>
      <c r="BS234" s="5"/>
      <c r="BT234" s="5" t="s">
        <v>74</v>
      </c>
      <c r="BU234" s="6" t="s">
        <v>51</v>
      </c>
      <c r="BV234" s="5">
        <v>1</v>
      </c>
      <c r="BW234" s="5"/>
      <c r="BX234" s="5" t="s">
        <v>74</v>
      </c>
      <c r="BY234" s="5"/>
      <c r="BZ234" s="5"/>
      <c r="CA234" s="10" t="s">
        <v>74</v>
      </c>
      <c r="CB234" s="5" t="s">
        <v>74</v>
      </c>
      <c r="CC234" s="5" t="s">
        <v>74</v>
      </c>
      <c r="CD234" s="5" t="s">
        <v>74</v>
      </c>
      <c r="CE234" s="5" t="s">
        <v>74</v>
      </c>
      <c r="CF234" s="8"/>
      <c r="CG234" s="5"/>
      <c r="CH234" s="5" t="s">
        <v>74</v>
      </c>
      <c r="CI234" s="5" t="s">
        <v>74</v>
      </c>
      <c r="CJ234" s="8" t="s">
        <v>74</v>
      </c>
      <c r="CK234" s="5"/>
      <c r="CL234" s="5" t="s">
        <v>74</v>
      </c>
      <c r="CM234" s="5" t="s">
        <v>74</v>
      </c>
      <c r="CN234" s="5" t="s">
        <v>74</v>
      </c>
      <c r="CO234" s="5"/>
      <c r="CP234" s="5" t="s">
        <v>74</v>
      </c>
    </row>
    <row r="235" spans="1:94" ht="25.25" customHeight="1">
      <c r="A235" s="5">
        <v>234</v>
      </c>
      <c r="B235" s="9" t="s">
        <v>309</v>
      </c>
      <c r="C235" s="9">
        <v>2024202116</v>
      </c>
      <c r="D235" s="5" t="s">
        <v>135</v>
      </c>
      <c r="E235" s="5">
        <f>SUM(G235:$XET235)</f>
        <v>61</v>
      </c>
      <c r="F235" s="5">
        <f>COUNT(G235:$XFD235)</f>
        <v>6</v>
      </c>
      <c r="G235" s="5"/>
      <c r="H235" s="5"/>
      <c r="I235" s="5"/>
      <c r="J235" s="5"/>
      <c r="K235" s="5">
        <v>8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>
        <v>6</v>
      </c>
      <c r="Y235" s="5"/>
      <c r="Z235" s="5"/>
      <c r="AA235" s="5"/>
      <c r="AB235" s="5" t="s">
        <v>74</v>
      </c>
      <c r="AC235" s="5" t="s">
        <v>74</v>
      </c>
      <c r="AD235" s="5"/>
      <c r="AE235" s="5"/>
      <c r="AF235" s="5"/>
      <c r="AG235" s="5" t="s">
        <v>74</v>
      </c>
      <c r="AH235" s="5" t="s">
        <v>74</v>
      </c>
      <c r="AI235" s="5" t="s">
        <v>74</v>
      </c>
      <c r="AJ235" s="5">
        <v>2</v>
      </c>
      <c r="AK235" s="5">
        <v>4</v>
      </c>
      <c r="AL235" s="5"/>
      <c r="AM235" s="5"/>
      <c r="AN235" s="5"/>
      <c r="AO235" s="5"/>
      <c r="AP235" s="5"/>
      <c r="AQ235" s="5"/>
      <c r="AR235" s="5" t="s">
        <v>74</v>
      </c>
      <c r="AS235" s="5" t="s">
        <v>74</v>
      </c>
      <c r="AT235" s="5" t="s">
        <v>74</v>
      </c>
      <c r="AU235" s="5" t="s">
        <v>74</v>
      </c>
      <c r="AV235" s="5" t="s">
        <v>74</v>
      </c>
      <c r="AW235" s="5" t="s">
        <v>74</v>
      </c>
      <c r="AX235" s="5" t="s">
        <v>74</v>
      </c>
      <c r="AY235" s="5" t="s">
        <v>74</v>
      </c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 t="s">
        <v>74</v>
      </c>
      <c r="BQ235" s="5" t="s">
        <v>74</v>
      </c>
      <c r="BR235" s="5" t="s">
        <v>74</v>
      </c>
      <c r="BS235" s="5"/>
      <c r="BT235" s="5">
        <v>40</v>
      </c>
      <c r="BU235" s="6" t="s">
        <v>51</v>
      </c>
      <c r="BV235" s="5">
        <v>1</v>
      </c>
      <c r="BW235" s="5"/>
      <c r="BX235" s="5" t="s">
        <v>74</v>
      </c>
      <c r="BY235" s="5"/>
      <c r="BZ235" s="5"/>
      <c r="CA235" s="10" t="s">
        <v>74</v>
      </c>
      <c r="CB235" s="5" t="s">
        <v>74</v>
      </c>
      <c r="CC235" s="5" t="s">
        <v>74</v>
      </c>
      <c r="CD235" s="5" t="s">
        <v>74</v>
      </c>
      <c r="CE235" s="5" t="s">
        <v>74</v>
      </c>
      <c r="CF235" s="8"/>
      <c r="CG235" s="5"/>
      <c r="CH235" s="5" t="s">
        <v>74</v>
      </c>
      <c r="CI235" s="5" t="s">
        <v>74</v>
      </c>
      <c r="CJ235" s="8" t="s">
        <v>74</v>
      </c>
      <c r="CK235" s="5"/>
      <c r="CL235" s="5" t="s">
        <v>74</v>
      </c>
      <c r="CM235" s="5" t="s">
        <v>74</v>
      </c>
      <c r="CN235" s="5" t="s">
        <v>74</v>
      </c>
      <c r="CO235" s="5"/>
      <c r="CP235" s="5" t="s">
        <v>74</v>
      </c>
    </row>
    <row r="236" spans="1:94" ht="25.25" customHeight="1">
      <c r="A236" s="5">
        <v>235</v>
      </c>
      <c r="B236" s="9" t="s">
        <v>310</v>
      </c>
      <c r="C236" s="9">
        <v>2024202136</v>
      </c>
      <c r="D236" s="5" t="s">
        <v>135</v>
      </c>
      <c r="E236" s="5">
        <f>SUM(G236:$XET236)</f>
        <v>26</v>
      </c>
      <c r="F236" s="5">
        <f>COUNT(G236:$XFD236)</f>
        <v>3</v>
      </c>
      <c r="G236" s="5"/>
      <c r="H236" s="5"/>
      <c r="I236" s="5"/>
      <c r="J236" s="5"/>
      <c r="K236" s="5">
        <v>10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>
        <v>12</v>
      </c>
      <c r="Y236" s="5"/>
      <c r="Z236" s="5"/>
      <c r="AA236" s="5"/>
      <c r="AB236" s="5" t="s">
        <v>74</v>
      </c>
      <c r="AC236" s="5" t="s">
        <v>74</v>
      </c>
      <c r="AD236" s="5"/>
      <c r="AE236" s="5"/>
      <c r="AF236" s="5"/>
      <c r="AG236" s="5" t="s">
        <v>74</v>
      </c>
      <c r="AH236" s="5" t="s">
        <v>74</v>
      </c>
      <c r="AI236" s="5" t="s">
        <v>74</v>
      </c>
      <c r="AJ236" s="5" t="s">
        <v>74</v>
      </c>
      <c r="AK236" s="5">
        <v>4</v>
      </c>
      <c r="AL236" s="5"/>
      <c r="AM236" s="5"/>
      <c r="AN236" s="5"/>
      <c r="AO236" s="5"/>
      <c r="AP236" s="5"/>
      <c r="AQ236" s="5"/>
      <c r="AR236" s="5" t="s">
        <v>74</v>
      </c>
      <c r="AS236" s="5" t="s">
        <v>74</v>
      </c>
      <c r="AT236" s="5" t="s">
        <v>74</v>
      </c>
      <c r="AU236" s="5" t="s">
        <v>74</v>
      </c>
      <c r="AV236" s="5" t="s">
        <v>74</v>
      </c>
      <c r="AW236" s="5" t="s">
        <v>74</v>
      </c>
      <c r="AX236" s="5" t="s">
        <v>74</v>
      </c>
      <c r="AY236" s="5" t="s">
        <v>74</v>
      </c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 t="s">
        <v>74</v>
      </c>
      <c r="BQ236" s="5" t="s">
        <v>74</v>
      </c>
      <c r="BR236" s="5" t="s">
        <v>74</v>
      </c>
      <c r="BS236" s="5"/>
      <c r="BT236" s="5" t="s">
        <v>74</v>
      </c>
      <c r="BU236" s="6" t="s">
        <v>51</v>
      </c>
      <c r="BV236" s="5" t="s">
        <v>74</v>
      </c>
      <c r="BW236" s="5"/>
      <c r="BX236" s="5" t="s">
        <v>74</v>
      </c>
      <c r="BY236" s="5"/>
      <c r="BZ236" s="5"/>
      <c r="CA236" s="10" t="s">
        <v>74</v>
      </c>
      <c r="CB236" s="5" t="s">
        <v>74</v>
      </c>
      <c r="CC236" s="5" t="s">
        <v>74</v>
      </c>
      <c r="CD236" s="5" t="s">
        <v>74</v>
      </c>
      <c r="CE236" s="5" t="s">
        <v>74</v>
      </c>
      <c r="CF236" s="8"/>
      <c r="CG236" s="5"/>
      <c r="CH236" s="5" t="s">
        <v>74</v>
      </c>
      <c r="CI236" s="5" t="s">
        <v>74</v>
      </c>
      <c r="CJ236" s="8" t="s">
        <v>74</v>
      </c>
      <c r="CK236" s="5"/>
      <c r="CL236" s="5" t="s">
        <v>74</v>
      </c>
      <c r="CM236" s="5" t="s">
        <v>74</v>
      </c>
      <c r="CN236" s="5" t="s">
        <v>74</v>
      </c>
      <c r="CO236" s="5"/>
      <c r="CP236" s="5" t="s">
        <v>74</v>
      </c>
    </row>
    <row r="237" spans="1:94" ht="25.25" customHeight="1">
      <c r="A237" s="5">
        <v>236</v>
      </c>
      <c r="B237" s="9" t="s">
        <v>311</v>
      </c>
      <c r="C237" s="9">
        <v>2024202155</v>
      </c>
      <c r="D237" s="5" t="s">
        <v>135</v>
      </c>
      <c r="E237" s="5">
        <f>SUM(G237:$XET237)</f>
        <v>35.5</v>
      </c>
      <c r="F237" s="5">
        <f>COUNT(G237:$XFD237)</f>
        <v>6</v>
      </c>
      <c r="G237" s="5"/>
      <c r="H237" s="5"/>
      <c r="I237" s="5"/>
      <c r="J237" s="5"/>
      <c r="K237" s="5">
        <v>10</v>
      </c>
      <c r="L237" s="5"/>
      <c r="M237" s="5"/>
      <c r="N237" s="5">
        <v>1</v>
      </c>
      <c r="O237" s="5"/>
      <c r="P237" s="5"/>
      <c r="Q237" s="5"/>
      <c r="R237" s="5">
        <v>14.5</v>
      </c>
      <c r="S237" s="5"/>
      <c r="T237" s="5"/>
      <c r="U237" s="5">
        <v>4</v>
      </c>
      <c r="V237" s="5"/>
      <c r="W237" s="5"/>
      <c r="X237" s="5"/>
      <c r="Y237" s="5"/>
      <c r="Z237" s="5"/>
      <c r="AA237" s="5"/>
      <c r="AB237" s="5" t="s">
        <v>74</v>
      </c>
      <c r="AC237" s="5" t="s">
        <v>74</v>
      </c>
      <c r="AD237" s="5"/>
      <c r="AE237" s="5"/>
      <c r="AF237" s="5"/>
      <c r="AG237" s="5" t="s">
        <v>74</v>
      </c>
      <c r="AH237" s="5" t="s">
        <v>74</v>
      </c>
      <c r="AI237" s="5" t="s">
        <v>74</v>
      </c>
      <c r="AJ237" s="5">
        <v>2</v>
      </c>
      <c r="AK237" s="5">
        <v>4</v>
      </c>
      <c r="AL237" s="5"/>
      <c r="AM237" s="5"/>
      <c r="AN237" s="5"/>
      <c r="AO237" s="5"/>
      <c r="AP237" s="5"/>
      <c r="AQ237" s="5"/>
      <c r="AR237" s="5" t="s">
        <v>74</v>
      </c>
      <c r="AS237" s="5" t="s">
        <v>74</v>
      </c>
      <c r="AT237" s="5" t="s">
        <v>74</v>
      </c>
      <c r="AU237" s="5" t="s">
        <v>74</v>
      </c>
      <c r="AV237" s="5" t="s">
        <v>74</v>
      </c>
      <c r="AW237" s="5" t="s">
        <v>74</v>
      </c>
      <c r="AX237" s="5" t="s">
        <v>74</v>
      </c>
      <c r="AY237" s="5" t="s">
        <v>74</v>
      </c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 t="s">
        <v>74</v>
      </c>
      <c r="BQ237" s="5" t="s">
        <v>74</v>
      </c>
      <c r="BR237" s="5" t="s">
        <v>74</v>
      </c>
      <c r="BS237" s="5"/>
      <c r="BT237" s="5" t="s">
        <v>74</v>
      </c>
      <c r="BU237" s="6" t="s">
        <v>51</v>
      </c>
      <c r="BV237" s="5" t="s">
        <v>74</v>
      </c>
      <c r="BW237" s="5"/>
      <c r="BX237" s="5" t="s">
        <v>74</v>
      </c>
      <c r="BY237" s="5"/>
      <c r="BZ237" s="5"/>
      <c r="CA237" s="10" t="s">
        <v>74</v>
      </c>
      <c r="CB237" s="5" t="s">
        <v>74</v>
      </c>
      <c r="CC237" s="5" t="s">
        <v>74</v>
      </c>
      <c r="CD237" s="5" t="s">
        <v>74</v>
      </c>
      <c r="CE237" s="5" t="s">
        <v>74</v>
      </c>
      <c r="CF237" s="8"/>
      <c r="CG237" s="5"/>
      <c r="CH237" s="5" t="s">
        <v>74</v>
      </c>
      <c r="CI237" s="5" t="s">
        <v>74</v>
      </c>
      <c r="CJ237" s="8" t="s">
        <v>74</v>
      </c>
      <c r="CK237" s="5"/>
      <c r="CL237" s="5" t="s">
        <v>74</v>
      </c>
      <c r="CM237" s="5" t="s">
        <v>74</v>
      </c>
      <c r="CN237" s="5" t="s">
        <v>74</v>
      </c>
      <c r="CO237" s="5"/>
      <c r="CP237" s="5" t="s">
        <v>74</v>
      </c>
    </row>
    <row r="238" spans="1:94" ht="25.25" customHeight="1">
      <c r="A238" s="5">
        <v>237</v>
      </c>
      <c r="B238" s="9" t="s">
        <v>312</v>
      </c>
      <c r="C238" s="9">
        <v>2024202048</v>
      </c>
      <c r="D238" s="5" t="s">
        <v>135</v>
      </c>
      <c r="E238" s="5">
        <f>SUM(G238:$XET238)</f>
        <v>25</v>
      </c>
      <c r="F238" s="5">
        <f>COUNT(G238:$XFD238)</f>
        <v>5</v>
      </c>
      <c r="G238" s="5"/>
      <c r="H238" s="5"/>
      <c r="I238" s="5"/>
      <c r="J238" s="5"/>
      <c r="K238" s="5">
        <v>9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>
        <v>6</v>
      </c>
      <c r="Y238" s="5"/>
      <c r="Z238" s="5"/>
      <c r="AA238" s="5"/>
      <c r="AB238" s="5">
        <v>4</v>
      </c>
      <c r="AC238" s="5">
        <v>2</v>
      </c>
      <c r="AD238" s="5"/>
      <c r="AE238" s="5"/>
      <c r="AF238" s="5"/>
      <c r="AG238" s="5" t="s">
        <v>74</v>
      </c>
      <c r="AH238" s="5" t="s">
        <v>74</v>
      </c>
      <c r="AI238" s="5" t="s">
        <v>74</v>
      </c>
      <c r="AJ238" s="5" t="s">
        <v>74</v>
      </c>
      <c r="AK238" s="5">
        <v>4</v>
      </c>
      <c r="AL238" s="5"/>
      <c r="AM238" s="5"/>
      <c r="AN238" s="5"/>
      <c r="AO238" s="5"/>
      <c r="AP238" s="5"/>
      <c r="AQ238" s="5"/>
      <c r="AR238" s="5" t="s">
        <v>74</v>
      </c>
      <c r="AS238" s="5" t="s">
        <v>74</v>
      </c>
      <c r="AT238" s="5" t="s">
        <v>74</v>
      </c>
      <c r="AU238" s="5" t="s">
        <v>74</v>
      </c>
      <c r="AV238" s="5" t="s">
        <v>74</v>
      </c>
      <c r="AW238" s="5" t="s">
        <v>74</v>
      </c>
      <c r="AX238" s="5" t="s">
        <v>74</v>
      </c>
      <c r="AY238" s="5" t="s">
        <v>74</v>
      </c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 t="s">
        <v>74</v>
      </c>
      <c r="BQ238" s="5" t="s">
        <v>74</v>
      </c>
      <c r="BR238" s="5" t="s">
        <v>74</v>
      </c>
      <c r="BS238" s="5"/>
      <c r="BT238" s="5" t="s">
        <v>74</v>
      </c>
      <c r="BU238" s="6" t="s">
        <v>51</v>
      </c>
      <c r="BV238" s="5" t="s">
        <v>74</v>
      </c>
      <c r="BW238" s="5"/>
      <c r="BX238" s="5" t="s">
        <v>74</v>
      </c>
      <c r="BY238" s="5"/>
      <c r="BZ238" s="5"/>
      <c r="CA238" s="10" t="s">
        <v>74</v>
      </c>
      <c r="CB238" s="5" t="s">
        <v>74</v>
      </c>
      <c r="CC238" s="5" t="s">
        <v>74</v>
      </c>
      <c r="CD238" s="5" t="s">
        <v>74</v>
      </c>
      <c r="CE238" s="5" t="s">
        <v>74</v>
      </c>
      <c r="CF238" s="8"/>
      <c r="CG238" s="5"/>
      <c r="CH238" s="5" t="s">
        <v>74</v>
      </c>
      <c r="CI238" s="5" t="s">
        <v>74</v>
      </c>
      <c r="CJ238" s="8" t="s">
        <v>74</v>
      </c>
      <c r="CK238" s="5"/>
      <c r="CL238" s="5" t="s">
        <v>74</v>
      </c>
      <c r="CM238" s="5" t="s">
        <v>74</v>
      </c>
      <c r="CN238" s="5" t="s">
        <v>74</v>
      </c>
      <c r="CO238" s="5"/>
      <c r="CP238" s="5" t="s">
        <v>74</v>
      </c>
    </row>
    <row r="239" spans="1:94" ht="25.25" customHeight="1">
      <c r="A239" s="5">
        <v>238</v>
      </c>
      <c r="B239" s="9" t="s">
        <v>313</v>
      </c>
      <c r="C239" s="9">
        <v>2024202129</v>
      </c>
      <c r="D239" s="5" t="s">
        <v>135</v>
      </c>
      <c r="E239" s="5">
        <f>SUM(G239:$XET239)</f>
        <v>38.5</v>
      </c>
      <c r="F239" s="5">
        <f>COUNT(G239:$XFD239)</f>
        <v>6</v>
      </c>
      <c r="G239" s="5"/>
      <c r="H239" s="5"/>
      <c r="I239" s="5"/>
      <c r="J239" s="5"/>
      <c r="K239" s="5">
        <v>9</v>
      </c>
      <c r="L239" s="5"/>
      <c r="M239" s="5"/>
      <c r="N239" s="5"/>
      <c r="O239" s="5"/>
      <c r="P239" s="5"/>
      <c r="Q239" s="5">
        <v>3</v>
      </c>
      <c r="R239" s="5"/>
      <c r="S239" s="5"/>
      <c r="T239" s="5"/>
      <c r="U239" s="5"/>
      <c r="V239" s="5"/>
      <c r="W239" s="5"/>
      <c r="X239" s="5">
        <v>6</v>
      </c>
      <c r="Y239" s="5"/>
      <c r="Z239" s="5"/>
      <c r="AA239" s="5"/>
      <c r="AB239" s="5">
        <v>4.5</v>
      </c>
      <c r="AC239" s="5" t="s">
        <v>74</v>
      </c>
      <c r="AD239" s="5"/>
      <c r="AE239" s="5"/>
      <c r="AF239" s="5"/>
      <c r="AG239" s="5" t="s">
        <v>74</v>
      </c>
      <c r="AH239" s="5" t="s">
        <v>74</v>
      </c>
      <c r="AI239" s="5" t="s">
        <v>74</v>
      </c>
      <c r="AJ239" s="5" t="s">
        <v>74</v>
      </c>
      <c r="AK239" s="5">
        <v>4</v>
      </c>
      <c r="AL239" s="5"/>
      <c r="AM239" s="5"/>
      <c r="AN239" s="5"/>
      <c r="AO239" s="5"/>
      <c r="AP239" s="5"/>
      <c r="AQ239" s="5"/>
      <c r="AR239" s="5" t="s">
        <v>74</v>
      </c>
      <c r="AS239" s="5">
        <v>12</v>
      </c>
      <c r="AT239" s="5" t="s">
        <v>74</v>
      </c>
      <c r="AU239" s="5" t="s">
        <v>74</v>
      </c>
      <c r="AV239" s="5" t="s">
        <v>74</v>
      </c>
      <c r="AW239" s="5" t="s">
        <v>74</v>
      </c>
      <c r="AX239" s="5" t="s">
        <v>74</v>
      </c>
      <c r="AY239" s="5" t="s">
        <v>74</v>
      </c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 t="s">
        <v>74</v>
      </c>
      <c r="BQ239" s="5" t="s">
        <v>74</v>
      </c>
      <c r="BR239" s="5" t="s">
        <v>74</v>
      </c>
      <c r="BS239" s="5"/>
      <c r="BT239" s="5" t="s">
        <v>74</v>
      </c>
      <c r="BU239" s="6" t="s">
        <v>51</v>
      </c>
      <c r="BV239" s="5" t="s">
        <v>74</v>
      </c>
      <c r="BW239" s="5"/>
      <c r="BX239" s="5" t="s">
        <v>74</v>
      </c>
      <c r="BY239" s="5"/>
      <c r="BZ239" s="5"/>
      <c r="CA239" s="10" t="s">
        <v>74</v>
      </c>
      <c r="CB239" s="5" t="s">
        <v>74</v>
      </c>
      <c r="CC239" s="5" t="s">
        <v>74</v>
      </c>
      <c r="CD239" s="5" t="s">
        <v>74</v>
      </c>
      <c r="CE239" s="5" t="s">
        <v>74</v>
      </c>
      <c r="CF239" s="8"/>
      <c r="CG239" s="5"/>
      <c r="CH239" s="5" t="s">
        <v>74</v>
      </c>
      <c r="CI239" s="5" t="s">
        <v>74</v>
      </c>
      <c r="CJ239" s="8" t="s">
        <v>74</v>
      </c>
      <c r="CK239" s="5"/>
      <c r="CL239" s="5" t="s">
        <v>74</v>
      </c>
      <c r="CM239" s="5" t="s">
        <v>74</v>
      </c>
      <c r="CN239" s="5" t="s">
        <v>74</v>
      </c>
      <c r="CO239" s="5"/>
      <c r="CP239" s="5" t="s">
        <v>74</v>
      </c>
    </row>
    <row r="240" spans="1:94" ht="25.25" customHeight="1">
      <c r="A240" s="5">
        <v>239</v>
      </c>
      <c r="B240" s="9" t="s">
        <v>314</v>
      </c>
      <c r="C240" s="9">
        <v>2024202142</v>
      </c>
      <c r="D240" s="5" t="s">
        <v>135</v>
      </c>
      <c r="E240" s="5">
        <f>SUM(G240:$XET240)</f>
        <v>14</v>
      </c>
      <c r="F240" s="5">
        <f>COUNT(G240:$XFD240)</f>
        <v>3</v>
      </c>
      <c r="G240" s="5"/>
      <c r="H240" s="5"/>
      <c r="I240" s="5">
        <v>4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>
        <v>6</v>
      </c>
      <c r="Y240" s="5"/>
      <c r="Z240" s="5"/>
      <c r="AA240" s="5"/>
      <c r="AB240" s="5" t="s">
        <v>74</v>
      </c>
      <c r="AC240" s="5" t="s">
        <v>74</v>
      </c>
      <c r="AD240" s="5"/>
      <c r="AE240" s="5"/>
      <c r="AF240" s="5"/>
      <c r="AG240" s="5" t="s">
        <v>74</v>
      </c>
      <c r="AH240" s="5" t="s">
        <v>74</v>
      </c>
      <c r="AI240" s="5" t="s">
        <v>74</v>
      </c>
      <c r="AJ240" s="5" t="s">
        <v>74</v>
      </c>
      <c r="AK240" s="5">
        <v>4</v>
      </c>
      <c r="AL240" s="5"/>
      <c r="AM240" s="5"/>
      <c r="AN240" s="5"/>
      <c r="AO240" s="5"/>
      <c r="AP240" s="5"/>
      <c r="AQ240" s="5"/>
      <c r="AR240" s="5" t="s">
        <v>74</v>
      </c>
      <c r="AS240" s="5" t="s">
        <v>74</v>
      </c>
      <c r="AT240" s="5" t="s">
        <v>74</v>
      </c>
      <c r="AU240" s="5" t="s">
        <v>74</v>
      </c>
      <c r="AV240" s="5" t="s">
        <v>74</v>
      </c>
      <c r="AW240" s="5" t="s">
        <v>74</v>
      </c>
      <c r="AX240" s="5" t="s">
        <v>74</v>
      </c>
      <c r="AY240" s="5" t="s">
        <v>74</v>
      </c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 t="s">
        <v>74</v>
      </c>
      <c r="BQ240" s="5" t="s">
        <v>74</v>
      </c>
      <c r="BR240" s="5" t="s">
        <v>74</v>
      </c>
      <c r="BS240" s="5"/>
      <c r="BT240" s="5" t="s">
        <v>74</v>
      </c>
      <c r="BU240" s="6" t="s">
        <v>51</v>
      </c>
      <c r="BV240" s="5" t="s">
        <v>74</v>
      </c>
      <c r="BW240" s="5"/>
      <c r="BX240" s="5" t="s">
        <v>74</v>
      </c>
      <c r="BY240" s="5"/>
      <c r="BZ240" s="5"/>
      <c r="CA240" s="10" t="s">
        <v>74</v>
      </c>
      <c r="CB240" s="5" t="s">
        <v>74</v>
      </c>
      <c r="CC240" s="5" t="s">
        <v>74</v>
      </c>
      <c r="CD240" s="5" t="s">
        <v>74</v>
      </c>
      <c r="CE240" s="5" t="s">
        <v>74</v>
      </c>
      <c r="CF240" s="8"/>
      <c r="CG240" s="5"/>
      <c r="CH240" s="5" t="s">
        <v>74</v>
      </c>
      <c r="CI240" s="5" t="s">
        <v>74</v>
      </c>
      <c r="CJ240" s="8" t="s">
        <v>74</v>
      </c>
      <c r="CK240" s="5"/>
      <c r="CL240" s="5" t="s">
        <v>74</v>
      </c>
      <c r="CM240" s="5" t="s">
        <v>74</v>
      </c>
      <c r="CN240" s="5" t="s">
        <v>74</v>
      </c>
      <c r="CO240" s="5"/>
      <c r="CP240" s="5" t="s">
        <v>74</v>
      </c>
    </row>
    <row r="241" spans="1:94" ht="25.25" customHeight="1">
      <c r="A241" s="5">
        <v>240</v>
      </c>
      <c r="B241" s="9" t="s">
        <v>315</v>
      </c>
      <c r="C241" s="9">
        <v>2024202156</v>
      </c>
      <c r="D241" s="5" t="s">
        <v>135</v>
      </c>
      <c r="E241" s="5">
        <f>SUM(G241:$XET241)</f>
        <v>26.5</v>
      </c>
      <c r="F241" s="5">
        <f>COUNT(G241:$XFD241)</f>
        <v>5</v>
      </c>
      <c r="G241" s="5"/>
      <c r="H241" s="5"/>
      <c r="I241" s="5"/>
      <c r="J241" s="5"/>
      <c r="K241" s="5">
        <v>10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>
        <v>6</v>
      </c>
      <c r="Y241" s="5"/>
      <c r="Z241" s="5"/>
      <c r="AA241" s="5"/>
      <c r="AB241" s="5">
        <v>4.5</v>
      </c>
      <c r="AC241" s="5">
        <v>2</v>
      </c>
      <c r="AD241" s="5"/>
      <c r="AE241" s="5"/>
      <c r="AF241" s="5"/>
      <c r="AG241" s="5" t="s">
        <v>74</v>
      </c>
      <c r="AH241" s="5" t="s">
        <v>74</v>
      </c>
      <c r="AI241" s="5" t="s">
        <v>74</v>
      </c>
      <c r="AJ241" s="5" t="s">
        <v>74</v>
      </c>
      <c r="AK241" s="5">
        <v>4</v>
      </c>
      <c r="AL241" s="5"/>
      <c r="AM241" s="5"/>
      <c r="AN241" s="5"/>
      <c r="AO241" s="5"/>
      <c r="AP241" s="5"/>
      <c r="AQ241" s="5"/>
      <c r="AR241" s="5" t="s">
        <v>74</v>
      </c>
      <c r="AS241" s="5" t="s">
        <v>74</v>
      </c>
      <c r="AT241" s="5" t="s">
        <v>74</v>
      </c>
      <c r="AU241" s="5" t="s">
        <v>74</v>
      </c>
      <c r="AV241" s="5" t="s">
        <v>74</v>
      </c>
      <c r="AW241" s="5" t="s">
        <v>74</v>
      </c>
      <c r="AX241" s="5" t="s">
        <v>74</v>
      </c>
      <c r="AY241" s="5" t="s">
        <v>74</v>
      </c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 t="s">
        <v>74</v>
      </c>
      <c r="BQ241" s="5" t="s">
        <v>74</v>
      </c>
      <c r="BR241" s="5" t="s">
        <v>74</v>
      </c>
      <c r="BS241" s="5"/>
      <c r="BT241" s="5" t="s">
        <v>74</v>
      </c>
      <c r="BU241" s="6" t="s">
        <v>51</v>
      </c>
      <c r="BV241" s="5" t="s">
        <v>74</v>
      </c>
      <c r="BW241" s="5"/>
      <c r="BX241" s="5" t="s">
        <v>74</v>
      </c>
      <c r="BY241" s="5"/>
      <c r="BZ241" s="5"/>
      <c r="CA241" s="10" t="s">
        <v>74</v>
      </c>
      <c r="CB241" s="5" t="s">
        <v>74</v>
      </c>
      <c r="CC241" s="5" t="s">
        <v>74</v>
      </c>
      <c r="CD241" s="5" t="s">
        <v>74</v>
      </c>
      <c r="CE241" s="5" t="s">
        <v>74</v>
      </c>
      <c r="CF241" s="8"/>
      <c r="CG241" s="5"/>
      <c r="CH241" s="5" t="s">
        <v>74</v>
      </c>
      <c r="CI241" s="5" t="s">
        <v>74</v>
      </c>
      <c r="CJ241" s="8" t="s">
        <v>74</v>
      </c>
      <c r="CK241" s="5"/>
      <c r="CL241" s="5" t="s">
        <v>74</v>
      </c>
      <c r="CM241" s="5" t="s">
        <v>74</v>
      </c>
      <c r="CN241" s="5" t="s">
        <v>74</v>
      </c>
      <c r="CO241" s="5"/>
      <c r="CP241" s="5" t="s">
        <v>74</v>
      </c>
    </row>
    <row r="242" spans="1:94" ht="25.25" customHeight="1">
      <c r="A242" s="5">
        <v>241</v>
      </c>
      <c r="B242" s="9" t="s">
        <v>316</v>
      </c>
      <c r="C242" s="9">
        <v>2024202158</v>
      </c>
      <c r="D242" s="5" t="s">
        <v>135</v>
      </c>
      <c r="E242" s="5">
        <f>SUM(G242:$XET242)</f>
        <v>22</v>
      </c>
      <c r="F242" s="5">
        <f>COUNT(G242:$XFD242)</f>
        <v>7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 t="s">
        <v>74</v>
      </c>
      <c r="AC242" s="5" t="s">
        <v>74</v>
      </c>
      <c r="AD242" s="5"/>
      <c r="AE242" s="5"/>
      <c r="AF242" s="5"/>
      <c r="AG242" s="5" t="s">
        <v>74</v>
      </c>
      <c r="AH242" s="5" t="s">
        <v>74</v>
      </c>
      <c r="AI242" s="5" t="s">
        <v>74</v>
      </c>
      <c r="AJ242" s="5">
        <v>2</v>
      </c>
      <c r="AK242" s="5">
        <v>4</v>
      </c>
      <c r="AL242" s="5"/>
      <c r="AM242" s="5"/>
      <c r="AN242" s="5"/>
      <c r="AO242" s="5"/>
      <c r="AP242" s="5"/>
      <c r="AQ242" s="5"/>
      <c r="AR242" s="5" t="s">
        <v>74</v>
      </c>
      <c r="AS242" s="5" t="s">
        <v>74</v>
      </c>
      <c r="AT242" s="5" t="s">
        <v>74</v>
      </c>
      <c r="AU242" s="5" t="s">
        <v>74</v>
      </c>
      <c r="AV242" s="5" t="s">
        <v>74</v>
      </c>
      <c r="AW242" s="5" t="s">
        <v>74</v>
      </c>
      <c r="AX242" s="5" t="s">
        <v>74</v>
      </c>
      <c r="AY242" s="5">
        <v>5</v>
      </c>
      <c r="AZ242" s="5">
        <v>0</v>
      </c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 t="s">
        <v>74</v>
      </c>
      <c r="BQ242" s="5" t="s">
        <v>74</v>
      </c>
      <c r="BR242" s="5" t="s">
        <v>74</v>
      </c>
      <c r="BS242" s="5"/>
      <c r="BT242" s="5" t="s">
        <v>74</v>
      </c>
      <c r="BU242" s="6" t="s">
        <v>51</v>
      </c>
      <c r="BV242" s="5" t="s">
        <v>74</v>
      </c>
      <c r="BW242" s="5"/>
      <c r="BX242" s="5" t="s">
        <v>74</v>
      </c>
      <c r="BY242" s="5"/>
      <c r="BZ242" s="5"/>
      <c r="CA242" s="10" t="s">
        <v>74</v>
      </c>
      <c r="CB242" s="5" t="s">
        <v>74</v>
      </c>
      <c r="CC242" s="5" t="s">
        <v>74</v>
      </c>
      <c r="CD242" s="5" t="s">
        <v>74</v>
      </c>
      <c r="CE242" s="5">
        <v>2</v>
      </c>
      <c r="CF242" s="8"/>
      <c r="CG242" s="5"/>
      <c r="CH242" s="5" t="s">
        <v>74</v>
      </c>
      <c r="CI242" s="5" t="s">
        <v>74</v>
      </c>
      <c r="CJ242" s="8" t="s">
        <v>74</v>
      </c>
      <c r="CK242" s="5">
        <v>4</v>
      </c>
      <c r="CL242" s="5" t="s">
        <v>74</v>
      </c>
      <c r="CM242" s="5" t="s">
        <v>74</v>
      </c>
      <c r="CN242" s="5">
        <v>5</v>
      </c>
      <c r="CO242" s="5"/>
      <c r="CP242" s="5" t="s">
        <v>74</v>
      </c>
    </row>
    <row r="243" spans="1:94" ht="25.25" customHeight="1">
      <c r="A243" s="5">
        <v>242</v>
      </c>
      <c r="B243" s="9" t="s">
        <v>317</v>
      </c>
      <c r="C243" s="9">
        <v>2024202189</v>
      </c>
      <c r="D243" s="5" t="s">
        <v>135</v>
      </c>
      <c r="E243" s="5">
        <f>SUM(G243:$XET243)</f>
        <v>40</v>
      </c>
      <c r="F243" s="5">
        <f>COUNT(G243:$XFD243)</f>
        <v>6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>
        <v>3</v>
      </c>
      <c r="R243" s="5"/>
      <c r="S243" s="5"/>
      <c r="T243" s="5"/>
      <c r="U243" s="5"/>
      <c r="V243" s="5"/>
      <c r="W243" s="5">
        <v>7</v>
      </c>
      <c r="X243" s="5">
        <v>21</v>
      </c>
      <c r="Y243" s="5"/>
      <c r="Z243" s="5"/>
      <c r="AA243" s="5"/>
      <c r="AB243" s="5" t="s">
        <v>74</v>
      </c>
      <c r="AC243" s="5" t="s">
        <v>74</v>
      </c>
      <c r="AD243" s="5"/>
      <c r="AE243" s="5"/>
      <c r="AF243" s="5"/>
      <c r="AG243" s="5" t="s">
        <v>74</v>
      </c>
      <c r="AH243" s="5" t="s">
        <v>74</v>
      </c>
      <c r="AI243" s="5" t="s">
        <v>74</v>
      </c>
      <c r="AJ243" s="5" t="s">
        <v>74</v>
      </c>
      <c r="AK243" s="5" t="s">
        <v>74</v>
      </c>
      <c r="AL243" s="5"/>
      <c r="AM243" s="5"/>
      <c r="AN243" s="5"/>
      <c r="AO243" s="5"/>
      <c r="AP243" s="5"/>
      <c r="AQ243" s="5"/>
      <c r="AR243" s="5" t="s">
        <v>74</v>
      </c>
      <c r="AS243" s="5" t="s">
        <v>74</v>
      </c>
      <c r="AT243" s="5" t="s">
        <v>74</v>
      </c>
      <c r="AU243" s="5" t="s">
        <v>74</v>
      </c>
      <c r="AV243" s="5" t="s">
        <v>74</v>
      </c>
      <c r="AW243" s="5" t="s">
        <v>74</v>
      </c>
      <c r="AX243" s="5" t="s">
        <v>74</v>
      </c>
      <c r="AY243" s="5" t="s">
        <v>74</v>
      </c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 t="s">
        <v>74</v>
      </c>
      <c r="BQ243" s="5" t="s">
        <v>74</v>
      </c>
      <c r="BR243" s="5" t="s">
        <v>74</v>
      </c>
      <c r="BS243" s="5"/>
      <c r="BT243" s="5" t="s">
        <v>74</v>
      </c>
      <c r="BU243" s="6" t="s">
        <v>51</v>
      </c>
      <c r="BV243" s="5">
        <v>1</v>
      </c>
      <c r="BW243" s="5"/>
      <c r="BX243" s="5" t="s">
        <v>74</v>
      </c>
      <c r="BY243" s="5"/>
      <c r="BZ243" s="5"/>
      <c r="CA243" s="10" t="s">
        <v>74</v>
      </c>
      <c r="CB243" s="5" t="s">
        <v>74</v>
      </c>
      <c r="CC243" s="5" t="s">
        <v>74</v>
      </c>
      <c r="CD243" s="5" t="s">
        <v>74</v>
      </c>
      <c r="CE243" s="5" t="s">
        <v>74</v>
      </c>
      <c r="CF243" s="8"/>
      <c r="CG243" s="5"/>
      <c r="CH243" s="5" t="s">
        <v>74</v>
      </c>
      <c r="CI243" s="5" t="s">
        <v>74</v>
      </c>
      <c r="CJ243" s="8">
        <v>4</v>
      </c>
      <c r="CK243" s="5">
        <v>4</v>
      </c>
      <c r="CL243" s="5" t="s">
        <v>74</v>
      </c>
      <c r="CM243" s="5" t="s">
        <v>74</v>
      </c>
      <c r="CN243" s="5" t="s">
        <v>74</v>
      </c>
      <c r="CO243" s="5"/>
      <c r="CP243" s="5" t="s">
        <v>74</v>
      </c>
    </row>
    <row r="244" spans="1:94" ht="25.25" customHeight="1">
      <c r="A244" s="5">
        <v>243</v>
      </c>
      <c r="B244" s="9" t="s">
        <v>318</v>
      </c>
      <c r="C244" s="9">
        <v>2024202198</v>
      </c>
      <c r="D244" s="5" t="s">
        <v>135</v>
      </c>
      <c r="E244" s="5">
        <f>SUM(G244:$XET244)</f>
        <v>60</v>
      </c>
      <c r="F244" s="5">
        <f>COUNT(G244:$XFD244)</f>
        <v>10</v>
      </c>
      <c r="G244" s="5"/>
      <c r="H244" s="5"/>
      <c r="I244" s="5">
        <v>4</v>
      </c>
      <c r="J244" s="5"/>
      <c r="K244" s="5"/>
      <c r="L244" s="5">
        <v>1</v>
      </c>
      <c r="M244" s="5"/>
      <c r="N244" s="5"/>
      <c r="O244" s="5"/>
      <c r="P244" s="5"/>
      <c r="Q244" s="5"/>
      <c r="R244" s="5"/>
      <c r="S244" s="5"/>
      <c r="T244" s="5">
        <v>16</v>
      </c>
      <c r="U244" s="5"/>
      <c r="V244" s="5"/>
      <c r="W244" s="5"/>
      <c r="X244" s="5"/>
      <c r="Y244" s="5"/>
      <c r="Z244" s="5"/>
      <c r="AA244" s="5"/>
      <c r="AB244" s="5" t="s">
        <v>74</v>
      </c>
      <c r="AC244" s="5" t="s">
        <v>74</v>
      </c>
      <c r="AD244" s="5"/>
      <c r="AE244" s="5"/>
      <c r="AF244" s="5"/>
      <c r="AG244" s="5" t="s">
        <v>74</v>
      </c>
      <c r="AH244" s="5">
        <v>4.5</v>
      </c>
      <c r="AI244" s="5" t="s">
        <v>74</v>
      </c>
      <c r="AJ244" s="5" t="s">
        <v>74</v>
      </c>
      <c r="AK244" s="5">
        <v>4</v>
      </c>
      <c r="AL244" s="5"/>
      <c r="AM244" s="5"/>
      <c r="AN244" s="5"/>
      <c r="AO244" s="5"/>
      <c r="AP244" s="5"/>
      <c r="AQ244" s="5"/>
      <c r="AR244" s="5" t="s">
        <v>74</v>
      </c>
      <c r="AS244" s="5" t="s">
        <v>74</v>
      </c>
      <c r="AT244" s="5" t="s">
        <v>74</v>
      </c>
      <c r="AU244" s="5" t="s">
        <v>74</v>
      </c>
      <c r="AV244" s="5">
        <v>2</v>
      </c>
      <c r="AW244" s="5" t="s">
        <v>74</v>
      </c>
      <c r="AX244" s="5" t="s">
        <v>74</v>
      </c>
      <c r="AY244" s="5" t="s">
        <v>74</v>
      </c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 t="s">
        <v>74</v>
      </c>
      <c r="BQ244" s="5" t="s">
        <v>74</v>
      </c>
      <c r="BR244" s="5" t="s">
        <v>74</v>
      </c>
      <c r="BS244" s="5"/>
      <c r="BT244" s="5" t="s">
        <v>74</v>
      </c>
      <c r="BU244" s="6" t="s">
        <v>51</v>
      </c>
      <c r="BV244" s="5" t="s">
        <v>74</v>
      </c>
      <c r="BW244" s="5"/>
      <c r="BX244" s="5">
        <v>6.5</v>
      </c>
      <c r="BY244" s="5"/>
      <c r="BZ244" s="5"/>
      <c r="CA244" s="10" t="s">
        <v>74</v>
      </c>
      <c r="CB244" s="5" t="s">
        <v>74</v>
      </c>
      <c r="CC244" s="5" t="s">
        <v>74</v>
      </c>
      <c r="CD244" s="5" t="s">
        <v>74</v>
      </c>
      <c r="CE244" s="5">
        <v>2</v>
      </c>
      <c r="CF244" s="8"/>
      <c r="CG244" s="5"/>
      <c r="CH244" s="5" t="s">
        <v>74</v>
      </c>
      <c r="CI244" s="5">
        <v>16</v>
      </c>
      <c r="CJ244" s="8" t="s">
        <v>74</v>
      </c>
      <c r="CK244" s="5"/>
      <c r="CL244" s="5">
        <v>4</v>
      </c>
      <c r="CM244" s="5" t="s">
        <v>74</v>
      </c>
      <c r="CN244" s="5" t="s">
        <v>74</v>
      </c>
      <c r="CO244" s="5"/>
      <c r="CP244" s="5" t="s">
        <v>74</v>
      </c>
    </row>
    <row r="245" spans="1:94" ht="25.25" customHeight="1">
      <c r="A245" s="5">
        <v>244</v>
      </c>
      <c r="B245" s="9" t="s">
        <v>319</v>
      </c>
      <c r="C245" s="9">
        <v>2024202224</v>
      </c>
      <c r="D245" s="5" t="s">
        <v>135</v>
      </c>
      <c r="E245" s="5">
        <f>SUM(G245:$XET245)</f>
        <v>41</v>
      </c>
      <c r="F245" s="5">
        <f>COUNT(G245:$XFD245)</f>
        <v>9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>
        <v>12</v>
      </c>
      <c r="Y245" s="5"/>
      <c r="Z245" s="5"/>
      <c r="AA245" s="5"/>
      <c r="AB245" s="5" t="s">
        <v>74</v>
      </c>
      <c r="AC245" s="5" t="s">
        <v>74</v>
      </c>
      <c r="AD245" s="5"/>
      <c r="AE245" s="5"/>
      <c r="AF245" s="5"/>
      <c r="AG245" s="5" t="s">
        <v>74</v>
      </c>
      <c r="AH245" s="5" t="s">
        <v>74</v>
      </c>
      <c r="AI245" s="5" t="s">
        <v>74</v>
      </c>
      <c r="AJ245" s="5" t="s">
        <v>74</v>
      </c>
      <c r="AK245" s="5" t="s">
        <v>74</v>
      </c>
      <c r="AL245" s="5"/>
      <c r="AM245" s="5"/>
      <c r="AN245" s="5"/>
      <c r="AO245" s="5"/>
      <c r="AP245" s="5"/>
      <c r="AQ245" s="5"/>
      <c r="AR245" s="5" t="s">
        <v>74</v>
      </c>
      <c r="AS245" s="5" t="s">
        <v>74</v>
      </c>
      <c r="AT245" s="5" t="s">
        <v>74</v>
      </c>
      <c r="AU245" s="5">
        <v>5</v>
      </c>
      <c r="AV245" s="5" t="s">
        <v>74</v>
      </c>
      <c r="AW245" s="5" t="s">
        <v>74</v>
      </c>
      <c r="AX245" s="5" t="s">
        <v>74</v>
      </c>
      <c r="AY245" s="5">
        <v>6</v>
      </c>
      <c r="AZ245" s="5">
        <v>0</v>
      </c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 t="s">
        <v>74</v>
      </c>
      <c r="BQ245" s="5" t="s">
        <v>74</v>
      </c>
      <c r="BR245" s="5">
        <v>6</v>
      </c>
      <c r="BS245" s="5"/>
      <c r="BT245" s="5" t="s">
        <v>74</v>
      </c>
      <c r="BU245" s="6" t="s">
        <v>51</v>
      </c>
      <c r="BV245" s="5">
        <v>1</v>
      </c>
      <c r="BW245" s="5"/>
      <c r="BX245" s="5">
        <v>5</v>
      </c>
      <c r="BY245" s="5"/>
      <c r="BZ245" s="5"/>
      <c r="CA245" s="10" t="s">
        <v>74</v>
      </c>
      <c r="CB245" s="5" t="s">
        <v>74</v>
      </c>
      <c r="CC245" s="5" t="s">
        <v>74</v>
      </c>
      <c r="CD245" s="5" t="s">
        <v>74</v>
      </c>
      <c r="CE245" s="5">
        <v>2</v>
      </c>
      <c r="CF245" s="8"/>
      <c r="CG245" s="5"/>
      <c r="CH245" s="5" t="s">
        <v>74</v>
      </c>
      <c r="CI245" s="5" t="s">
        <v>74</v>
      </c>
      <c r="CJ245" s="8" t="s">
        <v>74</v>
      </c>
      <c r="CK245" s="5">
        <v>4</v>
      </c>
      <c r="CL245" s="5" t="s">
        <v>74</v>
      </c>
      <c r="CM245" s="5" t="s">
        <v>74</v>
      </c>
      <c r="CN245" s="5" t="s">
        <v>74</v>
      </c>
      <c r="CO245" s="5"/>
      <c r="CP245" s="5" t="s">
        <v>74</v>
      </c>
    </row>
    <row r="246" spans="1:94" ht="25.25" customHeight="1">
      <c r="A246" s="5">
        <v>245</v>
      </c>
      <c r="B246" s="9" t="s">
        <v>320</v>
      </c>
      <c r="C246" s="9">
        <v>2024202160</v>
      </c>
      <c r="D246" s="5" t="s">
        <v>135</v>
      </c>
      <c r="E246" s="5">
        <f>SUM(G246:$XET246)</f>
        <v>150.5</v>
      </c>
      <c r="F246" s="5">
        <f>COUNT(G246:$XFD246)</f>
        <v>9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>
        <v>4</v>
      </c>
      <c r="X246" s="5">
        <v>10</v>
      </c>
      <c r="Y246" s="5"/>
      <c r="Z246" s="5"/>
      <c r="AA246" s="5"/>
      <c r="AB246" s="5">
        <v>6.5</v>
      </c>
      <c r="AC246" s="5" t="s">
        <v>74</v>
      </c>
      <c r="AD246" s="5"/>
      <c r="AE246" s="5"/>
      <c r="AF246" s="5"/>
      <c r="AG246" s="5" t="s">
        <v>74</v>
      </c>
      <c r="AH246" s="5" t="s">
        <v>74</v>
      </c>
      <c r="AI246" s="5" t="s">
        <v>74</v>
      </c>
      <c r="AJ246" s="5">
        <v>4</v>
      </c>
      <c r="AK246" s="5">
        <v>4</v>
      </c>
      <c r="AL246" s="5"/>
      <c r="AM246" s="5"/>
      <c r="AN246" s="5"/>
      <c r="AO246" s="5"/>
      <c r="AP246" s="5"/>
      <c r="AQ246" s="5"/>
      <c r="AR246" s="5" t="s">
        <v>74</v>
      </c>
      <c r="AS246" s="5" t="s">
        <v>74</v>
      </c>
      <c r="AT246" s="5" t="s">
        <v>74</v>
      </c>
      <c r="AU246" s="5" t="s">
        <v>74</v>
      </c>
      <c r="AV246" s="5" t="s">
        <v>74</v>
      </c>
      <c r="AW246" s="5" t="s">
        <v>74</v>
      </c>
      <c r="AX246" s="5" t="s">
        <v>74</v>
      </c>
      <c r="AY246" s="5">
        <v>35</v>
      </c>
      <c r="AZ246" s="5">
        <v>0</v>
      </c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 t="s">
        <v>74</v>
      </c>
      <c r="BQ246" s="5" t="s">
        <v>74</v>
      </c>
      <c r="BR246" s="5">
        <v>77</v>
      </c>
      <c r="BS246" s="5"/>
      <c r="BT246" s="5" t="s">
        <v>74</v>
      </c>
      <c r="BU246" s="6" t="s">
        <v>51</v>
      </c>
      <c r="BV246" s="5" t="s">
        <v>74</v>
      </c>
      <c r="BW246" s="5"/>
      <c r="BX246" s="5" t="s">
        <v>74</v>
      </c>
      <c r="BY246" s="5"/>
      <c r="BZ246" s="5"/>
      <c r="CA246" s="10" t="s">
        <v>74</v>
      </c>
      <c r="CB246" s="5" t="s">
        <v>74</v>
      </c>
      <c r="CC246" s="5" t="s">
        <v>74</v>
      </c>
      <c r="CD246" s="5" t="s">
        <v>74</v>
      </c>
      <c r="CE246" s="5" t="s">
        <v>74</v>
      </c>
      <c r="CF246" s="8"/>
      <c r="CG246" s="5"/>
      <c r="CH246" s="5" t="s">
        <v>74</v>
      </c>
      <c r="CI246" s="5" t="s">
        <v>74</v>
      </c>
      <c r="CJ246" s="8">
        <v>10</v>
      </c>
      <c r="CK246" s="5"/>
      <c r="CL246" s="5" t="s">
        <v>74</v>
      </c>
      <c r="CM246" s="5" t="s">
        <v>74</v>
      </c>
      <c r="CN246" s="5" t="s">
        <v>74</v>
      </c>
      <c r="CO246" s="5"/>
      <c r="CP246" s="5" t="s">
        <v>74</v>
      </c>
    </row>
    <row r="247" spans="1:94" ht="25.25" customHeight="1">
      <c r="A247" s="5">
        <v>246</v>
      </c>
      <c r="B247" s="9" t="s">
        <v>321</v>
      </c>
      <c r="C247" s="9">
        <v>2024202237</v>
      </c>
      <c r="D247" s="5" t="s">
        <v>135</v>
      </c>
      <c r="E247" s="5">
        <f>SUM(G247:$XET247)</f>
        <v>26</v>
      </c>
      <c r="F247" s="5">
        <f>COUNT(G247:$XFD247)</f>
        <v>4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 t="s">
        <v>74</v>
      </c>
      <c r="AC247" s="5" t="s">
        <v>74</v>
      </c>
      <c r="AD247" s="5"/>
      <c r="AE247" s="5"/>
      <c r="AF247" s="5"/>
      <c r="AG247" s="5" t="s">
        <v>74</v>
      </c>
      <c r="AH247" s="5" t="s">
        <v>74</v>
      </c>
      <c r="AI247" s="5" t="s">
        <v>74</v>
      </c>
      <c r="AJ247" s="5" t="s">
        <v>74</v>
      </c>
      <c r="AK247" s="5" t="s">
        <v>74</v>
      </c>
      <c r="AL247" s="5"/>
      <c r="AM247" s="5"/>
      <c r="AN247" s="5"/>
      <c r="AO247" s="5"/>
      <c r="AP247" s="5"/>
      <c r="AQ247" s="5"/>
      <c r="AR247" s="5" t="s">
        <v>74</v>
      </c>
      <c r="AS247" s="5" t="s">
        <v>74</v>
      </c>
      <c r="AT247" s="5" t="s">
        <v>74</v>
      </c>
      <c r="AU247" s="5" t="s">
        <v>74</v>
      </c>
      <c r="AV247" s="5" t="s">
        <v>74</v>
      </c>
      <c r="AW247" s="5" t="s">
        <v>74</v>
      </c>
      <c r="AX247" s="5" t="s">
        <v>74</v>
      </c>
      <c r="AY247" s="5" t="s">
        <v>74</v>
      </c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 t="s">
        <v>74</v>
      </c>
      <c r="BQ247" s="5" t="s">
        <v>74</v>
      </c>
      <c r="BR247" s="5" t="s">
        <v>74</v>
      </c>
      <c r="BS247" s="5"/>
      <c r="BT247" s="5" t="s">
        <v>74</v>
      </c>
      <c r="BU247" s="6" t="s">
        <v>51</v>
      </c>
      <c r="BV247" s="5">
        <v>10</v>
      </c>
      <c r="BW247" s="5"/>
      <c r="BX247" s="5">
        <v>11</v>
      </c>
      <c r="BY247" s="5"/>
      <c r="BZ247" s="5"/>
      <c r="CA247" s="10">
        <v>4</v>
      </c>
      <c r="CB247" s="5" t="s">
        <v>74</v>
      </c>
      <c r="CC247" s="5" t="s">
        <v>74</v>
      </c>
      <c r="CD247" s="5" t="s">
        <v>74</v>
      </c>
      <c r="CE247" s="5">
        <v>1</v>
      </c>
      <c r="CF247" s="8"/>
      <c r="CG247" s="5"/>
      <c r="CH247" s="5" t="s">
        <v>74</v>
      </c>
      <c r="CI247" s="5" t="s">
        <v>74</v>
      </c>
      <c r="CJ247" s="8" t="s">
        <v>74</v>
      </c>
      <c r="CK247" s="5"/>
      <c r="CL247" s="5" t="s">
        <v>74</v>
      </c>
      <c r="CM247" s="5" t="s">
        <v>74</v>
      </c>
      <c r="CN247" s="5" t="s">
        <v>74</v>
      </c>
      <c r="CO247" s="5"/>
      <c r="CP247" s="5" t="s">
        <v>74</v>
      </c>
    </row>
    <row r="248" spans="1:94" ht="25.25" customHeight="1">
      <c r="A248" s="5">
        <v>247</v>
      </c>
      <c r="B248" s="9" t="s">
        <v>322</v>
      </c>
      <c r="C248" s="9">
        <v>2024202259</v>
      </c>
      <c r="D248" s="5" t="s">
        <v>135</v>
      </c>
      <c r="E248" s="5">
        <f>SUM(G248:$XET248)</f>
        <v>120.5</v>
      </c>
      <c r="F248" s="5">
        <f>COUNT(G248:$XFD248)</f>
        <v>8</v>
      </c>
      <c r="G248" s="5"/>
      <c r="H248" s="5"/>
      <c r="I248" s="5"/>
      <c r="J248" s="5"/>
      <c r="K248" s="5"/>
      <c r="L248" s="5"/>
      <c r="M248" s="5"/>
      <c r="N248" s="5"/>
      <c r="O248" s="5">
        <v>2</v>
      </c>
      <c r="P248" s="5">
        <v>6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 t="s">
        <v>74</v>
      </c>
      <c r="AC248" s="5" t="s">
        <v>74</v>
      </c>
      <c r="AD248" s="5"/>
      <c r="AE248" s="5"/>
      <c r="AF248" s="5"/>
      <c r="AG248" s="5" t="s">
        <v>74</v>
      </c>
      <c r="AH248" s="5" t="s">
        <v>74</v>
      </c>
      <c r="AI248" s="5" t="s">
        <v>74</v>
      </c>
      <c r="AJ248" s="5" t="s">
        <v>74</v>
      </c>
      <c r="AK248" s="5">
        <v>4</v>
      </c>
      <c r="AL248" s="5"/>
      <c r="AM248" s="5"/>
      <c r="AN248" s="5"/>
      <c r="AO248" s="5"/>
      <c r="AP248" s="5"/>
      <c r="AQ248" s="5"/>
      <c r="AR248" s="5" t="s">
        <v>74</v>
      </c>
      <c r="AS248" s="5" t="s">
        <v>74</v>
      </c>
      <c r="AT248" s="5" t="s">
        <v>74</v>
      </c>
      <c r="AU248" s="5" t="s">
        <v>74</v>
      </c>
      <c r="AV248" s="5" t="s">
        <v>74</v>
      </c>
      <c r="AW248" s="5">
        <v>6</v>
      </c>
      <c r="AX248" s="5" t="s">
        <v>74</v>
      </c>
      <c r="AY248" s="5">
        <v>5</v>
      </c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 t="s">
        <v>74</v>
      </c>
      <c r="BQ248" s="5" t="s">
        <v>74</v>
      </c>
      <c r="BR248" s="5">
        <v>93</v>
      </c>
      <c r="BS248" s="5"/>
      <c r="BT248" s="5" t="s">
        <v>74</v>
      </c>
      <c r="BU248" s="6" t="s">
        <v>51</v>
      </c>
      <c r="BV248" s="5" t="s">
        <v>74</v>
      </c>
      <c r="BW248" s="5"/>
      <c r="BX248" s="5" t="s">
        <v>74</v>
      </c>
      <c r="BY248" s="5"/>
      <c r="BZ248" s="5"/>
      <c r="CA248" s="10" t="s">
        <v>74</v>
      </c>
      <c r="CB248" s="5" t="s">
        <v>74</v>
      </c>
      <c r="CC248" s="5" t="s">
        <v>74</v>
      </c>
      <c r="CD248" s="5" t="s">
        <v>74</v>
      </c>
      <c r="CE248" s="5">
        <v>0.5</v>
      </c>
      <c r="CF248" s="8"/>
      <c r="CG248" s="5"/>
      <c r="CH248" s="5" t="s">
        <v>74</v>
      </c>
      <c r="CI248" s="5" t="s">
        <v>74</v>
      </c>
      <c r="CJ248" s="8" t="s">
        <v>74</v>
      </c>
      <c r="CK248" s="5">
        <v>4</v>
      </c>
      <c r="CL248" s="5" t="s">
        <v>74</v>
      </c>
      <c r="CM248" s="5" t="s">
        <v>74</v>
      </c>
      <c r="CN248" s="5" t="s">
        <v>74</v>
      </c>
      <c r="CO248" s="5"/>
      <c r="CP248" s="5" t="s">
        <v>74</v>
      </c>
    </row>
    <row r="249" spans="1:94" ht="25.25" customHeight="1">
      <c r="A249" s="5">
        <v>248</v>
      </c>
      <c r="B249" s="9" t="s">
        <v>323</v>
      </c>
      <c r="C249" s="9">
        <v>2024202880</v>
      </c>
      <c r="D249" s="5" t="s">
        <v>135</v>
      </c>
      <c r="E249" s="5">
        <f>SUM(G249:$XET249)</f>
        <v>27.5</v>
      </c>
      <c r="F249" s="5">
        <f>COUNT(G249:$XFD249)</f>
        <v>3</v>
      </c>
      <c r="G249" s="5"/>
      <c r="H249" s="5"/>
      <c r="I249" s="5">
        <v>4</v>
      </c>
      <c r="J249" s="5"/>
      <c r="K249" s="5">
        <v>9</v>
      </c>
      <c r="L249" s="5"/>
      <c r="M249" s="5"/>
      <c r="N249" s="5"/>
      <c r="O249" s="5"/>
      <c r="P249" s="5"/>
      <c r="Q249" s="5"/>
      <c r="R249" s="5">
        <v>14.5</v>
      </c>
      <c r="S249" s="5"/>
      <c r="T249" s="5"/>
      <c r="U249" s="5"/>
      <c r="V249" s="5"/>
      <c r="W249" s="5"/>
      <c r="X249" s="5"/>
      <c r="Y249" s="5"/>
      <c r="Z249" s="5"/>
      <c r="AA249" s="5"/>
      <c r="AB249" s="5" t="s">
        <v>74</v>
      </c>
      <c r="AC249" s="5" t="s">
        <v>74</v>
      </c>
      <c r="AD249" s="5"/>
      <c r="AE249" s="5"/>
      <c r="AF249" s="5"/>
      <c r="AG249" s="5" t="s">
        <v>74</v>
      </c>
      <c r="AH249" s="5" t="s">
        <v>74</v>
      </c>
      <c r="AI249" s="5" t="s">
        <v>74</v>
      </c>
      <c r="AJ249" s="5" t="s">
        <v>74</v>
      </c>
      <c r="AK249" s="5" t="s">
        <v>74</v>
      </c>
      <c r="AL249" s="5"/>
      <c r="AM249" s="5"/>
      <c r="AN249" s="5"/>
      <c r="AO249" s="5"/>
      <c r="AP249" s="5"/>
      <c r="AQ249" s="5"/>
      <c r="AR249" s="5" t="s">
        <v>74</v>
      </c>
      <c r="AS249" s="5" t="s">
        <v>74</v>
      </c>
      <c r="AT249" s="5" t="s">
        <v>74</v>
      </c>
      <c r="AU249" s="5" t="s">
        <v>74</v>
      </c>
      <c r="AV249" s="5" t="s">
        <v>74</v>
      </c>
      <c r="AW249" s="5" t="s">
        <v>74</v>
      </c>
      <c r="AX249" s="5" t="s">
        <v>74</v>
      </c>
      <c r="AY249" s="5" t="s">
        <v>74</v>
      </c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 t="s">
        <v>74</v>
      </c>
      <c r="BQ249" s="5" t="s">
        <v>74</v>
      </c>
      <c r="BR249" s="5" t="s">
        <v>74</v>
      </c>
      <c r="BS249" s="5"/>
      <c r="BT249" s="5" t="s">
        <v>74</v>
      </c>
      <c r="BU249" s="6" t="s">
        <v>51</v>
      </c>
      <c r="BV249" s="5" t="s">
        <v>74</v>
      </c>
      <c r="BW249" s="5"/>
      <c r="BX249" s="5" t="s">
        <v>74</v>
      </c>
      <c r="BY249" s="5"/>
      <c r="BZ249" s="5"/>
      <c r="CA249" s="10" t="s">
        <v>74</v>
      </c>
      <c r="CB249" s="5" t="s">
        <v>74</v>
      </c>
      <c r="CC249" s="5" t="s">
        <v>74</v>
      </c>
      <c r="CD249" s="5" t="s">
        <v>74</v>
      </c>
      <c r="CE249" s="5" t="s">
        <v>74</v>
      </c>
      <c r="CF249" s="8"/>
      <c r="CG249" s="5"/>
      <c r="CH249" s="5" t="s">
        <v>74</v>
      </c>
      <c r="CI249" s="5" t="s">
        <v>74</v>
      </c>
      <c r="CJ249" s="8" t="s">
        <v>74</v>
      </c>
      <c r="CK249" s="5"/>
      <c r="CL249" s="5" t="s">
        <v>74</v>
      </c>
      <c r="CM249" s="5" t="s">
        <v>74</v>
      </c>
      <c r="CN249" s="5" t="s">
        <v>74</v>
      </c>
      <c r="CO249" s="5"/>
      <c r="CP249" s="5" t="s">
        <v>74</v>
      </c>
    </row>
    <row r="250" spans="1:94" ht="25.25" customHeight="1">
      <c r="A250" s="5">
        <v>249</v>
      </c>
      <c r="B250" s="9" t="s">
        <v>324</v>
      </c>
      <c r="C250" s="9">
        <v>2024202165</v>
      </c>
      <c r="D250" s="5" t="s">
        <v>135</v>
      </c>
      <c r="E250" s="5">
        <f>SUM(G250:$XET250)</f>
        <v>10</v>
      </c>
      <c r="F250" s="5">
        <f>COUNT(G250:$XFD250)</f>
        <v>1</v>
      </c>
      <c r="G250" s="5"/>
      <c r="H250" s="5"/>
      <c r="I250" s="5"/>
      <c r="J250" s="5"/>
      <c r="K250" s="5">
        <v>10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 t="s">
        <v>74</v>
      </c>
      <c r="AC250" s="5" t="s">
        <v>74</v>
      </c>
      <c r="AD250" s="5"/>
      <c r="AE250" s="5"/>
      <c r="AF250" s="5"/>
      <c r="AG250" s="5" t="s">
        <v>74</v>
      </c>
      <c r="AH250" s="5" t="s">
        <v>74</v>
      </c>
      <c r="AI250" s="5" t="s">
        <v>74</v>
      </c>
      <c r="AJ250" s="5" t="s">
        <v>74</v>
      </c>
      <c r="AK250" s="5" t="s">
        <v>74</v>
      </c>
      <c r="AL250" s="5"/>
      <c r="AM250" s="5"/>
      <c r="AN250" s="5"/>
      <c r="AO250" s="5"/>
      <c r="AP250" s="5"/>
      <c r="AQ250" s="5"/>
      <c r="AR250" s="5" t="s">
        <v>74</v>
      </c>
      <c r="AS250" s="5" t="s">
        <v>74</v>
      </c>
      <c r="AT250" s="5" t="s">
        <v>74</v>
      </c>
      <c r="AU250" s="5" t="s">
        <v>74</v>
      </c>
      <c r="AV250" s="5" t="s">
        <v>74</v>
      </c>
      <c r="AW250" s="5" t="s">
        <v>74</v>
      </c>
      <c r="AX250" s="5" t="s">
        <v>74</v>
      </c>
      <c r="AY250" s="5" t="s">
        <v>74</v>
      </c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 t="s">
        <v>74</v>
      </c>
      <c r="BQ250" s="5" t="s">
        <v>74</v>
      </c>
      <c r="BR250" s="5" t="s">
        <v>74</v>
      </c>
      <c r="BS250" s="5"/>
      <c r="BT250" s="5" t="s">
        <v>74</v>
      </c>
      <c r="BU250" s="6" t="s">
        <v>51</v>
      </c>
      <c r="BV250" s="5" t="s">
        <v>74</v>
      </c>
      <c r="BW250" s="5"/>
      <c r="BX250" s="5" t="s">
        <v>74</v>
      </c>
      <c r="BY250" s="5"/>
      <c r="BZ250" s="5"/>
      <c r="CA250" s="10" t="s">
        <v>74</v>
      </c>
      <c r="CB250" s="5" t="s">
        <v>74</v>
      </c>
      <c r="CC250" s="5" t="s">
        <v>74</v>
      </c>
      <c r="CD250" s="5" t="s">
        <v>74</v>
      </c>
      <c r="CE250" s="5" t="s">
        <v>74</v>
      </c>
      <c r="CF250" s="8"/>
      <c r="CG250" s="5"/>
      <c r="CH250" s="5" t="s">
        <v>74</v>
      </c>
      <c r="CI250" s="5" t="s">
        <v>74</v>
      </c>
      <c r="CJ250" s="8" t="s">
        <v>74</v>
      </c>
      <c r="CK250" s="5"/>
      <c r="CL250" s="5" t="s">
        <v>74</v>
      </c>
      <c r="CM250" s="5" t="s">
        <v>74</v>
      </c>
      <c r="CN250" s="5" t="s">
        <v>74</v>
      </c>
      <c r="CO250" s="5"/>
      <c r="CP250" s="5" t="s">
        <v>74</v>
      </c>
    </row>
    <row r="251" spans="1:94" ht="25.25" customHeight="1">
      <c r="A251" s="5">
        <v>250</v>
      </c>
      <c r="B251" s="9" t="s">
        <v>325</v>
      </c>
      <c r="C251" s="9">
        <v>2024202239</v>
      </c>
      <c r="D251" s="5" t="s">
        <v>135</v>
      </c>
      <c r="E251" s="5">
        <f>SUM(G251:$XET251)</f>
        <v>22</v>
      </c>
      <c r="F251" s="5">
        <f>COUNT(G251:$XFD251)</f>
        <v>1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>
        <v>22</v>
      </c>
      <c r="Y251" s="5"/>
      <c r="Z251" s="5"/>
      <c r="AA251" s="5"/>
      <c r="AB251" s="5" t="s">
        <v>74</v>
      </c>
      <c r="AC251" s="5" t="s">
        <v>74</v>
      </c>
      <c r="AD251" s="5"/>
      <c r="AE251" s="5"/>
      <c r="AF251" s="5"/>
      <c r="AG251" s="5" t="s">
        <v>74</v>
      </c>
      <c r="AH251" s="5" t="s">
        <v>74</v>
      </c>
      <c r="AI251" s="5" t="s">
        <v>74</v>
      </c>
      <c r="AJ251" s="5" t="s">
        <v>74</v>
      </c>
      <c r="AK251" s="5" t="s">
        <v>74</v>
      </c>
      <c r="AL251" s="5"/>
      <c r="AM251" s="5"/>
      <c r="AN251" s="5"/>
      <c r="AO251" s="5"/>
      <c r="AP251" s="5"/>
      <c r="AQ251" s="5"/>
      <c r="AR251" s="5" t="s">
        <v>74</v>
      </c>
      <c r="AS251" s="5" t="s">
        <v>74</v>
      </c>
      <c r="AT251" s="5" t="s">
        <v>74</v>
      </c>
      <c r="AU251" s="5" t="s">
        <v>74</v>
      </c>
      <c r="AV251" s="5" t="s">
        <v>74</v>
      </c>
      <c r="AW251" s="5" t="s">
        <v>74</v>
      </c>
      <c r="AX251" s="5" t="s">
        <v>74</v>
      </c>
      <c r="AY251" s="5" t="s">
        <v>74</v>
      </c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 t="s">
        <v>74</v>
      </c>
      <c r="BQ251" s="5" t="s">
        <v>74</v>
      </c>
      <c r="BR251" s="5" t="s">
        <v>74</v>
      </c>
      <c r="BS251" s="5"/>
      <c r="BT251" s="5" t="s">
        <v>74</v>
      </c>
      <c r="BU251" s="6" t="s">
        <v>51</v>
      </c>
      <c r="BV251" s="5" t="s">
        <v>74</v>
      </c>
      <c r="BW251" s="5"/>
      <c r="BX251" s="5" t="s">
        <v>74</v>
      </c>
      <c r="BY251" s="5"/>
      <c r="BZ251" s="5"/>
      <c r="CA251" s="10" t="s">
        <v>74</v>
      </c>
      <c r="CB251" s="5" t="s">
        <v>74</v>
      </c>
      <c r="CC251" s="5" t="s">
        <v>74</v>
      </c>
      <c r="CD251" s="5" t="s">
        <v>74</v>
      </c>
      <c r="CE251" s="5" t="s">
        <v>74</v>
      </c>
      <c r="CF251" s="8"/>
      <c r="CG251" s="5"/>
      <c r="CH251" s="5" t="s">
        <v>74</v>
      </c>
      <c r="CI251" s="5" t="s">
        <v>74</v>
      </c>
      <c r="CJ251" s="8" t="s">
        <v>74</v>
      </c>
      <c r="CK251" s="5"/>
      <c r="CL251" s="5" t="s">
        <v>74</v>
      </c>
      <c r="CM251" s="5" t="s">
        <v>74</v>
      </c>
      <c r="CN251" s="5" t="s">
        <v>74</v>
      </c>
      <c r="CO251" s="5"/>
      <c r="CP251" s="5" t="s">
        <v>74</v>
      </c>
    </row>
    <row r="252" spans="1:94" ht="25.25" customHeight="1">
      <c r="A252" s="5">
        <v>251</v>
      </c>
      <c r="B252" s="9" t="s">
        <v>326</v>
      </c>
      <c r="C252" s="9">
        <v>2024202884</v>
      </c>
      <c r="D252" s="5" t="s">
        <v>135</v>
      </c>
      <c r="E252" s="5">
        <f>SUM(G252:$XET252)</f>
        <v>11.5</v>
      </c>
      <c r="F252" s="5">
        <f>COUNT(G252:$XFD252)</f>
        <v>3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 t="s">
        <v>74</v>
      </c>
      <c r="AC252" s="5" t="s">
        <v>74</v>
      </c>
      <c r="AD252" s="5"/>
      <c r="AE252" s="5"/>
      <c r="AF252" s="5"/>
      <c r="AG252" s="5" t="s">
        <v>74</v>
      </c>
      <c r="AH252" s="5" t="s">
        <v>74</v>
      </c>
      <c r="AI252" s="5" t="s">
        <v>74</v>
      </c>
      <c r="AJ252" s="5" t="s">
        <v>74</v>
      </c>
      <c r="AK252" s="5">
        <v>4</v>
      </c>
      <c r="AL252" s="5"/>
      <c r="AM252" s="5"/>
      <c r="AN252" s="5"/>
      <c r="AO252" s="5"/>
      <c r="AP252" s="5"/>
      <c r="AQ252" s="5"/>
      <c r="AR252" s="5" t="s">
        <v>74</v>
      </c>
      <c r="AS252" s="5" t="s">
        <v>74</v>
      </c>
      <c r="AT252" s="5" t="s">
        <v>74</v>
      </c>
      <c r="AU252" s="5" t="s">
        <v>74</v>
      </c>
      <c r="AV252" s="5" t="s">
        <v>74</v>
      </c>
      <c r="AW252" s="5" t="s">
        <v>74</v>
      </c>
      <c r="AX252" s="5" t="s">
        <v>74</v>
      </c>
      <c r="AY252" s="5" t="s">
        <v>74</v>
      </c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 t="s">
        <v>74</v>
      </c>
      <c r="BQ252" s="5" t="s">
        <v>74</v>
      </c>
      <c r="BR252" s="5" t="s">
        <v>74</v>
      </c>
      <c r="BS252" s="5"/>
      <c r="BT252" s="5" t="s">
        <v>74</v>
      </c>
      <c r="BU252" s="6" t="s">
        <v>51</v>
      </c>
      <c r="BV252" s="5">
        <v>1</v>
      </c>
      <c r="BW252" s="5"/>
      <c r="BX252" s="5">
        <v>6.5</v>
      </c>
      <c r="BY252" s="5"/>
      <c r="BZ252" s="5"/>
      <c r="CA252" s="10" t="s">
        <v>74</v>
      </c>
      <c r="CB252" s="5" t="s">
        <v>74</v>
      </c>
      <c r="CC252" s="5" t="s">
        <v>74</v>
      </c>
      <c r="CD252" s="5" t="s">
        <v>74</v>
      </c>
      <c r="CE252" s="5" t="s">
        <v>74</v>
      </c>
      <c r="CF252" s="8"/>
      <c r="CG252" s="5"/>
      <c r="CH252" s="5" t="s">
        <v>74</v>
      </c>
      <c r="CI252" s="5" t="s">
        <v>74</v>
      </c>
      <c r="CJ252" s="8" t="s">
        <v>74</v>
      </c>
      <c r="CK252" s="5"/>
      <c r="CL252" s="5" t="s">
        <v>74</v>
      </c>
      <c r="CM252" s="5" t="s">
        <v>74</v>
      </c>
      <c r="CN252" s="5" t="s">
        <v>74</v>
      </c>
      <c r="CO252" s="5"/>
      <c r="CP252" s="5" t="s">
        <v>74</v>
      </c>
    </row>
    <row r="253" spans="1:94" ht="25.25" customHeight="1">
      <c r="A253" s="5">
        <v>252</v>
      </c>
      <c r="B253" s="5" t="s">
        <v>327</v>
      </c>
      <c r="C253" s="5">
        <v>2023202660</v>
      </c>
      <c r="D253" s="5" t="s">
        <v>135</v>
      </c>
      <c r="E253" s="5">
        <f>SUM(G253:$XET253)</f>
        <v>11</v>
      </c>
      <c r="F253" s="5">
        <f>COUNT(G253:$XFD253)</f>
        <v>4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 t="s">
        <v>74</v>
      </c>
      <c r="AC253" s="5" t="s">
        <v>74</v>
      </c>
      <c r="AD253" s="5"/>
      <c r="AE253" s="5"/>
      <c r="AF253" s="5"/>
      <c r="AG253" s="5" t="s">
        <v>74</v>
      </c>
      <c r="AH253" s="5" t="s">
        <v>74</v>
      </c>
      <c r="AI253" s="5" t="s">
        <v>74</v>
      </c>
      <c r="AJ253" s="5" t="s">
        <v>74</v>
      </c>
      <c r="AK253" s="5" t="s">
        <v>74</v>
      </c>
      <c r="AL253" s="5">
        <v>3</v>
      </c>
      <c r="AM253" s="5">
        <v>0</v>
      </c>
      <c r="AN253" s="5"/>
      <c r="AO253" s="5"/>
      <c r="AP253" s="5"/>
      <c r="AQ253" s="5"/>
      <c r="AR253" s="5" t="s">
        <v>74</v>
      </c>
      <c r="AS253" s="5" t="s">
        <v>74</v>
      </c>
      <c r="AT253" s="5" t="s">
        <v>74</v>
      </c>
      <c r="AU253" s="5" t="s">
        <v>74</v>
      </c>
      <c r="AV253" s="5" t="s">
        <v>74</v>
      </c>
      <c r="AW253" s="5" t="s">
        <v>74</v>
      </c>
      <c r="AX253" s="5" t="s">
        <v>74</v>
      </c>
      <c r="AY253" s="5" t="s">
        <v>74</v>
      </c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>
        <v>4</v>
      </c>
      <c r="BP253" s="5">
        <v>4</v>
      </c>
      <c r="BQ253" s="5" t="s">
        <v>74</v>
      </c>
      <c r="BR253" s="5" t="s">
        <v>74</v>
      </c>
      <c r="BS253" s="5"/>
      <c r="BT253" s="5" t="s">
        <v>74</v>
      </c>
      <c r="BU253" s="6" t="s">
        <v>51</v>
      </c>
      <c r="BV253" s="5" t="s">
        <v>74</v>
      </c>
      <c r="BW253" s="5"/>
      <c r="BX253" s="5" t="s">
        <v>74</v>
      </c>
      <c r="BY253" s="5"/>
      <c r="BZ253" s="5"/>
      <c r="CA253" s="10" t="s">
        <v>74</v>
      </c>
      <c r="CB253" s="5" t="s">
        <v>74</v>
      </c>
      <c r="CC253" s="5" t="s">
        <v>74</v>
      </c>
      <c r="CD253" s="5" t="s">
        <v>74</v>
      </c>
      <c r="CE253" s="5" t="s">
        <v>74</v>
      </c>
      <c r="CF253" s="8"/>
      <c r="CG253" s="5"/>
      <c r="CH253" s="5" t="s">
        <v>74</v>
      </c>
      <c r="CI253" s="5" t="s">
        <v>74</v>
      </c>
      <c r="CJ253" s="8" t="s">
        <v>74</v>
      </c>
      <c r="CK253" s="5"/>
      <c r="CL253" s="5" t="s">
        <v>74</v>
      </c>
      <c r="CM253" s="5" t="s">
        <v>74</v>
      </c>
      <c r="CN253" s="5" t="s">
        <v>74</v>
      </c>
      <c r="CO253" s="5"/>
      <c r="CP253" s="5" t="s">
        <v>74</v>
      </c>
    </row>
    <row r="254" spans="1:94" ht="25.25" customHeight="1">
      <c r="A254" s="5">
        <v>253</v>
      </c>
      <c r="B254" s="5" t="s">
        <v>328</v>
      </c>
      <c r="C254" s="5">
        <v>2023202654</v>
      </c>
      <c r="D254" s="5" t="s">
        <v>135</v>
      </c>
      <c r="E254" s="5">
        <f>SUM(G254:$XET254)</f>
        <v>37.5</v>
      </c>
      <c r="F254" s="5">
        <f>COUNT(G254:$XFD254)</f>
        <v>5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>
        <v>16</v>
      </c>
      <c r="Y254" s="5"/>
      <c r="Z254" s="5"/>
      <c r="AA254" s="5"/>
      <c r="AB254" s="5"/>
      <c r="AC254" s="5"/>
      <c r="AD254" s="5"/>
      <c r="AE254" s="5"/>
      <c r="AF254" s="5"/>
      <c r="AG254" s="5" t="s">
        <v>74</v>
      </c>
      <c r="AH254" s="5" t="s">
        <v>74</v>
      </c>
      <c r="AI254" s="5" t="s">
        <v>74</v>
      </c>
      <c r="AJ254" s="5" t="s">
        <v>74</v>
      </c>
      <c r="AK254" s="5">
        <v>4</v>
      </c>
      <c r="AL254" s="5">
        <v>0.5</v>
      </c>
      <c r="AM254" s="5"/>
      <c r="AN254" s="5"/>
      <c r="AO254" s="5"/>
      <c r="AP254" s="5"/>
      <c r="AQ254" s="5"/>
      <c r="AR254" s="5" t="s">
        <v>74</v>
      </c>
      <c r="AS254" s="5">
        <v>12</v>
      </c>
      <c r="AT254" s="5" t="s">
        <v>74</v>
      </c>
      <c r="AU254" s="5" t="s">
        <v>74</v>
      </c>
      <c r="AV254" s="5" t="s">
        <v>74</v>
      </c>
      <c r="AW254" s="5" t="s">
        <v>74</v>
      </c>
      <c r="AX254" s="5" t="s">
        <v>74</v>
      </c>
      <c r="AY254" s="5">
        <v>5</v>
      </c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 t="s">
        <v>74</v>
      </c>
      <c r="BQ254" s="5" t="s">
        <v>74</v>
      </c>
      <c r="BR254" s="5" t="s">
        <v>74</v>
      </c>
      <c r="BS254" s="5"/>
      <c r="BT254" s="5" t="s">
        <v>74</v>
      </c>
      <c r="BU254" s="6" t="s">
        <v>51</v>
      </c>
      <c r="BV254" s="5" t="s">
        <v>74</v>
      </c>
      <c r="BW254" s="5"/>
      <c r="BX254" s="5" t="s">
        <v>74</v>
      </c>
      <c r="BY254" s="5"/>
      <c r="BZ254" s="5"/>
      <c r="CA254" s="10" t="s">
        <v>74</v>
      </c>
      <c r="CB254" s="5" t="s">
        <v>74</v>
      </c>
      <c r="CC254" s="5" t="s">
        <v>74</v>
      </c>
      <c r="CD254" s="5" t="s">
        <v>74</v>
      </c>
      <c r="CE254" s="5" t="s">
        <v>74</v>
      </c>
      <c r="CF254" s="8"/>
      <c r="CG254" s="5"/>
      <c r="CH254" s="5" t="s">
        <v>74</v>
      </c>
      <c r="CI254" s="5" t="s">
        <v>74</v>
      </c>
      <c r="CJ254" s="8" t="s">
        <v>74</v>
      </c>
      <c r="CK254" s="5"/>
      <c r="CL254" s="5" t="s">
        <v>74</v>
      </c>
      <c r="CM254" s="5" t="s">
        <v>74</v>
      </c>
      <c r="CN254" s="5" t="s">
        <v>74</v>
      </c>
      <c r="CO254" s="5"/>
      <c r="CP254" s="5" t="s">
        <v>74</v>
      </c>
    </row>
    <row r="255" spans="1:94" ht="25.25" customHeight="1">
      <c r="A255" s="5">
        <v>254</v>
      </c>
      <c r="B255" s="9" t="s">
        <v>329</v>
      </c>
      <c r="C255" s="9">
        <v>2024201961</v>
      </c>
      <c r="D255" s="5" t="s">
        <v>330</v>
      </c>
      <c r="E255" s="5">
        <f>SUM(G255:$XET255)</f>
        <v>40</v>
      </c>
      <c r="F255" s="5">
        <f>COUNT(G255:$XFD255)</f>
        <v>5</v>
      </c>
      <c r="G255" s="5"/>
      <c r="H255" s="5"/>
      <c r="I255" s="5"/>
      <c r="J255" s="5"/>
      <c r="K255" s="5"/>
      <c r="L255" s="5"/>
      <c r="M255" s="5"/>
      <c r="N255" s="5"/>
      <c r="O255" s="5"/>
      <c r="P255" s="5">
        <v>6</v>
      </c>
      <c r="Q255" s="5"/>
      <c r="R255" s="5"/>
      <c r="S255" s="5">
        <v>20</v>
      </c>
      <c r="T255" s="5"/>
      <c r="U255" s="5"/>
      <c r="V255" s="5"/>
      <c r="W255" s="5"/>
      <c r="X255" s="5"/>
      <c r="Y255" s="5"/>
      <c r="Z255" s="5"/>
      <c r="AA255" s="5"/>
      <c r="AB255" s="5" t="s">
        <v>74</v>
      </c>
      <c r="AC255" s="5" t="s">
        <v>74</v>
      </c>
      <c r="AD255" s="5"/>
      <c r="AE255" s="5"/>
      <c r="AF255" s="5"/>
      <c r="AG255" s="5" t="s">
        <v>74</v>
      </c>
      <c r="AH255" s="5" t="s">
        <v>74</v>
      </c>
      <c r="AI255" s="5" t="s">
        <v>74</v>
      </c>
      <c r="AJ255" s="5">
        <v>6</v>
      </c>
      <c r="AK255" s="5">
        <v>4</v>
      </c>
      <c r="AL255" s="5"/>
      <c r="AM255" s="5"/>
      <c r="AN255" s="5"/>
      <c r="AO255" s="5"/>
      <c r="AP255" s="5"/>
      <c r="AQ255" s="5"/>
      <c r="AR255" s="5" t="s">
        <v>74</v>
      </c>
      <c r="AS255" s="5" t="s">
        <v>74</v>
      </c>
      <c r="AT255" s="5" t="s">
        <v>74</v>
      </c>
      <c r="AU255" s="5" t="s">
        <v>74</v>
      </c>
      <c r="AV255" s="5" t="s">
        <v>74</v>
      </c>
      <c r="AW255" s="5" t="s">
        <v>74</v>
      </c>
      <c r="AX255" s="5" t="s">
        <v>74</v>
      </c>
      <c r="AY255" s="5" t="s">
        <v>74</v>
      </c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>
        <v>4</v>
      </c>
      <c r="BQ255" s="5" t="s">
        <v>74</v>
      </c>
      <c r="BR255" s="5" t="s">
        <v>74</v>
      </c>
      <c r="BS255" s="5"/>
      <c r="BT255" s="5" t="s">
        <v>74</v>
      </c>
      <c r="BU255" s="6" t="s">
        <v>51</v>
      </c>
      <c r="BV255" s="5" t="s">
        <v>74</v>
      </c>
      <c r="BW255" s="5"/>
      <c r="BX255" s="5" t="s">
        <v>74</v>
      </c>
      <c r="BY255" s="5"/>
      <c r="BZ255" s="5"/>
      <c r="CA255" s="10" t="s">
        <v>74</v>
      </c>
      <c r="CB255" s="5" t="s">
        <v>74</v>
      </c>
      <c r="CC255" s="5" t="s">
        <v>74</v>
      </c>
      <c r="CD255" s="5" t="s">
        <v>74</v>
      </c>
      <c r="CE255" s="5" t="s">
        <v>74</v>
      </c>
      <c r="CF255" s="8"/>
      <c r="CG255" s="5"/>
      <c r="CH255" s="5" t="s">
        <v>74</v>
      </c>
      <c r="CI255" s="5" t="s">
        <v>74</v>
      </c>
      <c r="CJ255" s="8" t="s">
        <v>74</v>
      </c>
      <c r="CK255" s="5"/>
      <c r="CL255" s="5" t="s">
        <v>74</v>
      </c>
      <c r="CM255" s="5" t="s">
        <v>74</v>
      </c>
      <c r="CN255" s="5" t="s">
        <v>74</v>
      </c>
      <c r="CO255" s="5"/>
      <c r="CP255" s="5" t="s">
        <v>74</v>
      </c>
    </row>
    <row r="256" spans="1:94" ht="25.25" customHeight="1">
      <c r="A256" s="5">
        <v>255</v>
      </c>
      <c r="B256" s="9" t="s">
        <v>331</v>
      </c>
      <c r="C256" s="9">
        <v>2024201983</v>
      </c>
      <c r="D256" s="5" t="s">
        <v>330</v>
      </c>
      <c r="E256" s="5">
        <f>SUM(G256:$XET256)</f>
        <v>18.5</v>
      </c>
      <c r="F256" s="5">
        <f>COUNT(G256:$XFD256)</f>
        <v>3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>
        <v>6</v>
      </c>
      <c r="Y256" s="5">
        <v>10.5</v>
      </c>
      <c r="Z256" s="5"/>
      <c r="AA256" s="5"/>
      <c r="AB256" s="5" t="s">
        <v>74</v>
      </c>
      <c r="AC256" s="5" t="s">
        <v>74</v>
      </c>
      <c r="AD256" s="5"/>
      <c r="AE256" s="5"/>
      <c r="AF256" s="5"/>
      <c r="AG256" s="5" t="s">
        <v>74</v>
      </c>
      <c r="AH256" s="5" t="s">
        <v>74</v>
      </c>
      <c r="AI256" s="5" t="s">
        <v>74</v>
      </c>
      <c r="AJ256" s="5" t="s">
        <v>74</v>
      </c>
      <c r="AK256" s="5" t="s">
        <v>74</v>
      </c>
      <c r="AL256" s="5"/>
      <c r="AM256" s="5"/>
      <c r="AN256" s="5"/>
      <c r="AO256" s="5"/>
      <c r="AP256" s="5"/>
      <c r="AQ256" s="5"/>
      <c r="AR256" s="5" t="s">
        <v>74</v>
      </c>
      <c r="AS256" s="5" t="s">
        <v>74</v>
      </c>
      <c r="AT256" s="5" t="s">
        <v>74</v>
      </c>
      <c r="AU256" s="5" t="s">
        <v>74</v>
      </c>
      <c r="AV256" s="5" t="s">
        <v>74</v>
      </c>
      <c r="AW256" s="5" t="s">
        <v>74</v>
      </c>
      <c r="AX256" s="5" t="s">
        <v>74</v>
      </c>
      <c r="AY256" s="5" t="s">
        <v>74</v>
      </c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 t="s">
        <v>74</v>
      </c>
      <c r="BQ256" s="5" t="s">
        <v>74</v>
      </c>
      <c r="BR256" s="5" t="s">
        <v>74</v>
      </c>
      <c r="BS256" s="5"/>
      <c r="BT256" s="5" t="s">
        <v>74</v>
      </c>
      <c r="BU256" s="6" t="s">
        <v>51</v>
      </c>
      <c r="BV256" s="5" t="s">
        <v>74</v>
      </c>
      <c r="BW256" s="5"/>
      <c r="BX256" s="5" t="s">
        <v>74</v>
      </c>
      <c r="BY256" s="5"/>
      <c r="BZ256" s="5"/>
      <c r="CA256" s="10" t="s">
        <v>74</v>
      </c>
      <c r="CB256" s="5" t="s">
        <v>74</v>
      </c>
      <c r="CC256" s="5" t="s">
        <v>74</v>
      </c>
      <c r="CD256" s="5" t="s">
        <v>74</v>
      </c>
      <c r="CE256" s="5">
        <v>2</v>
      </c>
      <c r="CF256" s="8"/>
      <c r="CG256" s="5"/>
      <c r="CH256" s="5" t="s">
        <v>74</v>
      </c>
      <c r="CI256" s="5" t="s">
        <v>74</v>
      </c>
      <c r="CJ256" s="8" t="s">
        <v>74</v>
      </c>
      <c r="CK256" s="5"/>
      <c r="CL256" s="5" t="s">
        <v>74</v>
      </c>
      <c r="CM256" s="5" t="s">
        <v>74</v>
      </c>
      <c r="CN256" s="5" t="s">
        <v>74</v>
      </c>
      <c r="CO256" s="5"/>
      <c r="CP256" s="5" t="s">
        <v>74</v>
      </c>
    </row>
    <row r="257" spans="1:94" ht="25.25" customHeight="1">
      <c r="A257" s="5">
        <v>256</v>
      </c>
      <c r="B257" s="9" t="s">
        <v>332</v>
      </c>
      <c r="C257" s="9">
        <v>2024202013</v>
      </c>
      <c r="D257" s="5" t="s">
        <v>330</v>
      </c>
      <c r="E257" s="5">
        <f>SUM(G257:$XET257)</f>
        <v>8.75</v>
      </c>
      <c r="F257" s="5">
        <f>COUNT(G257:$XFD257)</f>
        <v>3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>
        <v>3</v>
      </c>
      <c r="AC257" s="5">
        <v>0.75</v>
      </c>
      <c r="AD257" s="5"/>
      <c r="AE257" s="5"/>
      <c r="AF257" s="5"/>
      <c r="AG257" s="5" t="s">
        <v>74</v>
      </c>
      <c r="AH257" s="5" t="s">
        <v>74</v>
      </c>
      <c r="AI257" s="5" t="s">
        <v>74</v>
      </c>
      <c r="AJ257" s="5" t="s">
        <v>74</v>
      </c>
      <c r="AK257" s="5" t="s">
        <v>74</v>
      </c>
      <c r="AL257" s="5"/>
      <c r="AM257" s="5"/>
      <c r="AN257" s="5"/>
      <c r="AO257" s="5"/>
      <c r="AP257" s="5"/>
      <c r="AQ257" s="5"/>
      <c r="AR257" s="5" t="s">
        <v>74</v>
      </c>
      <c r="AS257" s="5" t="s">
        <v>74</v>
      </c>
      <c r="AT257" s="5" t="s">
        <v>74</v>
      </c>
      <c r="AU257" s="5" t="s">
        <v>74</v>
      </c>
      <c r="AV257" s="5" t="s">
        <v>74</v>
      </c>
      <c r="AW257" s="5" t="s">
        <v>74</v>
      </c>
      <c r="AX257" s="5" t="s">
        <v>74</v>
      </c>
      <c r="AY257" s="5" t="s">
        <v>74</v>
      </c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 t="s">
        <v>74</v>
      </c>
      <c r="BQ257" s="5" t="s">
        <v>74</v>
      </c>
      <c r="BR257" s="5" t="s">
        <v>74</v>
      </c>
      <c r="BS257" s="5"/>
      <c r="BT257" s="5" t="s">
        <v>74</v>
      </c>
      <c r="BU257" s="6" t="s">
        <v>51</v>
      </c>
      <c r="BV257" s="5" t="s">
        <v>74</v>
      </c>
      <c r="BW257" s="5"/>
      <c r="BX257" s="5">
        <v>5</v>
      </c>
      <c r="BY257" s="5"/>
      <c r="BZ257" s="5"/>
      <c r="CA257" s="10" t="s">
        <v>74</v>
      </c>
      <c r="CB257" s="5" t="s">
        <v>74</v>
      </c>
      <c r="CC257" s="5" t="s">
        <v>74</v>
      </c>
      <c r="CD257" s="5" t="s">
        <v>74</v>
      </c>
      <c r="CE257" s="5" t="s">
        <v>74</v>
      </c>
      <c r="CF257" s="8"/>
      <c r="CG257" s="5"/>
      <c r="CH257" s="5" t="s">
        <v>74</v>
      </c>
      <c r="CI257" s="5" t="s">
        <v>74</v>
      </c>
      <c r="CJ257" s="8" t="s">
        <v>74</v>
      </c>
      <c r="CK257" s="5"/>
      <c r="CL257" s="5" t="s">
        <v>74</v>
      </c>
      <c r="CM257" s="5" t="s">
        <v>74</v>
      </c>
      <c r="CN257" s="5" t="s">
        <v>74</v>
      </c>
      <c r="CO257" s="5"/>
      <c r="CP257" s="5" t="s">
        <v>74</v>
      </c>
    </row>
    <row r="258" spans="1:94" ht="25.25" customHeight="1">
      <c r="A258" s="5">
        <v>257</v>
      </c>
      <c r="B258" s="9" t="s">
        <v>333</v>
      </c>
      <c r="C258" s="9">
        <v>2024202170</v>
      </c>
      <c r="D258" s="5" t="s">
        <v>330</v>
      </c>
      <c r="E258" s="5">
        <f>SUM(G258:$XET258)</f>
        <v>11.5</v>
      </c>
      <c r="F258" s="5">
        <f>COUNT(G258:$XFD258)</f>
        <v>4</v>
      </c>
      <c r="G258" s="5"/>
      <c r="H258" s="5"/>
      <c r="I258" s="5">
        <v>4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>
        <v>3</v>
      </c>
      <c r="AC258" s="5">
        <v>0.5</v>
      </c>
      <c r="AD258" s="5"/>
      <c r="AE258" s="5"/>
      <c r="AF258" s="5"/>
      <c r="AG258" s="5" t="s">
        <v>74</v>
      </c>
      <c r="AH258" s="5" t="s">
        <v>74</v>
      </c>
      <c r="AI258" s="5" t="s">
        <v>74</v>
      </c>
      <c r="AJ258" s="5" t="s">
        <v>74</v>
      </c>
      <c r="AK258" s="5" t="s">
        <v>74</v>
      </c>
      <c r="AL258" s="5"/>
      <c r="AM258" s="5"/>
      <c r="AN258" s="5"/>
      <c r="AO258" s="5"/>
      <c r="AP258" s="5"/>
      <c r="AQ258" s="5"/>
      <c r="AR258" s="5" t="s">
        <v>74</v>
      </c>
      <c r="AS258" s="5" t="s">
        <v>74</v>
      </c>
      <c r="AT258" s="5" t="s">
        <v>74</v>
      </c>
      <c r="AU258" s="5" t="s">
        <v>74</v>
      </c>
      <c r="AV258" s="5" t="s">
        <v>74</v>
      </c>
      <c r="AW258" s="5" t="s">
        <v>74</v>
      </c>
      <c r="AX258" s="5" t="s">
        <v>74</v>
      </c>
      <c r="AY258" s="5" t="s">
        <v>74</v>
      </c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>
        <v>4</v>
      </c>
      <c r="BQ258" s="5" t="s">
        <v>74</v>
      </c>
      <c r="BR258" s="5" t="s">
        <v>74</v>
      </c>
      <c r="BS258" s="5"/>
      <c r="BT258" s="5" t="s">
        <v>74</v>
      </c>
      <c r="BU258" s="6" t="s">
        <v>51</v>
      </c>
      <c r="BV258" s="5" t="s">
        <v>74</v>
      </c>
      <c r="BW258" s="5"/>
      <c r="BX258" s="5" t="s">
        <v>74</v>
      </c>
      <c r="BY258" s="5"/>
      <c r="BZ258" s="5"/>
      <c r="CA258" s="10" t="s">
        <v>74</v>
      </c>
      <c r="CB258" s="5" t="s">
        <v>74</v>
      </c>
      <c r="CC258" s="5" t="s">
        <v>74</v>
      </c>
      <c r="CD258" s="5" t="s">
        <v>74</v>
      </c>
      <c r="CE258" s="5" t="s">
        <v>74</v>
      </c>
      <c r="CF258" s="8"/>
      <c r="CG258" s="5"/>
      <c r="CH258" s="5" t="s">
        <v>74</v>
      </c>
      <c r="CI258" s="5" t="s">
        <v>74</v>
      </c>
      <c r="CJ258" s="8" t="s">
        <v>74</v>
      </c>
      <c r="CK258" s="5"/>
      <c r="CL258" s="5" t="s">
        <v>74</v>
      </c>
      <c r="CM258" s="5" t="s">
        <v>74</v>
      </c>
      <c r="CN258" s="5" t="s">
        <v>74</v>
      </c>
      <c r="CO258" s="5"/>
      <c r="CP258" s="5" t="s">
        <v>74</v>
      </c>
    </row>
    <row r="259" spans="1:94" ht="25.25" customHeight="1">
      <c r="A259" s="5">
        <v>258</v>
      </c>
      <c r="B259" s="9" t="s">
        <v>334</v>
      </c>
      <c r="C259" s="9">
        <v>2024202015</v>
      </c>
      <c r="D259" s="5" t="s">
        <v>330</v>
      </c>
      <c r="E259" s="5">
        <f>SUM(G259:$XET259)</f>
        <v>57</v>
      </c>
      <c r="F259" s="5">
        <f>COUNT(G259:$XFD259)</f>
        <v>11</v>
      </c>
      <c r="G259" s="5"/>
      <c r="H259" s="5"/>
      <c r="I259" s="5"/>
      <c r="J259" s="5"/>
      <c r="K259" s="5">
        <v>10</v>
      </c>
      <c r="L259" s="5"/>
      <c r="M259" s="5"/>
      <c r="N259" s="5"/>
      <c r="O259" s="5"/>
      <c r="P259" s="5"/>
      <c r="Q259" s="5"/>
      <c r="R259" s="5"/>
      <c r="S259" s="5"/>
      <c r="T259" s="5"/>
      <c r="U259" s="5">
        <v>8</v>
      </c>
      <c r="V259" s="5"/>
      <c r="W259" s="5"/>
      <c r="X259" s="5">
        <v>6</v>
      </c>
      <c r="Y259" s="5"/>
      <c r="Z259" s="5"/>
      <c r="AA259" s="5"/>
      <c r="AB259" s="5">
        <v>3</v>
      </c>
      <c r="AC259" s="5">
        <v>1</v>
      </c>
      <c r="AD259" s="5"/>
      <c r="AE259" s="5"/>
      <c r="AF259" s="5"/>
      <c r="AG259" s="5" t="s">
        <v>74</v>
      </c>
      <c r="AH259" s="5" t="s">
        <v>74</v>
      </c>
      <c r="AI259" s="5" t="s">
        <v>74</v>
      </c>
      <c r="AJ259" s="5">
        <v>2</v>
      </c>
      <c r="AK259" s="5">
        <v>4</v>
      </c>
      <c r="AL259" s="5"/>
      <c r="AM259" s="5"/>
      <c r="AN259" s="5"/>
      <c r="AO259" s="5"/>
      <c r="AP259" s="5"/>
      <c r="AQ259" s="5"/>
      <c r="AR259" s="5" t="s">
        <v>74</v>
      </c>
      <c r="AS259" s="5" t="s">
        <v>74</v>
      </c>
      <c r="AT259" s="5" t="s">
        <v>74</v>
      </c>
      <c r="AU259" s="5" t="s">
        <v>74</v>
      </c>
      <c r="AV259" s="5" t="s">
        <v>74</v>
      </c>
      <c r="AW259" s="5" t="s">
        <v>74</v>
      </c>
      <c r="AX259" s="5" t="s">
        <v>74</v>
      </c>
      <c r="AY259" s="5" t="s">
        <v>74</v>
      </c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>
        <v>4</v>
      </c>
      <c r="BQ259" s="5" t="s">
        <v>74</v>
      </c>
      <c r="BR259" s="5" t="s">
        <v>74</v>
      </c>
      <c r="BS259" s="5"/>
      <c r="BT259" s="5" t="s">
        <v>74</v>
      </c>
      <c r="BU259" s="6" t="s">
        <v>51</v>
      </c>
      <c r="BV259" s="5" t="s">
        <v>74</v>
      </c>
      <c r="BW259" s="5"/>
      <c r="BX259" s="5">
        <v>13</v>
      </c>
      <c r="BY259" s="5"/>
      <c r="BZ259" s="5"/>
      <c r="CA259" s="10" t="s">
        <v>74</v>
      </c>
      <c r="CB259" s="5">
        <v>5</v>
      </c>
      <c r="CC259" s="5" t="s">
        <v>74</v>
      </c>
      <c r="CD259" s="5" t="s">
        <v>74</v>
      </c>
      <c r="CE259" s="5">
        <v>1</v>
      </c>
      <c r="CF259" s="8"/>
      <c r="CG259" s="5"/>
      <c r="CH259" s="5" t="s">
        <v>74</v>
      </c>
      <c r="CI259" s="5" t="s">
        <v>74</v>
      </c>
      <c r="CJ259" s="8" t="s">
        <v>74</v>
      </c>
      <c r="CK259" s="5"/>
      <c r="CL259" s="5" t="s">
        <v>74</v>
      </c>
      <c r="CM259" s="5" t="s">
        <v>74</v>
      </c>
      <c r="CN259" s="5" t="s">
        <v>74</v>
      </c>
      <c r="CO259" s="5"/>
      <c r="CP259" s="5" t="s">
        <v>74</v>
      </c>
    </row>
    <row r="260" spans="1:94" ht="25.25" customHeight="1">
      <c r="A260" s="5">
        <v>259</v>
      </c>
      <c r="B260" s="9" t="s">
        <v>335</v>
      </c>
      <c r="C260" s="9">
        <v>2024202124</v>
      </c>
      <c r="D260" s="5" t="s">
        <v>330</v>
      </c>
      <c r="E260" s="5">
        <f>SUM(G260:$XET260)</f>
        <v>17</v>
      </c>
      <c r="F260" s="5">
        <f>COUNT(G260:$XFD260)</f>
        <v>5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>
        <v>6</v>
      </c>
      <c r="Y260" s="5"/>
      <c r="Z260" s="5"/>
      <c r="AA260" s="5"/>
      <c r="AB260" s="5" t="s">
        <v>74</v>
      </c>
      <c r="AC260" s="5">
        <v>2</v>
      </c>
      <c r="AD260" s="5"/>
      <c r="AE260" s="5"/>
      <c r="AF260" s="5"/>
      <c r="AG260" s="5" t="s">
        <v>74</v>
      </c>
      <c r="AH260" s="5" t="s">
        <v>74</v>
      </c>
      <c r="AI260" s="5" t="s">
        <v>74</v>
      </c>
      <c r="AJ260" s="5" t="s">
        <v>74</v>
      </c>
      <c r="AK260" s="5">
        <v>4</v>
      </c>
      <c r="AL260" s="5"/>
      <c r="AM260" s="5"/>
      <c r="AN260" s="5"/>
      <c r="AO260" s="5"/>
      <c r="AP260" s="5"/>
      <c r="AQ260" s="5"/>
      <c r="AR260" s="5" t="s">
        <v>74</v>
      </c>
      <c r="AS260" s="5" t="s">
        <v>74</v>
      </c>
      <c r="AT260" s="5" t="s">
        <v>74</v>
      </c>
      <c r="AU260" s="5" t="s">
        <v>74</v>
      </c>
      <c r="AV260" s="5" t="s">
        <v>74</v>
      </c>
      <c r="AW260" s="5" t="s">
        <v>74</v>
      </c>
      <c r="AX260" s="5" t="s">
        <v>74</v>
      </c>
      <c r="AY260" s="5" t="s">
        <v>74</v>
      </c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>
        <v>4</v>
      </c>
      <c r="BQ260" s="5" t="s">
        <v>74</v>
      </c>
      <c r="BR260" s="5" t="s">
        <v>74</v>
      </c>
      <c r="BS260" s="5"/>
      <c r="BT260" s="5" t="s">
        <v>74</v>
      </c>
      <c r="BU260" s="6" t="s">
        <v>51</v>
      </c>
      <c r="BV260" s="5" t="s">
        <v>74</v>
      </c>
      <c r="BW260" s="5"/>
      <c r="BX260" s="5" t="s">
        <v>74</v>
      </c>
      <c r="BY260" s="5"/>
      <c r="BZ260" s="5"/>
      <c r="CA260" s="10" t="s">
        <v>74</v>
      </c>
      <c r="CB260" s="5" t="s">
        <v>74</v>
      </c>
      <c r="CC260" s="5" t="s">
        <v>74</v>
      </c>
      <c r="CD260" s="5" t="s">
        <v>74</v>
      </c>
      <c r="CE260" s="5">
        <v>1</v>
      </c>
      <c r="CF260" s="8"/>
      <c r="CG260" s="5"/>
      <c r="CH260" s="5" t="s">
        <v>74</v>
      </c>
      <c r="CI260" s="5" t="s">
        <v>74</v>
      </c>
      <c r="CJ260" s="8" t="s">
        <v>74</v>
      </c>
      <c r="CK260" s="5"/>
      <c r="CL260" s="5" t="s">
        <v>74</v>
      </c>
      <c r="CM260" s="5" t="s">
        <v>74</v>
      </c>
      <c r="CN260" s="5" t="s">
        <v>74</v>
      </c>
      <c r="CO260" s="5"/>
      <c r="CP260" s="5" t="s">
        <v>74</v>
      </c>
    </row>
    <row r="261" spans="1:94" ht="25.25" customHeight="1">
      <c r="A261" s="5">
        <v>260</v>
      </c>
      <c r="B261" s="9" t="s">
        <v>336</v>
      </c>
      <c r="C261" s="9">
        <v>2024202188</v>
      </c>
      <c r="D261" s="5" t="s">
        <v>330</v>
      </c>
      <c r="E261" s="5">
        <f>SUM(G261:$XET261)</f>
        <v>31</v>
      </c>
      <c r="F261" s="5">
        <f>COUNT(G261:$XFD261)</f>
        <v>5</v>
      </c>
      <c r="G261" s="5"/>
      <c r="H261" s="5"/>
      <c r="I261" s="5"/>
      <c r="J261" s="5"/>
      <c r="K261" s="5">
        <v>9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>
        <v>15</v>
      </c>
      <c r="Y261" s="5"/>
      <c r="Z261" s="5"/>
      <c r="AA261" s="5"/>
      <c r="AB261" s="5" t="s">
        <v>74</v>
      </c>
      <c r="AC261" s="5">
        <v>1</v>
      </c>
      <c r="AD261" s="5">
        <v>4</v>
      </c>
      <c r="AE261" s="5"/>
      <c r="AF261" s="5"/>
      <c r="AG261" s="5" t="s">
        <v>74</v>
      </c>
      <c r="AH261" s="5" t="s">
        <v>74</v>
      </c>
      <c r="AI261" s="5" t="s">
        <v>74</v>
      </c>
      <c r="AJ261" s="5" t="s">
        <v>74</v>
      </c>
      <c r="AK261" s="5" t="s">
        <v>74</v>
      </c>
      <c r="AL261" s="5"/>
      <c r="AM261" s="5"/>
      <c r="AN261" s="5"/>
      <c r="AO261" s="5"/>
      <c r="AP261" s="5"/>
      <c r="AQ261" s="5"/>
      <c r="AR261" s="5" t="s">
        <v>74</v>
      </c>
      <c r="AS261" s="5" t="s">
        <v>74</v>
      </c>
      <c r="AT261" s="5" t="s">
        <v>74</v>
      </c>
      <c r="AU261" s="5" t="s">
        <v>74</v>
      </c>
      <c r="AV261" s="5" t="s">
        <v>74</v>
      </c>
      <c r="AW261" s="5" t="s">
        <v>74</v>
      </c>
      <c r="AX261" s="5" t="s">
        <v>74</v>
      </c>
      <c r="AY261" s="5" t="s">
        <v>74</v>
      </c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 t="s">
        <v>74</v>
      </c>
      <c r="BQ261" s="5" t="s">
        <v>74</v>
      </c>
      <c r="BR261" s="5" t="s">
        <v>74</v>
      </c>
      <c r="BS261" s="5"/>
      <c r="BT261" s="5" t="s">
        <v>74</v>
      </c>
      <c r="BU261" s="6" t="s">
        <v>51</v>
      </c>
      <c r="BV261" s="5" t="s">
        <v>74</v>
      </c>
      <c r="BW261" s="5"/>
      <c r="BX261" s="5" t="s">
        <v>74</v>
      </c>
      <c r="BY261" s="5"/>
      <c r="BZ261" s="5"/>
      <c r="CA261" s="10" t="s">
        <v>74</v>
      </c>
      <c r="CB261" s="5" t="s">
        <v>74</v>
      </c>
      <c r="CC261" s="5" t="s">
        <v>74</v>
      </c>
      <c r="CD261" s="5" t="s">
        <v>74</v>
      </c>
      <c r="CE261" s="5">
        <v>2</v>
      </c>
      <c r="CF261" s="8"/>
      <c r="CG261" s="5"/>
      <c r="CH261" s="5" t="s">
        <v>74</v>
      </c>
      <c r="CI261" s="5" t="s">
        <v>74</v>
      </c>
      <c r="CJ261" s="8" t="s">
        <v>74</v>
      </c>
      <c r="CK261" s="5"/>
      <c r="CL261" s="5" t="s">
        <v>74</v>
      </c>
      <c r="CM261" s="5" t="s">
        <v>74</v>
      </c>
      <c r="CN261" s="5" t="s">
        <v>74</v>
      </c>
      <c r="CO261" s="5"/>
      <c r="CP261" s="5" t="s">
        <v>74</v>
      </c>
    </row>
    <row r="262" spans="1:94" ht="25.25" customHeight="1">
      <c r="A262" s="5">
        <v>261</v>
      </c>
      <c r="B262" s="9" t="s">
        <v>337</v>
      </c>
      <c r="C262" s="9">
        <v>2024202199</v>
      </c>
      <c r="D262" s="5" t="s">
        <v>330</v>
      </c>
      <c r="E262" s="5">
        <f>SUM(G262:$XET262)</f>
        <v>4</v>
      </c>
      <c r="F262" s="5">
        <f>COUNT(G262:$XFD262)</f>
        <v>1</v>
      </c>
      <c r="G262" s="5"/>
      <c r="H262" s="5"/>
      <c r="I262" s="5">
        <v>4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 t="s">
        <v>74</v>
      </c>
      <c r="AC262" s="5" t="s">
        <v>74</v>
      </c>
      <c r="AD262" s="5"/>
      <c r="AE262" s="5"/>
      <c r="AF262" s="5"/>
      <c r="AG262" s="5" t="s">
        <v>74</v>
      </c>
      <c r="AH262" s="5" t="s">
        <v>74</v>
      </c>
      <c r="AI262" s="5" t="s">
        <v>74</v>
      </c>
      <c r="AJ262" s="5" t="s">
        <v>74</v>
      </c>
      <c r="AK262" s="5" t="s">
        <v>74</v>
      </c>
      <c r="AL262" s="5"/>
      <c r="AM262" s="5"/>
      <c r="AN262" s="5"/>
      <c r="AO262" s="5"/>
      <c r="AP262" s="5"/>
      <c r="AQ262" s="5"/>
      <c r="AR262" s="5" t="s">
        <v>74</v>
      </c>
      <c r="AS262" s="5" t="s">
        <v>74</v>
      </c>
      <c r="AT262" s="5" t="s">
        <v>74</v>
      </c>
      <c r="AU262" s="5" t="s">
        <v>74</v>
      </c>
      <c r="AV262" s="5" t="s">
        <v>74</v>
      </c>
      <c r="AW262" s="5" t="s">
        <v>74</v>
      </c>
      <c r="AX262" s="5" t="s">
        <v>74</v>
      </c>
      <c r="AY262" s="5" t="s">
        <v>74</v>
      </c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 t="s">
        <v>74</v>
      </c>
      <c r="BQ262" s="5" t="s">
        <v>74</v>
      </c>
      <c r="BR262" s="5" t="s">
        <v>74</v>
      </c>
      <c r="BS262" s="5"/>
      <c r="BT262" s="5" t="s">
        <v>74</v>
      </c>
      <c r="BU262" s="6" t="s">
        <v>51</v>
      </c>
      <c r="BV262" s="5" t="s">
        <v>74</v>
      </c>
      <c r="BW262" s="5"/>
      <c r="BX262" s="5" t="s">
        <v>74</v>
      </c>
      <c r="BY262" s="5"/>
      <c r="BZ262" s="5"/>
      <c r="CA262" s="10" t="s">
        <v>74</v>
      </c>
      <c r="CB262" s="5" t="s">
        <v>74</v>
      </c>
      <c r="CC262" s="5" t="s">
        <v>74</v>
      </c>
      <c r="CD262" s="5" t="s">
        <v>74</v>
      </c>
      <c r="CE262" s="5" t="s">
        <v>74</v>
      </c>
      <c r="CF262" s="8"/>
      <c r="CG262" s="5"/>
      <c r="CH262" s="5" t="s">
        <v>74</v>
      </c>
      <c r="CI262" s="5" t="s">
        <v>74</v>
      </c>
      <c r="CJ262" s="8" t="s">
        <v>74</v>
      </c>
      <c r="CK262" s="5"/>
      <c r="CL262" s="5" t="s">
        <v>74</v>
      </c>
      <c r="CM262" s="5" t="s">
        <v>74</v>
      </c>
      <c r="CN262" s="5" t="s">
        <v>74</v>
      </c>
      <c r="CO262" s="5"/>
      <c r="CP262" s="5" t="s">
        <v>74</v>
      </c>
    </row>
    <row r="263" spans="1:94" ht="25.25" customHeight="1">
      <c r="A263" s="5">
        <v>262</v>
      </c>
      <c r="B263" s="9" t="s">
        <v>338</v>
      </c>
      <c r="C263" s="9">
        <v>2024202127</v>
      </c>
      <c r="D263" s="5" t="s">
        <v>330</v>
      </c>
      <c r="E263" s="5">
        <f>SUM(G263:$XET263)</f>
        <v>165.5</v>
      </c>
      <c r="F263" s="5">
        <f>COUNT(G263:$XFD263)</f>
        <v>14</v>
      </c>
      <c r="G263" s="5">
        <v>24</v>
      </c>
      <c r="H263" s="5">
        <v>0</v>
      </c>
      <c r="I263" s="5"/>
      <c r="J263" s="5"/>
      <c r="K263" s="5">
        <v>10</v>
      </c>
      <c r="L263" s="5"/>
      <c r="M263" s="5"/>
      <c r="N263" s="5"/>
      <c r="O263" s="5"/>
      <c r="P263" s="5"/>
      <c r="Q263" s="5"/>
      <c r="R263" s="5"/>
      <c r="S263" s="5"/>
      <c r="T263" s="5"/>
      <c r="U263" s="5">
        <v>4</v>
      </c>
      <c r="V263" s="5"/>
      <c r="W263" s="5"/>
      <c r="X263" s="5">
        <v>12</v>
      </c>
      <c r="Y263" s="5"/>
      <c r="Z263" s="5"/>
      <c r="AA263" s="5"/>
      <c r="AB263" s="5" t="s">
        <v>74</v>
      </c>
      <c r="AC263" s="5">
        <v>1</v>
      </c>
      <c r="AD263" s="5"/>
      <c r="AE263" s="5"/>
      <c r="AF263" s="5"/>
      <c r="AG263" s="5" t="s">
        <v>74</v>
      </c>
      <c r="AH263" s="5" t="s">
        <v>74</v>
      </c>
      <c r="AI263" s="5" t="s">
        <v>74</v>
      </c>
      <c r="AJ263" s="5" t="s">
        <v>74</v>
      </c>
      <c r="AK263" s="5" t="s">
        <v>74</v>
      </c>
      <c r="AL263" s="5"/>
      <c r="AM263" s="5"/>
      <c r="AN263" s="5"/>
      <c r="AO263" s="5"/>
      <c r="AP263" s="5"/>
      <c r="AQ263" s="5"/>
      <c r="AR263" s="5">
        <v>6</v>
      </c>
      <c r="AS263" s="5">
        <v>12</v>
      </c>
      <c r="AT263" s="5" t="s">
        <v>74</v>
      </c>
      <c r="AU263" s="5">
        <v>5</v>
      </c>
      <c r="AV263" s="5" t="s">
        <v>74</v>
      </c>
      <c r="AW263" s="5" t="s">
        <v>74</v>
      </c>
      <c r="AX263" s="5" t="s">
        <v>74</v>
      </c>
      <c r="AY263" s="5">
        <v>84</v>
      </c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 t="s">
        <v>74</v>
      </c>
      <c r="BQ263" s="5" t="s">
        <v>74</v>
      </c>
      <c r="BR263" s="5" t="s">
        <v>74</v>
      </c>
      <c r="BS263" s="5"/>
      <c r="BT263" s="5" t="s">
        <v>74</v>
      </c>
      <c r="BU263" s="6" t="s">
        <v>51</v>
      </c>
      <c r="BV263" s="5" t="s">
        <v>74</v>
      </c>
      <c r="BW263" s="5"/>
      <c r="BX263" s="5" t="s">
        <v>74</v>
      </c>
      <c r="BY263" s="5"/>
      <c r="BZ263" s="5"/>
      <c r="CA263" s="10">
        <v>4</v>
      </c>
      <c r="CB263" s="5" t="s">
        <v>74</v>
      </c>
      <c r="CC263" s="5" t="s">
        <v>74</v>
      </c>
      <c r="CD263" s="5" t="s">
        <v>74</v>
      </c>
      <c r="CE263" s="5">
        <v>2</v>
      </c>
      <c r="CF263" s="8"/>
      <c r="CG263" s="5"/>
      <c r="CH263" s="5" t="s">
        <v>74</v>
      </c>
      <c r="CI263" s="5" t="s">
        <v>74</v>
      </c>
      <c r="CJ263" s="8" t="s">
        <v>74</v>
      </c>
      <c r="CK263" s="5"/>
      <c r="CL263" s="5" t="s">
        <v>74</v>
      </c>
      <c r="CM263" s="5">
        <v>0.5</v>
      </c>
      <c r="CN263" s="5">
        <v>1</v>
      </c>
      <c r="CO263" s="5"/>
      <c r="CP263" s="5" t="s">
        <v>74</v>
      </c>
    </row>
    <row r="264" spans="1:94" ht="25.25" customHeight="1">
      <c r="A264" s="5">
        <v>263</v>
      </c>
      <c r="B264" s="9" t="s">
        <v>339</v>
      </c>
      <c r="C264" s="9">
        <v>2024202241</v>
      </c>
      <c r="D264" s="5" t="s">
        <v>330</v>
      </c>
      <c r="E264" s="5">
        <f>SUM(G264:$XET264)</f>
        <v>23</v>
      </c>
      <c r="F264" s="5">
        <f>COUNT(G264:$XFD264)</f>
        <v>3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>
        <v>18</v>
      </c>
      <c r="Y264" s="5"/>
      <c r="Z264" s="5"/>
      <c r="AA264" s="5"/>
      <c r="AB264" s="5" t="s">
        <v>74</v>
      </c>
      <c r="AC264" s="5">
        <v>1</v>
      </c>
      <c r="AD264" s="5"/>
      <c r="AE264" s="5"/>
      <c r="AF264" s="5"/>
      <c r="AG264" s="5" t="s">
        <v>74</v>
      </c>
      <c r="AH264" s="5" t="s">
        <v>74</v>
      </c>
      <c r="AI264" s="5" t="s">
        <v>74</v>
      </c>
      <c r="AJ264" s="5" t="s">
        <v>74</v>
      </c>
      <c r="AK264" s="5" t="s">
        <v>74</v>
      </c>
      <c r="AL264" s="5"/>
      <c r="AM264" s="5"/>
      <c r="AN264" s="5"/>
      <c r="AO264" s="5"/>
      <c r="AP264" s="5"/>
      <c r="AQ264" s="5"/>
      <c r="AR264" s="5" t="s">
        <v>74</v>
      </c>
      <c r="AS264" s="5" t="s">
        <v>74</v>
      </c>
      <c r="AT264" s="5" t="s">
        <v>74</v>
      </c>
      <c r="AU264" s="5" t="s">
        <v>74</v>
      </c>
      <c r="AV264" s="5" t="s">
        <v>74</v>
      </c>
      <c r="AW264" s="5" t="s">
        <v>74</v>
      </c>
      <c r="AX264" s="5" t="s">
        <v>74</v>
      </c>
      <c r="AY264" s="5" t="s">
        <v>74</v>
      </c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 t="s">
        <v>74</v>
      </c>
      <c r="BQ264" s="5" t="s">
        <v>74</v>
      </c>
      <c r="BR264" s="5" t="s">
        <v>74</v>
      </c>
      <c r="BS264" s="5"/>
      <c r="BT264" s="5" t="s">
        <v>74</v>
      </c>
      <c r="BU264" s="6" t="s">
        <v>51</v>
      </c>
      <c r="BV264" s="5" t="s">
        <v>74</v>
      </c>
      <c r="BW264" s="5"/>
      <c r="BX264" s="5" t="s">
        <v>74</v>
      </c>
      <c r="BY264" s="5"/>
      <c r="BZ264" s="5"/>
      <c r="CA264" s="10">
        <v>4</v>
      </c>
      <c r="CB264" s="5" t="s">
        <v>74</v>
      </c>
      <c r="CC264" s="5" t="s">
        <v>74</v>
      </c>
      <c r="CD264" s="5" t="s">
        <v>74</v>
      </c>
      <c r="CE264" s="5" t="s">
        <v>74</v>
      </c>
      <c r="CF264" s="8"/>
      <c r="CG264" s="5"/>
      <c r="CH264" s="5" t="s">
        <v>74</v>
      </c>
      <c r="CI264" s="5" t="s">
        <v>74</v>
      </c>
      <c r="CJ264" s="8" t="s">
        <v>74</v>
      </c>
      <c r="CK264" s="5"/>
      <c r="CL264" s="5" t="s">
        <v>74</v>
      </c>
      <c r="CM264" s="5" t="s">
        <v>74</v>
      </c>
      <c r="CN264" s="5" t="s">
        <v>74</v>
      </c>
      <c r="CO264" s="5"/>
      <c r="CP264" s="5" t="s">
        <v>74</v>
      </c>
    </row>
    <row r="265" spans="1:94" ht="25.25" customHeight="1">
      <c r="A265" s="5">
        <v>264</v>
      </c>
      <c r="B265" s="9" t="s">
        <v>340</v>
      </c>
      <c r="C265" s="9">
        <v>2024202874</v>
      </c>
      <c r="D265" s="5" t="s">
        <v>330</v>
      </c>
      <c r="E265" s="5">
        <f>SUM(G265:$XET265)</f>
        <v>107</v>
      </c>
      <c r="F265" s="5">
        <f>COUNT(G265:$XFD265)</f>
        <v>12</v>
      </c>
      <c r="G265" s="5"/>
      <c r="H265" s="5"/>
      <c r="I265" s="5">
        <v>4</v>
      </c>
      <c r="J265" s="5"/>
      <c r="K265" s="5">
        <v>9</v>
      </c>
      <c r="L265" s="5"/>
      <c r="M265" s="5"/>
      <c r="N265" s="5"/>
      <c r="O265" s="5"/>
      <c r="P265" s="5"/>
      <c r="Q265" s="5"/>
      <c r="R265" s="5"/>
      <c r="S265" s="5">
        <v>13</v>
      </c>
      <c r="T265" s="5"/>
      <c r="U265" s="5"/>
      <c r="V265" s="5"/>
      <c r="W265" s="5"/>
      <c r="X265" s="5">
        <v>12</v>
      </c>
      <c r="Y265" s="5"/>
      <c r="Z265" s="5"/>
      <c r="AA265" s="5"/>
      <c r="AB265" s="5" t="s">
        <v>74</v>
      </c>
      <c r="AC265" s="5">
        <v>2</v>
      </c>
      <c r="AD265" s="5"/>
      <c r="AE265" s="5"/>
      <c r="AF265" s="5"/>
      <c r="AG265" s="5" t="s">
        <v>74</v>
      </c>
      <c r="AH265" s="5" t="s">
        <v>74</v>
      </c>
      <c r="AI265" s="5" t="s">
        <v>74</v>
      </c>
      <c r="AJ265" s="5">
        <v>2</v>
      </c>
      <c r="AK265" s="5">
        <v>4</v>
      </c>
      <c r="AL265" s="5"/>
      <c r="AM265" s="5"/>
      <c r="AN265" s="5"/>
      <c r="AO265" s="5"/>
      <c r="AP265" s="5"/>
      <c r="AQ265" s="5"/>
      <c r="AR265" s="5" t="s">
        <v>74</v>
      </c>
      <c r="AS265" s="5" t="s">
        <v>74</v>
      </c>
      <c r="AT265" s="5" t="s">
        <v>74</v>
      </c>
      <c r="AU265" s="5" t="s">
        <v>74</v>
      </c>
      <c r="AV265" s="5" t="s">
        <v>74</v>
      </c>
      <c r="AW265" s="5" t="s">
        <v>74</v>
      </c>
      <c r="AX265" s="5" t="s">
        <v>74</v>
      </c>
      <c r="AY265" s="5" t="s">
        <v>74</v>
      </c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>
        <v>4</v>
      </c>
      <c r="BQ265" s="5" t="s">
        <v>74</v>
      </c>
      <c r="BR265" s="5">
        <v>40</v>
      </c>
      <c r="BS265" s="5">
        <v>4</v>
      </c>
      <c r="BT265" s="5" t="s">
        <v>74</v>
      </c>
      <c r="BU265" s="6" t="s">
        <v>51</v>
      </c>
      <c r="BV265" s="5" t="s">
        <v>74</v>
      </c>
      <c r="BW265" s="5"/>
      <c r="BX265" s="5">
        <v>11</v>
      </c>
      <c r="BY265" s="5"/>
      <c r="BZ265" s="5"/>
      <c r="CA265" s="10" t="s">
        <v>74</v>
      </c>
      <c r="CB265" s="5" t="s">
        <v>74</v>
      </c>
      <c r="CC265" s="5" t="s">
        <v>74</v>
      </c>
      <c r="CD265" s="5" t="s">
        <v>74</v>
      </c>
      <c r="CE265" s="5">
        <v>2</v>
      </c>
      <c r="CF265" s="8"/>
      <c r="CG265" s="5"/>
      <c r="CH265" s="5" t="s">
        <v>74</v>
      </c>
      <c r="CI265" s="5" t="s">
        <v>74</v>
      </c>
      <c r="CJ265" s="8" t="s">
        <v>74</v>
      </c>
      <c r="CK265" s="5"/>
      <c r="CL265" s="5" t="s">
        <v>74</v>
      </c>
      <c r="CM265" s="5" t="s">
        <v>74</v>
      </c>
      <c r="CN265" s="5" t="s">
        <v>74</v>
      </c>
      <c r="CO265" s="5"/>
      <c r="CP265" s="5" t="s">
        <v>74</v>
      </c>
    </row>
    <row r="266" spans="1:94" ht="25.25" customHeight="1">
      <c r="A266" s="5">
        <v>265</v>
      </c>
      <c r="B266" s="9" t="s">
        <v>341</v>
      </c>
      <c r="C266" s="9">
        <v>2024202876</v>
      </c>
      <c r="D266" s="5" t="s">
        <v>330</v>
      </c>
      <c r="E266" s="5">
        <f>SUM(G266:$XET266)</f>
        <v>14</v>
      </c>
      <c r="F266" s="5">
        <f>COUNT(G266:$XFD266)</f>
        <v>1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>
        <v>14</v>
      </c>
      <c r="Y266" s="5"/>
      <c r="Z266" s="5"/>
      <c r="AA266" s="5"/>
      <c r="AB266" s="5" t="s">
        <v>74</v>
      </c>
      <c r="AC266" s="5" t="s">
        <v>74</v>
      </c>
      <c r="AD266" s="5"/>
      <c r="AE266" s="5"/>
      <c r="AF266" s="5"/>
      <c r="AG266" s="5" t="s">
        <v>74</v>
      </c>
      <c r="AH266" s="5" t="s">
        <v>74</v>
      </c>
      <c r="AI266" s="5" t="s">
        <v>74</v>
      </c>
      <c r="AJ266" s="5" t="s">
        <v>74</v>
      </c>
      <c r="AK266" s="5" t="s">
        <v>74</v>
      </c>
      <c r="AL266" s="5"/>
      <c r="AM266" s="5"/>
      <c r="AN266" s="5"/>
      <c r="AO266" s="5"/>
      <c r="AP266" s="5"/>
      <c r="AQ266" s="5"/>
      <c r="AR266" s="5" t="s">
        <v>74</v>
      </c>
      <c r="AS266" s="5" t="s">
        <v>74</v>
      </c>
      <c r="AT266" s="5" t="s">
        <v>74</v>
      </c>
      <c r="AU266" s="5" t="s">
        <v>74</v>
      </c>
      <c r="AV266" s="5" t="s">
        <v>74</v>
      </c>
      <c r="AW266" s="5" t="s">
        <v>74</v>
      </c>
      <c r="AX266" s="5" t="s">
        <v>74</v>
      </c>
      <c r="AY266" s="5" t="s">
        <v>74</v>
      </c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 t="s">
        <v>74</v>
      </c>
      <c r="BQ266" s="5" t="s">
        <v>74</v>
      </c>
      <c r="BR266" s="5" t="s">
        <v>74</v>
      </c>
      <c r="BS266" s="5"/>
      <c r="BT266" s="5" t="s">
        <v>74</v>
      </c>
      <c r="BU266" s="6" t="s">
        <v>51</v>
      </c>
      <c r="BV266" s="5" t="s">
        <v>74</v>
      </c>
      <c r="BW266" s="5"/>
      <c r="BX266" s="5" t="s">
        <v>74</v>
      </c>
      <c r="BY266" s="5"/>
      <c r="BZ266" s="5"/>
      <c r="CA266" s="10" t="s">
        <v>74</v>
      </c>
      <c r="CB266" s="5" t="s">
        <v>74</v>
      </c>
      <c r="CC266" s="5" t="s">
        <v>74</v>
      </c>
      <c r="CD266" s="5" t="s">
        <v>74</v>
      </c>
      <c r="CE266" s="5" t="s">
        <v>74</v>
      </c>
      <c r="CF266" s="8"/>
      <c r="CG266" s="5"/>
      <c r="CH266" s="5" t="s">
        <v>74</v>
      </c>
      <c r="CI266" s="5" t="s">
        <v>74</v>
      </c>
      <c r="CJ266" s="8" t="s">
        <v>74</v>
      </c>
      <c r="CK266" s="5"/>
      <c r="CL266" s="5" t="s">
        <v>74</v>
      </c>
      <c r="CM266" s="5" t="s">
        <v>74</v>
      </c>
      <c r="CN266" s="5" t="s">
        <v>74</v>
      </c>
      <c r="CO266" s="5"/>
      <c r="CP266" s="5" t="s">
        <v>74</v>
      </c>
    </row>
    <row r="267" spans="1:94" ht="25.25" customHeight="1">
      <c r="A267" s="5">
        <v>266</v>
      </c>
      <c r="B267" s="9" t="s">
        <v>342</v>
      </c>
      <c r="C267" s="9">
        <v>2024201962</v>
      </c>
      <c r="D267" s="5" t="s">
        <v>330</v>
      </c>
      <c r="E267" s="5">
        <f>SUM(G267:$XET267)</f>
        <v>209</v>
      </c>
      <c r="F267" s="5">
        <f>COUNT(G267:$XFD267)</f>
        <v>10</v>
      </c>
      <c r="G267" s="5"/>
      <c r="H267" s="5"/>
      <c r="I267" s="5"/>
      <c r="J267" s="5">
        <v>4</v>
      </c>
      <c r="K267" s="5"/>
      <c r="L267" s="5"/>
      <c r="M267" s="5"/>
      <c r="N267" s="5"/>
      <c r="O267" s="5"/>
      <c r="P267" s="5"/>
      <c r="Q267" s="5"/>
      <c r="R267" s="5">
        <v>10</v>
      </c>
      <c r="S267" s="5"/>
      <c r="T267" s="5">
        <v>16</v>
      </c>
      <c r="U267" s="5"/>
      <c r="V267" s="5"/>
      <c r="W267" s="5"/>
      <c r="X267" s="5"/>
      <c r="Y267" s="5"/>
      <c r="Z267" s="5"/>
      <c r="AA267" s="5"/>
      <c r="AB267" s="5" t="s">
        <v>74</v>
      </c>
      <c r="AC267" s="5" t="s">
        <v>74</v>
      </c>
      <c r="AD267" s="5"/>
      <c r="AE267" s="5"/>
      <c r="AF267" s="5"/>
      <c r="AG267" s="5" t="s">
        <v>74</v>
      </c>
      <c r="AH267" s="5" t="s">
        <v>74</v>
      </c>
      <c r="AI267" s="5">
        <v>12</v>
      </c>
      <c r="AJ267" s="5">
        <v>2</v>
      </c>
      <c r="AK267" s="5">
        <v>4</v>
      </c>
      <c r="AL267" s="5"/>
      <c r="AM267" s="5"/>
      <c r="AN267" s="5"/>
      <c r="AO267" s="5"/>
      <c r="AP267" s="5"/>
      <c r="AQ267" s="5"/>
      <c r="AR267" s="5" t="s">
        <v>74</v>
      </c>
      <c r="AS267" s="5" t="s">
        <v>74</v>
      </c>
      <c r="AT267" s="5">
        <v>72</v>
      </c>
      <c r="AU267" s="5" t="s">
        <v>74</v>
      </c>
      <c r="AV267" s="5" t="s">
        <v>74</v>
      </c>
      <c r="AW267" s="5" t="s">
        <v>74</v>
      </c>
      <c r="AX267" s="5" t="s">
        <v>74</v>
      </c>
      <c r="AY267" s="5">
        <v>60</v>
      </c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 t="s">
        <v>74</v>
      </c>
      <c r="BQ267" s="5" t="s">
        <v>74</v>
      </c>
      <c r="BR267" s="5" t="s">
        <v>74</v>
      </c>
      <c r="BS267" s="5"/>
      <c r="BT267" s="5" t="s">
        <v>74</v>
      </c>
      <c r="BU267" s="6" t="s">
        <v>51</v>
      </c>
      <c r="BV267" s="5" t="s">
        <v>74</v>
      </c>
      <c r="BW267" s="5"/>
      <c r="BX267" s="5">
        <v>13</v>
      </c>
      <c r="BY267" s="5"/>
      <c r="BZ267" s="5"/>
      <c r="CA267" s="10" t="s">
        <v>74</v>
      </c>
      <c r="CB267" s="5" t="s">
        <v>74</v>
      </c>
      <c r="CC267" s="5" t="s">
        <v>74</v>
      </c>
      <c r="CD267" s="5" t="s">
        <v>74</v>
      </c>
      <c r="CE267" s="5" t="s">
        <v>74</v>
      </c>
      <c r="CF267" s="8"/>
      <c r="CG267" s="5"/>
      <c r="CH267" s="5" t="s">
        <v>74</v>
      </c>
      <c r="CI267" s="5">
        <v>16</v>
      </c>
      <c r="CJ267" s="8" t="s">
        <v>74</v>
      </c>
      <c r="CK267" s="5"/>
      <c r="CL267" s="5" t="s">
        <v>74</v>
      </c>
      <c r="CM267" s="5" t="s">
        <v>74</v>
      </c>
      <c r="CN267" s="5" t="s">
        <v>74</v>
      </c>
      <c r="CO267" s="5"/>
      <c r="CP267" s="5" t="s">
        <v>74</v>
      </c>
    </row>
    <row r="268" spans="1:94" ht="25.25" customHeight="1">
      <c r="A268" s="5">
        <v>267</v>
      </c>
      <c r="B268" s="9" t="s">
        <v>343</v>
      </c>
      <c r="C268" s="9">
        <v>2024201969</v>
      </c>
      <c r="D268" s="5" t="s">
        <v>330</v>
      </c>
      <c r="E268" s="5">
        <f>SUM(G268:$XET268)</f>
        <v>28</v>
      </c>
      <c r="F268" s="5">
        <f>COUNT(G268:$XFD268)</f>
        <v>5</v>
      </c>
      <c r="G268" s="5"/>
      <c r="H268" s="5"/>
      <c r="I268" s="5"/>
      <c r="J268" s="5"/>
      <c r="K268" s="5">
        <v>10</v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>
        <v>3</v>
      </c>
      <c r="X268" s="5"/>
      <c r="Y268" s="5"/>
      <c r="Z268" s="5"/>
      <c r="AA268" s="5"/>
      <c r="AB268" s="5" t="s">
        <v>74</v>
      </c>
      <c r="AC268" s="5">
        <v>1.5</v>
      </c>
      <c r="AD268" s="5"/>
      <c r="AE268" s="5"/>
      <c r="AF268" s="5"/>
      <c r="AG268" s="5" t="s">
        <v>74</v>
      </c>
      <c r="AH268" s="5" t="s">
        <v>74</v>
      </c>
      <c r="AI268" s="5">
        <v>12</v>
      </c>
      <c r="AJ268" s="5" t="s">
        <v>74</v>
      </c>
      <c r="AK268" s="5" t="s">
        <v>74</v>
      </c>
      <c r="AL268" s="5"/>
      <c r="AM268" s="5"/>
      <c r="AN268" s="5"/>
      <c r="AO268" s="5"/>
      <c r="AP268" s="5"/>
      <c r="AQ268" s="5"/>
      <c r="AR268" s="5" t="s">
        <v>74</v>
      </c>
      <c r="AS268" s="5" t="s">
        <v>74</v>
      </c>
      <c r="AT268" s="5" t="s">
        <v>74</v>
      </c>
      <c r="AU268" s="5" t="s">
        <v>74</v>
      </c>
      <c r="AV268" s="5" t="s">
        <v>74</v>
      </c>
      <c r="AW268" s="5" t="s">
        <v>74</v>
      </c>
      <c r="AX268" s="5" t="s">
        <v>74</v>
      </c>
      <c r="AY268" s="5" t="s">
        <v>74</v>
      </c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 t="s">
        <v>74</v>
      </c>
      <c r="BQ268" s="5" t="s">
        <v>74</v>
      </c>
      <c r="BR268" s="5" t="s">
        <v>74</v>
      </c>
      <c r="BS268" s="5"/>
      <c r="BT268" s="5" t="s">
        <v>74</v>
      </c>
      <c r="BU268" s="6" t="s">
        <v>51</v>
      </c>
      <c r="BV268" s="5" t="s">
        <v>74</v>
      </c>
      <c r="BW268" s="5"/>
      <c r="BX268" s="5" t="s">
        <v>74</v>
      </c>
      <c r="BY268" s="5"/>
      <c r="BZ268" s="5"/>
      <c r="CA268" s="10" t="s">
        <v>74</v>
      </c>
      <c r="CB268" s="5" t="s">
        <v>74</v>
      </c>
      <c r="CC268" s="5" t="s">
        <v>74</v>
      </c>
      <c r="CD268" s="5" t="s">
        <v>74</v>
      </c>
      <c r="CE268" s="5">
        <v>1.5</v>
      </c>
      <c r="CF268" s="8"/>
      <c r="CG268" s="5"/>
      <c r="CH268" s="5" t="s">
        <v>74</v>
      </c>
      <c r="CI268" s="5" t="s">
        <v>74</v>
      </c>
      <c r="CJ268" s="8" t="s">
        <v>74</v>
      </c>
      <c r="CK268" s="5"/>
      <c r="CL268" s="5" t="s">
        <v>74</v>
      </c>
      <c r="CM268" s="5" t="s">
        <v>74</v>
      </c>
      <c r="CN268" s="5" t="s">
        <v>74</v>
      </c>
      <c r="CO268" s="5"/>
      <c r="CP268" s="5" t="s">
        <v>74</v>
      </c>
    </row>
    <row r="269" spans="1:94" ht="25.25" customHeight="1">
      <c r="A269" s="5">
        <v>268</v>
      </c>
      <c r="B269" s="9" t="s">
        <v>344</v>
      </c>
      <c r="C269" s="9">
        <v>2024202003</v>
      </c>
      <c r="D269" s="5" t="s">
        <v>330</v>
      </c>
      <c r="E269" s="5">
        <f>SUM(G269:$XET269)</f>
        <v>73.5</v>
      </c>
      <c r="F269" s="5">
        <f>COUNT(G269:$XFD269)</f>
        <v>11</v>
      </c>
      <c r="G269" s="5"/>
      <c r="H269" s="5"/>
      <c r="I269" s="5"/>
      <c r="J269" s="5"/>
      <c r="K269" s="5">
        <v>15</v>
      </c>
      <c r="L269" s="5">
        <v>2</v>
      </c>
      <c r="M269" s="5"/>
      <c r="N269" s="5"/>
      <c r="O269" s="5"/>
      <c r="P269" s="5"/>
      <c r="Q269" s="5">
        <v>3</v>
      </c>
      <c r="R269" s="5"/>
      <c r="S269" s="5">
        <v>20</v>
      </c>
      <c r="T269" s="5"/>
      <c r="U269" s="5"/>
      <c r="V269" s="5"/>
      <c r="W269" s="5">
        <v>7</v>
      </c>
      <c r="X269" s="5"/>
      <c r="Y269" s="5"/>
      <c r="Z269" s="5"/>
      <c r="AA269" s="5">
        <v>4</v>
      </c>
      <c r="AB269" s="5" t="s">
        <v>74</v>
      </c>
      <c r="AC269" s="5">
        <v>1</v>
      </c>
      <c r="AD269" s="5"/>
      <c r="AE269" s="5"/>
      <c r="AF269" s="5"/>
      <c r="AG269" s="5" t="s">
        <v>74</v>
      </c>
      <c r="AH269" s="5" t="s">
        <v>74</v>
      </c>
      <c r="AI269" s="5" t="s">
        <v>74</v>
      </c>
      <c r="AJ269" s="5" t="s">
        <v>74</v>
      </c>
      <c r="AK269" s="5">
        <v>4</v>
      </c>
      <c r="AL269" s="5"/>
      <c r="AM269" s="5"/>
      <c r="AN269" s="5"/>
      <c r="AO269" s="5"/>
      <c r="AP269" s="5"/>
      <c r="AQ269" s="5"/>
      <c r="AR269" s="5" t="s">
        <v>74</v>
      </c>
      <c r="AS269" s="5" t="s">
        <v>74</v>
      </c>
      <c r="AT269" s="5" t="s">
        <v>74</v>
      </c>
      <c r="AU269" s="5">
        <v>5</v>
      </c>
      <c r="AV269" s="5" t="s">
        <v>74</v>
      </c>
      <c r="AW269" s="5" t="s">
        <v>74</v>
      </c>
      <c r="AX269" s="5" t="s">
        <v>74</v>
      </c>
      <c r="AY269" s="5" t="s">
        <v>74</v>
      </c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 t="s">
        <v>74</v>
      </c>
      <c r="BQ269" s="5" t="s">
        <v>74</v>
      </c>
      <c r="BR269" s="5" t="s">
        <v>74</v>
      </c>
      <c r="BS269" s="5"/>
      <c r="BT269" s="5" t="s">
        <v>74</v>
      </c>
      <c r="BU269" s="6" t="s">
        <v>51</v>
      </c>
      <c r="BV269" s="5" t="s">
        <v>74</v>
      </c>
      <c r="BW269" s="5"/>
      <c r="BX269" s="5">
        <v>12</v>
      </c>
      <c r="BY269" s="5"/>
      <c r="BZ269" s="5"/>
      <c r="CA269" s="10" t="s">
        <v>74</v>
      </c>
      <c r="CB269" s="5" t="s">
        <v>74</v>
      </c>
      <c r="CC269" s="5" t="s">
        <v>74</v>
      </c>
      <c r="CD269" s="5" t="s">
        <v>74</v>
      </c>
      <c r="CE269" s="5">
        <v>0.5</v>
      </c>
      <c r="CF269" s="8"/>
      <c r="CG269" s="5"/>
      <c r="CH269" s="5" t="s">
        <v>74</v>
      </c>
      <c r="CI269" s="5" t="s">
        <v>74</v>
      </c>
      <c r="CJ269" s="8" t="s">
        <v>74</v>
      </c>
      <c r="CK269" s="5"/>
      <c r="CL269" s="5" t="s">
        <v>74</v>
      </c>
      <c r="CM269" s="5" t="s">
        <v>74</v>
      </c>
      <c r="CN269" s="5" t="s">
        <v>74</v>
      </c>
      <c r="CO269" s="5"/>
      <c r="CP269" s="5" t="s">
        <v>74</v>
      </c>
    </row>
    <row r="270" spans="1:94" ht="25.25" customHeight="1">
      <c r="A270" s="5">
        <v>269</v>
      </c>
      <c r="B270" s="9" t="s">
        <v>345</v>
      </c>
      <c r="C270" s="9">
        <v>2024202036</v>
      </c>
      <c r="D270" s="5" t="s">
        <v>330</v>
      </c>
      <c r="E270" s="5">
        <f>SUM(G270:$XET270)</f>
        <v>26.5</v>
      </c>
      <c r="F270" s="5">
        <f>COUNT(G270:$XFD270)</f>
        <v>5</v>
      </c>
      <c r="G270" s="5"/>
      <c r="H270" s="5"/>
      <c r="I270" s="5"/>
      <c r="J270" s="5"/>
      <c r="K270" s="5">
        <v>10</v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 t="s">
        <v>74</v>
      </c>
      <c r="AC270" s="5" t="s">
        <v>74</v>
      </c>
      <c r="AD270" s="5"/>
      <c r="AE270" s="5"/>
      <c r="AF270" s="5"/>
      <c r="AG270" s="5" t="s">
        <v>74</v>
      </c>
      <c r="AH270" s="5" t="s">
        <v>74</v>
      </c>
      <c r="AI270" s="5" t="s">
        <v>74</v>
      </c>
      <c r="AJ270" s="5" t="s">
        <v>74</v>
      </c>
      <c r="AK270" s="5">
        <v>4</v>
      </c>
      <c r="AL270" s="5"/>
      <c r="AM270" s="5"/>
      <c r="AN270" s="5"/>
      <c r="AO270" s="5"/>
      <c r="AP270" s="5"/>
      <c r="AQ270" s="5"/>
      <c r="AR270" s="5" t="s">
        <v>74</v>
      </c>
      <c r="AS270" s="5" t="s">
        <v>74</v>
      </c>
      <c r="AT270" s="5" t="s">
        <v>74</v>
      </c>
      <c r="AU270" s="5">
        <v>5</v>
      </c>
      <c r="AV270" s="5" t="s">
        <v>74</v>
      </c>
      <c r="AW270" s="5" t="s">
        <v>74</v>
      </c>
      <c r="AX270" s="5" t="s">
        <v>74</v>
      </c>
      <c r="AY270" s="5" t="s">
        <v>74</v>
      </c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>
        <v>4</v>
      </c>
      <c r="BQ270" s="5" t="s">
        <v>74</v>
      </c>
      <c r="BR270" s="5" t="s">
        <v>74</v>
      </c>
      <c r="BS270" s="5"/>
      <c r="BT270" s="5" t="s">
        <v>74</v>
      </c>
      <c r="BU270" s="6" t="s">
        <v>51</v>
      </c>
      <c r="BV270" s="5" t="s">
        <v>74</v>
      </c>
      <c r="BW270" s="5"/>
      <c r="BX270" s="5">
        <v>3.5</v>
      </c>
      <c r="BY270" s="5"/>
      <c r="BZ270" s="5"/>
      <c r="CA270" s="10" t="s">
        <v>74</v>
      </c>
      <c r="CB270" s="5" t="s">
        <v>74</v>
      </c>
      <c r="CC270" s="5" t="s">
        <v>74</v>
      </c>
      <c r="CD270" s="5" t="s">
        <v>74</v>
      </c>
      <c r="CE270" s="5" t="s">
        <v>74</v>
      </c>
      <c r="CF270" s="8"/>
      <c r="CG270" s="5"/>
      <c r="CH270" s="5" t="s">
        <v>74</v>
      </c>
      <c r="CI270" s="5" t="s">
        <v>74</v>
      </c>
      <c r="CJ270" s="8" t="s">
        <v>74</v>
      </c>
      <c r="CK270" s="5"/>
      <c r="CL270" s="5" t="s">
        <v>74</v>
      </c>
      <c r="CM270" s="5" t="s">
        <v>74</v>
      </c>
      <c r="CN270" s="5" t="s">
        <v>74</v>
      </c>
      <c r="CO270" s="5"/>
      <c r="CP270" s="5" t="s">
        <v>74</v>
      </c>
    </row>
    <row r="271" spans="1:94" ht="25.25" customHeight="1">
      <c r="A271" s="5">
        <v>270</v>
      </c>
      <c r="B271" s="9" t="s">
        <v>346</v>
      </c>
      <c r="C271" s="9">
        <v>2024202068</v>
      </c>
      <c r="D271" s="5" t="s">
        <v>330</v>
      </c>
      <c r="E271" s="5">
        <f>SUM(G271:$XET271)</f>
        <v>133</v>
      </c>
      <c r="F271" s="5">
        <f>COUNT(G271:$XFD271)</f>
        <v>9</v>
      </c>
      <c r="G271" s="5"/>
      <c r="H271" s="5"/>
      <c r="I271" s="5"/>
      <c r="J271" s="5"/>
      <c r="K271" s="5">
        <v>10</v>
      </c>
      <c r="L271" s="5"/>
      <c r="M271" s="5"/>
      <c r="N271" s="5"/>
      <c r="O271" s="5"/>
      <c r="P271" s="5">
        <v>6</v>
      </c>
      <c r="Q271" s="5"/>
      <c r="R271" s="5"/>
      <c r="S271" s="5"/>
      <c r="T271" s="5"/>
      <c r="U271" s="5"/>
      <c r="V271" s="5"/>
      <c r="W271" s="5">
        <v>4</v>
      </c>
      <c r="X271" s="5"/>
      <c r="Y271" s="5"/>
      <c r="Z271" s="5"/>
      <c r="AA271" s="5"/>
      <c r="AB271" s="5" t="s">
        <v>74</v>
      </c>
      <c r="AC271" s="5">
        <v>2</v>
      </c>
      <c r="AD271" s="5"/>
      <c r="AE271" s="5"/>
      <c r="AF271" s="5"/>
      <c r="AG271" s="5" t="s">
        <v>74</v>
      </c>
      <c r="AH271" s="5" t="s">
        <v>74</v>
      </c>
      <c r="AI271" s="5" t="s">
        <v>74</v>
      </c>
      <c r="AJ271" s="5" t="s">
        <v>74</v>
      </c>
      <c r="AK271" s="5">
        <v>4</v>
      </c>
      <c r="AL271" s="5"/>
      <c r="AM271" s="5"/>
      <c r="AN271" s="5"/>
      <c r="AO271" s="5"/>
      <c r="AP271" s="5"/>
      <c r="AQ271" s="5"/>
      <c r="AR271" s="5" t="s">
        <v>74</v>
      </c>
      <c r="AS271" s="5" t="s">
        <v>74</v>
      </c>
      <c r="AT271" s="5" t="s">
        <v>74</v>
      </c>
      <c r="AU271" s="5" t="s">
        <v>74</v>
      </c>
      <c r="AV271" s="5">
        <v>2</v>
      </c>
      <c r="AW271" s="5" t="s">
        <v>74</v>
      </c>
      <c r="AX271" s="5" t="s">
        <v>74</v>
      </c>
      <c r="AY271" s="5" t="s">
        <v>74</v>
      </c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>
        <v>4</v>
      </c>
      <c r="BQ271" s="5" t="s">
        <v>74</v>
      </c>
      <c r="BR271" s="5">
        <v>100</v>
      </c>
      <c r="BS271" s="5"/>
      <c r="BT271" s="5" t="s">
        <v>74</v>
      </c>
      <c r="BU271" s="6" t="s">
        <v>51</v>
      </c>
      <c r="BV271" s="5">
        <v>1</v>
      </c>
      <c r="BW271" s="5"/>
      <c r="BX271" s="5" t="s">
        <v>74</v>
      </c>
      <c r="BY271" s="5"/>
      <c r="BZ271" s="5"/>
      <c r="CA271" s="10" t="s">
        <v>74</v>
      </c>
      <c r="CB271" s="5" t="s">
        <v>74</v>
      </c>
      <c r="CC271" s="5" t="s">
        <v>74</v>
      </c>
      <c r="CD271" s="5" t="s">
        <v>74</v>
      </c>
      <c r="CE271" s="5" t="s">
        <v>74</v>
      </c>
      <c r="CF271" s="8"/>
      <c r="CG271" s="5"/>
      <c r="CH271" s="5" t="s">
        <v>74</v>
      </c>
      <c r="CI271" s="5" t="s">
        <v>74</v>
      </c>
      <c r="CJ271" s="8" t="s">
        <v>74</v>
      </c>
      <c r="CK271" s="5"/>
      <c r="CL271" s="5" t="s">
        <v>74</v>
      </c>
      <c r="CM271" s="5" t="s">
        <v>74</v>
      </c>
      <c r="CN271" s="5" t="s">
        <v>74</v>
      </c>
      <c r="CO271" s="5"/>
      <c r="CP271" s="5" t="s">
        <v>74</v>
      </c>
    </row>
    <row r="272" spans="1:94" ht="25.25" customHeight="1">
      <c r="A272" s="5">
        <v>271</v>
      </c>
      <c r="B272" s="9" t="s">
        <v>347</v>
      </c>
      <c r="C272" s="9">
        <v>2024202004</v>
      </c>
      <c r="D272" s="5" t="s">
        <v>330</v>
      </c>
      <c r="E272" s="5">
        <f>SUM(G272:$XET272)</f>
        <v>29</v>
      </c>
      <c r="F272" s="5">
        <f>COUNT(G272:$XFD272)</f>
        <v>3</v>
      </c>
      <c r="G272" s="5"/>
      <c r="H272" s="5"/>
      <c r="I272" s="5"/>
      <c r="J272" s="5"/>
      <c r="K272" s="5">
        <v>10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>
        <v>18</v>
      </c>
      <c r="Y272" s="5"/>
      <c r="Z272" s="5"/>
      <c r="AA272" s="5"/>
      <c r="AB272" s="5" t="s">
        <v>74</v>
      </c>
      <c r="AC272" s="5">
        <v>1</v>
      </c>
      <c r="AD272" s="5"/>
      <c r="AE272" s="5"/>
      <c r="AF272" s="5"/>
      <c r="AG272" s="5" t="s">
        <v>74</v>
      </c>
      <c r="AH272" s="5" t="s">
        <v>74</v>
      </c>
      <c r="AI272" s="5" t="s">
        <v>74</v>
      </c>
      <c r="AJ272" s="5" t="s">
        <v>74</v>
      </c>
      <c r="AK272" s="5" t="s">
        <v>74</v>
      </c>
      <c r="AL272" s="5"/>
      <c r="AM272" s="5"/>
      <c r="AN272" s="5"/>
      <c r="AO272" s="5"/>
      <c r="AP272" s="5"/>
      <c r="AQ272" s="5"/>
      <c r="AR272" s="5" t="s">
        <v>74</v>
      </c>
      <c r="AS272" s="5" t="s">
        <v>74</v>
      </c>
      <c r="AT272" s="5" t="s">
        <v>74</v>
      </c>
      <c r="AU272" s="5" t="s">
        <v>74</v>
      </c>
      <c r="AV272" s="5" t="s">
        <v>74</v>
      </c>
      <c r="AW272" s="5" t="s">
        <v>74</v>
      </c>
      <c r="AX272" s="5" t="s">
        <v>74</v>
      </c>
      <c r="AY272" s="5" t="s">
        <v>74</v>
      </c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 t="s">
        <v>74</v>
      </c>
      <c r="BQ272" s="5" t="s">
        <v>74</v>
      </c>
      <c r="BR272" s="5" t="s">
        <v>74</v>
      </c>
      <c r="BS272" s="5"/>
      <c r="BT272" s="5" t="s">
        <v>74</v>
      </c>
      <c r="BU272" s="6" t="s">
        <v>51</v>
      </c>
      <c r="BV272" s="5" t="s">
        <v>74</v>
      </c>
      <c r="BW272" s="5"/>
      <c r="BX272" s="5" t="s">
        <v>74</v>
      </c>
      <c r="BY272" s="5"/>
      <c r="BZ272" s="5"/>
      <c r="CA272" s="10" t="s">
        <v>74</v>
      </c>
      <c r="CB272" s="5" t="s">
        <v>74</v>
      </c>
      <c r="CC272" s="5" t="s">
        <v>74</v>
      </c>
      <c r="CD272" s="5" t="s">
        <v>74</v>
      </c>
      <c r="CE272" s="5" t="s">
        <v>74</v>
      </c>
      <c r="CF272" s="8"/>
      <c r="CG272" s="5"/>
      <c r="CH272" s="5" t="s">
        <v>74</v>
      </c>
      <c r="CI272" s="5" t="s">
        <v>74</v>
      </c>
      <c r="CJ272" s="8" t="s">
        <v>74</v>
      </c>
      <c r="CK272" s="5"/>
      <c r="CL272" s="5" t="s">
        <v>74</v>
      </c>
      <c r="CM272" s="5" t="s">
        <v>74</v>
      </c>
      <c r="CN272" s="5" t="s">
        <v>74</v>
      </c>
      <c r="CO272" s="5"/>
      <c r="CP272" s="5" t="s">
        <v>74</v>
      </c>
    </row>
    <row r="273" spans="1:94" ht="25.25" customHeight="1">
      <c r="A273" s="5">
        <v>272</v>
      </c>
      <c r="B273" s="9" t="s">
        <v>348</v>
      </c>
      <c r="C273" s="9">
        <v>2024202073</v>
      </c>
      <c r="D273" s="5" t="s">
        <v>330</v>
      </c>
      <c r="E273" s="5">
        <f>SUM(G273:$XET273)</f>
        <v>73</v>
      </c>
      <c r="F273" s="5">
        <f>COUNT(G273:$XFD273)</f>
        <v>9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>
        <v>4</v>
      </c>
      <c r="R273" s="5"/>
      <c r="S273" s="5">
        <v>20</v>
      </c>
      <c r="T273" s="5">
        <v>16</v>
      </c>
      <c r="U273" s="5"/>
      <c r="V273" s="5"/>
      <c r="W273" s="5"/>
      <c r="X273" s="5">
        <v>6</v>
      </c>
      <c r="Y273" s="5"/>
      <c r="Z273" s="5"/>
      <c r="AA273" s="5"/>
      <c r="AB273" s="5" t="s">
        <v>74</v>
      </c>
      <c r="AC273" s="5" t="s">
        <v>74</v>
      </c>
      <c r="AD273" s="5"/>
      <c r="AE273" s="5"/>
      <c r="AF273" s="5"/>
      <c r="AG273" s="5" t="s">
        <v>74</v>
      </c>
      <c r="AH273" s="5" t="s">
        <v>74</v>
      </c>
      <c r="AI273" s="5" t="s">
        <v>74</v>
      </c>
      <c r="AJ273" s="5">
        <v>2</v>
      </c>
      <c r="AK273" s="5">
        <v>4</v>
      </c>
      <c r="AL273" s="5"/>
      <c r="AM273" s="5"/>
      <c r="AN273" s="5"/>
      <c r="AO273" s="5"/>
      <c r="AP273" s="5"/>
      <c r="AQ273" s="5"/>
      <c r="AR273" s="5" t="s">
        <v>74</v>
      </c>
      <c r="AS273" s="5">
        <v>15</v>
      </c>
      <c r="AT273" s="5" t="s">
        <v>74</v>
      </c>
      <c r="AU273" s="5" t="s">
        <v>74</v>
      </c>
      <c r="AV273" s="5" t="s">
        <v>74</v>
      </c>
      <c r="AW273" s="5" t="s">
        <v>74</v>
      </c>
      <c r="AX273" s="5" t="s">
        <v>74</v>
      </c>
      <c r="AY273" s="5" t="s">
        <v>74</v>
      </c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>
        <v>4</v>
      </c>
      <c r="BQ273" s="5" t="s">
        <v>74</v>
      </c>
      <c r="BR273" s="5" t="s">
        <v>74</v>
      </c>
      <c r="BS273" s="5"/>
      <c r="BT273" s="5" t="s">
        <v>74</v>
      </c>
      <c r="BU273" s="6" t="s">
        <v>51</v>
      </c>
      <c r="BV273" s="5" t="s">
        <v>74</v>
      </c>
      <c r="BW273" s="5"/>
      <c r="BX273" s="5" t="s">
        <v>74</v>
      </c>
      <c r="BY273" s="5"/>
      <c r="BZ273" s="5"/>
      <c r="CA273" s="10" t="s">
        <v>74</v>
      </c>
      <c r="CB273" s="5" t="s">
        <v>74</v>
      </c>
      <c r="CC273" s="5" t="s">
        <v>74</v>
      </c>
      <c r="CD273" s="5" t="s">
        <v>74</v>
      </c>
      <c r="CE273" s="5">
        <v>2</v>
      </c>
      <c r="CF273" s="8"/>
      <c r="CG273" s="5"/>
      <c r="CH273" s="5" t="s">
        <v>74</v>
      </c>
      <c r="CI273" s="5" t="s">
        <v>74</v>
      </c>
      <c r="CJ273" s="8" t="s">
        <v>74</v>
      </c>
      <c r="CK273" s="5"/>
      <c r="CL273" s="5" t="s">
        <v>74</v>
      </c>
      <c r="CM273" s="5" t="s">
        <v>74</v>
      </c>
      <c r="CN273" s="5" t="s">
        <v>74</v>
      </c>
      <c r="CO273" s="5"/>
      <c r="CP273" s="5" t="s">
        <v>74</v>
      </c>
    </row>
    <row r="274" spans="1:94" ht="25.25" customHeight="1">
      <c r="A274" s="5">
        <v>273</v>
      </c>
      <c r="B274" s="9" t="s">
        <v>349</v>
      </c>
      <c r="C274" s="9">
        <v>2024202137</v>
      </c>
      <c r="D274" s="5" t="s">
        <v>330</v>
      </c>
      <c r="E274" s="5">
        <f>SUM(G274:$XET274)</f>
        <v>103</v>
      </c>
      <c r="F274" s="5">
        <f>COUNT(G274:$XFD274)</f>
        <v>18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>
        <v>16</v>
      </c>
      <c r="U274" s="5"/>
      <c r="V274" s="5">
        <v>4</v>
      </c>
      <c r="W274" s="5">
        <v>4</v>
      </c>
      <c r="X274" s="5">
        <v>6</v>
      </c>
      <c r="Y274" s="5"/>
      <c r="Z274" s="5"/>
      <c r="AA274" s="5">
        <v>4</v>
      </c>
      <c r="AB274" s="5" t="s">
        <v>74</v>
      </c>
      <c r="AC274" s="5">
        <v>1.5</v>
      </c>
      <c r="AD274" s="5"/>
      <c r="AE274" s="5"/>
      <c r="AF274" s="5"/>
      <c r="AG274" s="5" t="s">
        <v>74</v>
      </c>
      <c r="AH274" s="5">
        <v>16.5</v>
      </c>
      <c r="AI274" s="5" t="s">
        <v>74</v>
      </c>
      <c r="AJ274" s="5">
        <v>2</v>
      </c>
      <c r="AK274" s="5">
        <v>4</v>
      </c>
      <c r="AL274" s="5"/>
      <c r="AM274" s="5"/>
      <c r="AN274" s="5"/>
      <c r="AO274" s="5"/>
      <c r="AP274" s="5"/>
      <c r="AQ274" s="5"/>
      <c r="AR274" s="5" t="s">
        <v>74</v>
      </c>
      <c r="AS274" s="5" t="s">
        <v>74</v>
      </c>
      <c r="AT274" s="5" t="s">
        <v>74</v>
      </c>
      <c r="AU274" s="5" t="s">
        <v>74</v>
      </c>
      <c r="AV274" s="5">
        <v>2</v>
      </c>
      <c r="AW274" s="5" t="s">
        <v>74</v>
      </c>
      <c r="AX274" s="5" t="s">
        <v>74</v>
      </c>
      <c r="AY274" s="5" t="s">
        <v>74</v>
      </c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>
        <v>4</v>
      </c>
      <c r="BQ274" s="5" t="s">
        <v>74</v>
      </c>
      <c r="BR274" s="5" t="s">
        <v>74</v>
      </c>
      <c r="BS274" s="5"/>
      <c r="BT274" s="5" t="s">
        <v>74</v>
      </c>
      <c r="BU274" s="6" t="s">
        <v>51</v>
      </c>
      <c r="BV274" s="5" t="s">
        <v>74</v>
      </c>
      <c r="BW274" s="5"/>
      <c r="BX274" s="5">
        <v>4</v>
      </c>
      <c r="BY274" s="5"/>
      <c r="BZ274" s="5"/>
      <c r="CA274" s="10" t="s">
        <v>74</v>
      </c>
      <c r="CB274" s="5" t="s">
        <v>74</v>
      </c>
      <c r="CC274" s="5" t="s">
        <v>74</v>
      </c>
      <c r="CD274" s="5" t="s">
        <v>74</v>
      </c>
      <c r="CE274" s="5">
        <v>2</v>
      </c>
      <c r="CF274" s="8"/>
      <c r="CG274" s="5"/>
      <c r="CH274" s="5" t="s">
        <v>74</v>
      </c>
      <c r="CI274" s="5">
        <v>16</v>
      </c>
      <c r="CJ274" s="8">
        <v>7</v>
      </c>
      <c r="CK274" s="5"/>
      <c r="CL274" s="5">
        <v>4</v>
      </c>
      <c r="CM274" s="5" t="s">
        <v>74</v>
      </c>
      <c r="CN274" s="5">
        <v>2</v>
      </c>
      <c r="CO274" s="5"/>
      <c r="CP274" s="5">
        <v>4</v>
      </c>
    </row>
    <row r="275" spans="1:94" ht="25.25" customHeight="1">
      <c r="A275" s="5">
        <v>274</v>
      </c>
      <c r="B275" s="9" t="s">
        <v>350</v>
      </c>
      <c r="C275" s="9">
        <v>2024202173</v>
      </c>
      <c r="D275" s="5" t="s">
        <v>330</v>
      </c>
      <c r="E275" s="5">
        <f>SUM(G275:$XET275)</f>
        <v>125</v>
      </c>
      <c r="F275" s="5">
        <f>COUNT(G275:$XFD275)</f>
        <v>15</v>
      </c>
      <c r="G275" s="5"/>
      <c r="H275" s="5"/>
      <c r="I275" s="5">
        <v>4.5</v>
      </c>
      <c r="J275" s="5"/>
      <c r="K275" s="5">
        <v>10</v>
      </c>
      <c r="L275" s="5">
        <v>12</v>
      </c>
      <c r="M275" s="5"/>
      <c r="N275" s="5"/>
      <c r="O275" s="5">
        <v>2</v>
      </c>
      <c r="P275" s="5"/>
      <c r="Q275" s="5">
        <v>3</v>
      </c>
      <c r="R275" s="5">
        <v>14.5</v>
      </c>
      <c r="S275" s="5"/>
      <c r="T275" s="5"/>
      <c r="U275" s="5"/>
      <c r="V275" s="5"/>
      <c r="W275" s="5"/>
      <c r="X275" s="5">
        <v>9</v>
      </c>
      <c r="Y275" s="5"/>
      <c r="Z275" s="5">
        <v>4</v>
      </c>
      <c r="AA275" s="5"/>
      <c r="AB275" s="5" t="s">
        <v>74</v>
      </c>
      <c r="AC275" s="5">
        <v>3</v>
      </c>
      <c r="AD275" s="5"/>
      <c r="AE275" s="5"/>
      <c r="AF275" s="5"/>
      <c r="AG275" s="5" t="s">
        <v>74</v>
      </c>
      <c r="AH275" s="5" t="s">
        <v>74</v>
      </c>
      <c r="AI275" s="5" t="s">
        <v>74</v>
      </c>
      <c r="AJ275" s="5" t="s">
        <v>74</v>
      </c>
      <c r="AK275" s="5">
        <v>4</v>
      </c>
      <c r="AL275" s="5"/>
      <c r="AM275" s="5"/>
      <c r="AN275" s="5"/>
      <c r="AO275" s="5"/>
      <c r="AP275" s="5"/>
      <c r="AQ275" s="5"/>
      <c r="AR275" s="5" t="s">
        <v>74</v>
      </c>
      <c r="AS275" s="5" t="s">
        <v>74</v>
      </c>
      <c r="AT275" s="5" t="s">
        <v>74</v>
      </c>
      <c r="AU275" s="5" t="s">
        <v>74</v>
      </c>
      <c r="AV275" s="5" t="s">
        <v>74</v>
      </c>
      <c r="AW275" s="5" t="s">
        <v>74</v>
      </c>
      <c r="AX275" s="5" t="s">
        <v>74</v>
      </c>
      <c r="AY275" s="5">
        <v>40</v>
      </c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>
        <v>4</v>
      </c>
      <c r="BQ275" s="5" t="s">
        <v>74</v>
      </c>
      <c r="BR275" s="5" t="s">
        <v>74</v>
      </c>
      <c r="BS275" s="5">
        <v>4</v>
      </c>
      <c r="BT275" s="5" t="s">
        <v>74</v>
      </c>
      <c r="BU275" s="6" t="s">
        <v>51</v>
      </c>
      <c r="BV275" s="5" t="s">
        <v>74</v>
      </c>
      <c r="BW275" s="5"/>
      <c r="BX275" s="5" t="s">
        <v>74</v>
      </c>
      <c r="BY275" s="5"/>
      <c r="BZ275" s="5"/>
      <c r="CA275" s="10">
        <v>4</v>
      </c>
      <c r="CB275" s="5" t="s">
        <v>74</v>
      </c>
      <c r="CC275" s="5" t="s">
        <v>74</v>
      </c>
      <c r="CD275" s="5" t="s">
        <v>74</v>
      </c>
      <c r="CE275" s="5" t="s">
        <v>74</v>
      </c>
      <c r="CF275" s="8"/>
      <c r="CG275" s="5"/>
      <c r="CH275" s="5" t="s">
        <v>74</v>
      </c>
      <c r="CI275" s="5" t="s">
        <v>74</v>
      </c>
      <c r="CJ275" s="8">
        <v>7</v>
      </c>
      <c r="CK275" s="5"/>
      <c r="CL275" s="5" t="s">
        <v>74</v>
      </c>
      <c r="CM275" s="5" t="s">
        <v>74</v>
      </c>
      <c r="CN275" s="5" t="s">
        <v>74</v>
      </c>
      <c r="CO275" s="5"/>
      <c r="CP275" s="5" t="s">
        <v>74</v>
      </c>
    </row>
    <row r="276" spans="1:94" ht="25.25" customHeight="1">
      <c r="A276" s="5">
        <v>275</v>
      </c>
      <c r="B276" s="9" t="s">
        <v>351</v>
      </c>
      <c r="C276" s="9">
        <v>2024202185</v>
      </c>
      <c r="D276" s="5" t="s">
        <v>330</v>
      </c>
      <c r="E276" s="5">
        <f>SUM(G276:$XET276)</f>
        <v>96.5</v>
      </c>
      <c r="F276" s="5">
        <f>COUNT(G276:$XFD276)</f>
        <v>8</v>
      </c>
      <c r="G276" s="5"/>
      <c r="H276" s="5"/>
      <c r="I276" s="5"/>
      <c r="J276" s="5"/>
      <c r="K276" s="5"/>
      <c r="L276" s="5">
        <v>2</v>
      </c>
      <c r="M276" s="5"/>
      <c r="N276" s="5">
        <v>1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>
        <v>3</v>
      </c>
      <c r="AC276" s="5">
        <v>2</v>
      </c>
      <c r="AD276" s="5"/>
      <c r="AE276" s="5"/>
      <c r="AF276" s="5"/>
      <c r="AG276" s="5" t="s">
        <v>74</v>
      </c>
      <c r="AH276" s="5" t="s">
        <v>74</v>
      </c>
      <c r="AI276" s="5" t="s">
        <v>74</v>
      </c>
      <c r="AJ276" s="5" t="s">
        <v>74</v>
      </c>
      <c r="AK276" s="5" t="s">
        <v>74</v>
      </c>
      <c r="AL276" s="5"/>
      <c r="AM276" s="5"/>
      <c r="AN276" s="5"/>
      <c r="AO276" s="5"/>
      <c r="AP276" s="5"/>
      <c r="AQ276" s="5"/>
      <c r="AR276" s="5" t="s">
        <v>74</v>
      </c>
      <c r="AS276" s="5" t="s">
        <v>74</v>
      </c>
      <c r="AT276" s="5" t="s">
        <v>74</v>
      </c>
      <c r="AU276" s="5" t="s">
        <v>74</v>
      </c>
      <c r="AV276" s="5" t="s">
        <v>74</v>
      </c>
      <c r="AW276" s="5" t="s">
        <v>74</v>
      </c>
      <c r="AX276" s="5" t="s">
        <v>74</v>
      </c>
      <c r="AY276" s="5">
        <v>79</v>
      </c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>
        <v>4</v>
      </c>
      <c r="BQ276" s="5" t="s">
        <v>74</v>
      </c>
      <c r="BR276" s="5" t="s">
        <v>74</v>
      </c>
      <c r="BS276" s="5"/>
      <c r="BT276" s="5" t="s">
        <v>74</v>
      </c>
      <c r="BU276" s="6" t="s">
        <v>51</v>
      </c>
      <c r="BV276" s="5" t="s">
        <v>74</v>
      </c>
      <c r="BW276" s="5"/>
      <c r="BX276" s="5">
        <v>3.5</v>
      </c>
      <c r="BY276" s="5"/>
      <c r="BZ276" s="5"/>
      <c r="CA276" s="10" t="s">
        <v>74</v>
      </c>
      <c r="CB276" s="5" t="s">
        <v>74</v>
      </c>
      <c r="CC276" s="5" t="s">
        <v>74</v>
      </c>
      <c r="CD276" s="5" t="s">
        <v>74</v>
      </c>
      <c r="CE276" s="5">
        <v>2</v>
      </c>
      <c r="CF276" s="8"/>
      <c r="CG276" s="5"/>
      <c r="CH276" s="5" t="s">
        <v>74</v>
      </c>
      <c r="CI276" s="5" t="s">
        <v>74</v>
      </c>
      <c r="CJ276" s="8" t="s">
        <v>74</v>
      </c>
      <c r="CK276" s="5"/>
      <c r="CL276" s="5" t="s">
        <v>74</v>
      </c>
      <c r="CM276" s="5" t="s">
        <v>74</v>
      </c>
      <c r="CN276" s="5" t="s">
        <v>74</v>
      </c>
      <c r="CO276" s="5"/>
      <c r="CP276" s="5" t="s">
        <v>74</v>
      </c>
    </row>
    <row r="277" spans="1:94" ht="25.25" customHeight="1">
      <c r="A277" s="5">
        <v>276</v>
      </c>
      <c r="B277" s="9" t="s">
        <v>352</v>
      </c>
      <c r="C277" s="9">
        <v>2024202227</v>
      </c>
      <c r="D277" s="5" t="s">
        <v>330</v>
      </c>
      <c r="E277" s="5">
        <f>SUM(G277:$XET277)</f>
        <v>148.5</v>
      </c>
      <c r="F277" s="5">
        <f>COUNT(G277:$XFD277)</f>
        <v>13</v>
      </c>
      <c r="G277" s="5"/>
      <c r="H277" s="5"/>
      <c r="I277" s="5"/>
      <c r="J277" s="5"/>
      <c r="K277" s="5">
        <v>9</v>
      </c>
      <c r="L277" s="5"/>
      <c r="M277" s="5"/>
      <c r="N277" s="5">
        <v>0.5</v>
      </c>
      <c r="O277" s="5"/>
      <c r="P277" s="5"/>
      <c r="Q277" s="5"/>
      <c r="R277" s="5"/>
      <c r="S277" s="5"/>
      <c r="T277" s="5">
        <v>16</v>
      </c>
      <c r="U277" s="5"/>
      <c r="V277" s="5"/>
      <c r="W277" s="5"/>
      <c r="X277" s="5"/>
      <c r="Y277" s="5"/>
      <c r="Z277" s="5"/>
      <c r="AA277" s="5"/>
      <c r="AB277" s="5" t="s">
        <v>74</v>
      </c>
      <c r="AC277" s="5">
        <v>2</v>
      </c>
      <c r="AD277" s="5"/>
      <c r="AE277" s="5"/>
      <c r="AF277" s="5"/>
      <c r="AG277" s="5" t="s">
        <v>74</v>
      </c>
      <c r="AH277" s="5" t="s">
        <v>74</v>
      </c>
      <c r="AI277" s="5" t="s">
        <v>74</v>
      </c>
      <c r="AJ277" s="5">
        <v>4</v>
      </c>
      <c r="AK277" s="5">
        <v>4</v>
      </c>
      <c r="AL277" s="5"/>
      <c r="AM277" s="5"/>
      <c r="AN277" s="5"/>
      <c r="AO277" s="5"/>
      <c r="AP277" s="5"/>
      <c r="AQ277" s="5"/>
      <c r="AR277" s="5" t="s">
        <v>74</v>
      </c>
      <c r="AS277" s="5" t="s">
        <v>74</v>
      </c>
      <c r="AT277" s="5" t="s">
        <v>74</v>
      </c>
      <c r="AU277" s="5" t="s">
        <v>74</v>
      </c>
      <c r="AV277" s="5">
        <v>2</v>
      </c>
      <c r="AW277" s="5" t="s">
        <v>74</v>
      </c>
      <c r="AX277" s="5" t="s">
        <v>74</v>
      </c>
      <c r="AY277" s="5" t="s">
        <v>74</v>
      </c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>
        <v>4</v>
      </c>
      <c r="BQ277" s="5" t="s">
        <v>74</v>
      </c>
      <c r="BR277" s="5">
        <v>80</v>
      </c>
      <c r="BS277" s="5"/>
      <c r="BT277" s="5" t="s">
        <v>74</v>
      </c>
      <c r="BU277" s="6" t="s">
        <v>51</v>
      </c>
      <c r="BV277" s="5">
        <v>1</v>
      </c>
      <c r="BW277" s="5"/>
      <c r="BX277" s="5" t="s">
        <v>74</v>
      </c>
      <c r="BY277" s="5"/>
      <c r="BZ277" s="5"/>
      <c r="CA277" s="10" t="s">
        <v>74</v>
      </c>
      <c r="CB277" s="5" t="s">
        <v>74</v>
      </c>
      <c r="CC277" s="5" t="s">
        <v>74</v>
      </c>
      <c r="CD277" s="5" t="s">
        <v>74</v>
      </c>
      <c r="CE277" s="5" t="s">
        <v>74</v>
      </c>
      <c r="CF277" s="8"/>
      <c r="CG277" s="5">
        <v>6</v>
      </c>
      <c r="CH277" s="5" t="s">
        <v>74</v>
      </c>
      <c r="CI277" s="5">
        <v>16</v>
      </c>
      <c r="CJ277" s="8" t="s">
        <v>74</v>
      </c>
      <c r="CK277" s="5"/>
      <c r="CL277" s="5">
        <v>4</v>
      </c>
      <c r="CM277" s="5" t="s">
        <v>74</v>
      </c>
      <c r="CN277" s="5" t="s">
        <v>74</v>
      </c>
      <c r="CO277" s="5"/>
      <c r="CP277" s="5" t="s">
        <v>74</v>
      </c>
    </row>
    <row r="278" spans="1:94" ht="25.25" customHeight="1">
      <c r="A278" s="5">
        <v>277</v>
      </c>
      <c r="B278" s="9" t="s">
        <v>353</v>
      </c>
      <c r="C278" s="9">
        <v>2024202235</v>
      </c>
      <c r="D278" s="5" t="s">
        <v>330</v>
      </c>
      <c r="E278" s="5">
        <f>SUM(G278:$XET278)</f>
        <v>38</v>
      </c>
      <c r="F278" s="5">
        <f>COUNT(G278:$XFD278)</f>
        <v>9</v>
      </c>
      <c r="G278" s="5"/>
      <c r="H278" s="5"/>
      <c r="I278" s="5"/>
      <c r="J278" s="5"/>
      <c r="K278" s="5">
        <v>10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>
        <v>12</v>
      </c>
      <c r="Y278" s="5"/>
      <c r="Z278" s="5"/>
      <c r="AA278" s="5"/>
      <c r="AB278" s="5" t="s">
        <v>74</v>
      </c>
      <c r="AC278" s="5">
        <v>1</v>
      </c>
      <c r="AD278" s="5"/>
      <c r="AE278" s="5"/>
      <c r="AF278" s="5"/>
      <c r="AG278" s="5" t="s">
        <v>74</v>
      </c>
      <c r="AH278" s="5" t="s">
        <v>74</v>
      </c>
      <c r="AI278" s="5" t="s">
        <v>74</v>
      </c>
      <c r="AJ278" s="5">
        <v>2</v>
      </c>
      <c r="AK278" s="5">
        <v>4</v>
      </c>
      <c r="AL278" s="5"/>
      <c r="AM278" s="5"/>
      <c r="AN278" s="5"/>
      <c r="AO278" s="5"/>
      <c r="AP278" s="5"/>
      <c r="AQ278" s="5"/>
      <c r="AR278" s="5" t="s">
        <v>74</v>
      </c>
      <c r="AS278" s="5" t="s">
        <v>74</v>
      </c>
      <c r="AT278" s="5" t="s">
        <v>74</v>
      </c>
      <c r="AU278" s="5" t="s">
        <v>74</v>
      </c>
      <c r="AV278" s="5" t="s">
        <v>74</v>
      </c>
      <c r="AW278" s="5" t="s">
        <v>74</v>
      </c>
      <c r="AX278" s="5" t="s">
        <v>74</v>
      </c>
      <c r="AY278" s="5" t="s">
        <v>74</v>
      </c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>
        <v>4</v>
      </c>
      <c r="BQ278" s="5" t="s">
        <v>74</v>
      </c>
      <c r="BR278" s="5" t="s">
        <v>74</v>
      </c>
      <c r="BS278" s="5"/>
      <c r="BT278" s="5" t="s">
        <v>74</v>
      </c>
      <c r="BU278" s="6" t="s">
        <v>51</v>
      </c>
      <c r="BV278" s="5">
        <v>1</v>
      </c>
      <c r="BW278" s="5"/>
      <c r="BX278" s="5" t="s">
        <v>74</v>
      </c>
      <c r="BY278" s="5"/>
      <c r="BZ278" s="5"/>
      <c r="CA278" s="10" t="s">
        <v>74</v>
      </c>
      <c r="CB278" s="5" t="s">
        <v>74</v>
      </c>
      <c r="CC278" s="5" t="s">
        <v>74</v>
      </c>
      <c r="CD278" s="5" t="s">
        <v>74</v>
      </c>
      <c r="CE278" s="5">
        <v>2</v>
      </c>
      <c r="CF278" s="8"/>
      <c r="CG278" s="5"/>
      <c r="CH278" s="5" t="s">
        <v>74</v>
      </c>
      <c r="CI278" s="5" t="s">
        <v>74</v>
      </c>
      <c r="CJ278" s="8" t="s">
        <v>74</v>
      </c>
      <c r="CK278" s="5"/>
      <c r="CL278" s="5" t="s">
        <v>74</v>
      </c>
      <c r="CM278" s="5" t="s">
        <v>74</v>
      </c>
      <c r="CN278" s="5">
        <v>2</v>
      </c>
      <c r="CO278" s="5"/>
      <c r="CP278" s="5" t="s">
        <v>74</v>
      </c>
    </row>
    <row r="279" spans="1:94" ht="25.25" customHeight="1">
      <c r="A279" s="5">
        <v>278</v>
      </c>
      <c r="B279" s="9" t="s">
        <v>354</v>
      </c>
      <c r="C279" s="9">
        <v>2024202263</v>
      </c>
      <c r="D279" s="5" t="s">
        <v>330</v>
      </c>
      <c r="E279" s="5">
        <f>SUM(G279:$XET279)</f>
        <v>90</v>
      </c>
      <c r="F279" s="5">
        <f>COUNT(G279:$XFD279)</f>
        <v>10</v>
      </c>
      <c r="G279" s="5"/>
      <c r="H279" s="5"/>
      <c r="I279" s="5"/>
      <c r="J279" s="5"/>
      <c r="K279" s="5"/>
      <c r="L279" s="5"/>
      <c r="M279" s="5"/>
      <c r="N279" s="5">
        <v>2</v>
      </c>
      <c r="O279" s="5"/>
      <c r="P279" s="5"/>
      <c r="Q279" s="5"/>
      <c r="R279" s="5">
        <v>14.5</v>
      </c>
      <c r="S279" s="5"/>
      <c r="T279" s="5">
        <v>16</v>
      </c>
      <c r="U279" s="5"/>
      <c r="V279" s="5"/>
      <c r="W279" s="5"/>
      <c r="X279" s="5"/>
      <c r="Y279" s="5"/>
      <c r="Z279" s="5"/>
      <c r="AA279" s="5"/>
      <c r="AB279" s="5">
        <v>3</v>
      </c>
      <c r="AC279" s="5" t="s">
        <v>74</v>
      </c>
      <c r="AD279" s="5"/>
      <c r="AE279" s="5"/>
      <c r="AF279" s="5"/>
      <c r="AG279" s="5" t="s">
        <v>74</v>
      </c>
      <c r="AH279" s="5" t="s">
        <v>74</v>
      </c>
      <c r="AI279" s="5" t="s">
        <v>74</v>
      </c>
      <c r="AJ279" s="5">
        <v>4</v>
      </c>
      <c r="AK279" s="5">
        <v>4</v>
      </c>
      <c r="AL279" s="5"/>
      <c r="AM279" s="5"/>
      <c r="AN279" s="5"/>
      <c r="AO279" s="5"/>
      <c r="AP279" s="5"/>
      <c r="AQ279" s="5"/>
      <c r="AR279" s="5" t="s">
        <v>74</v>
      </c>
      <c r="AS279" s="5" t="s">
        <v>74</v>
      </c>
      <c r="AT279" s="5" t="s">
        <v>74</v>
      </c>
      <c r="AU279" s="5" t="s">
        <v>74</v>
      </c>
      <c r="AV279" s="5">
        <v>2</v>
      </c>
      <c r="AW279" s="5" t="s">
        <v>74</v>
      </c>
      <c r="AX279" s="5" t="s">
        <v>74</v>
      </c>
      <c r="AY279" s="5" t="s">
        <v>74</v>
      </c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>
        <v>4</v>
      </c>
      <c r="BQ279" s="5" t="s">
        <v>74</v>
      </c>
      <c r="BR279" s="5" t="s">
        <v>74</v>
      </c>
      <c r="BS279" s="5"/>
      <c r="BT279" s="5">
        <v>40</v>
      </c>
      <c r="BU279" s="6" t="s">
        <v>51</v>
      </c>
      <c r="BV279" s="5" t="s">
        <v>74</v>
      </c>
      <c r="BW279" s="5"/>
      <c r="BX279" s="5" t="s">
        <v>74</v>
      </c>
      <c r="BY279" s="5"/>
      <c r="BZ279" s="5"/>
      <c r="CA279" s="10" t="s">
        <v>74</v>
      </c>
      <c r="CB279" s="5" t="s">
        <v>74</v>
      </c>
      <c r="CC279" s="5" t="s">
        <v>74</v>
      </c>
      <c r="CD279" s="5" t="s">
        <v>74</v>
      </c>
      <c r="CE279" s="5">
        <v>0.5</v>
      </c>
      <c r="CF279" s="8"/>
      <c r="CG279" s="5"/>
      <c r="CH279" s="5" t="s">
        <v>74</v>
      </c>
      <c r="CI279" s="5" t="s">
        <v>74</v>
      </c>
      <c r="CJ279" s="8" t="s">
        <v>74</v>
      </c>
      <c r="CK279" s="5"/>
      <c r="CL279" s="5" t="s">
        <v>74</v>
      </c>
      <c r="CM279" s="5" t="s">
        <v>74</v>
      </c>
      <c r="CN279" s="5" t="s">
        <v>74</v>
      </c>
      <c r="CO279" s="5"/>
      <c r="CP279" s="5" t="s">
        <v>74</v>
      </c>
    </row>
    <row r="280" spans="1:94" ht="25.25" customHeight="1">
      <c r="A280" s="5">
        <v>279</v>
      </c>
      <c r="B280" s="9" t="s">
        <v>355</v>
      </c>
      <c r="C280" s="9">
        <v>2024202875</v>
      </c>
      <c r="D280" s="5" t="s">
        <v>330</v>
      </c>
      <c r="E280" s="5">
        <f>SUM(G280:$XET280)</f>
        <v>71</v>
      </c>
      <c r="F280" s="5">
        <f>COUNT(G280:$XFD280)</f>
        <v>12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>
        <v>3</v>
      </c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 t="s">
        <v>74</v>
      </c>
      <c r="AC280" s="5">
        <v>2</v>
      </c>
      <c r="AD280" s="5"/>
      <c r="AE280" s="5"/>
      <c r="AF280" s="5"/>
      <c r="AG280" s="5" t="s">
        <v>74</v>
      </c>
      <c r="AH280" s="5" t="s">
        <v>74</v>
      </c>
      <c r="AI280" s="5" t="s">
        <v>74</v>
      </c>
      <c r="AJ280" s="5">
        <v>2</v>
      </c>
      <c r="AK280" s="5">
        <v>4</v>
      </c>
      <c r="AL280" s="5"/>
      <c r="AM280" s="5"/>
      <c r="AN280" s="5"/>
      <c r="AO280" s="5"/>
      <c r="AP280" s="5"/>
      <c r="AQ280" s="5"/>
      <c r="AR280" s="5" t="s">
        <v>74</v>
      </c>
      <c r="AS280" s="5" t="s">
        <v>74</v>
      </c>
      <c r="AT280" s="5" t="s">
        <v>74</v>
      </c>
      <c r="AU280" s="5" t="s">
        <v>74</v>
      </c>
      <c r="AV280" s="5" t="s">
        <v>74</v>
      </c>
      <c r="AW280" s="5" t="s">
        <v>74</v>
      </c>
      <c r="AX280" s="5">
        <v>5.5</v>
      </c>
      <c r="AY280" s="5" t="s">
        <v>74</v>
      </c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>
        <v>4</v>
      </c>
      <c r="BQ280" s="5" t="s">
        <v>74</v>
      </c>
      <c r="BR280" s="5">
        <v>40</v>
      </c>
      <c r="BS280" s="5"/>
      <c r="BT280" s="5" t="s">
        <v>74</v>
      </c>
      <c r="BU280" s="6" t="s">
        <v>51</v>
      </c>
      <c r="BV280" s="5">
        <v>1</v>
      </c>
      <c r="BW280" s="5"/>
      <c r="BX280" s="5">
        <v>5</v>
      </c>
      <c r="BY280" s="5"/>
      <c r="BZ280" s="5">
        <v>3</v>
      </c>
      <c r="CA280" s="10" t="s">
        <v>74</v>
      </c>
      <c r="CB280" s="5" t="s">
        <v>74</v>
      </c>
      <c r="CC280" s="5" t="s">
        <v>74</v>
      </c>
      <c r="CD280" s="5" t="s">
        <v>74</v>
      </c>
      <c r="CE280" s="5" t="s">
        <v>74</v>
      </c>
      <c r="CF280" s="8"/>
      <c r="CG280" s="5"/>
      <c r="CH280" s="5" t="s">
        <v>74</v>
      </c>
      <c r="CI280" s="5" t="s">
        <v>74</v>
      </c>
      <c r="CJ280" s="8" t="s">
        <v>74</v>
      </c>
      <c r="CK280" s="5"/>
      <c r="CL280" s="5" t="s">
        <v>74</v>
      </c>
      <c r="CM280" s="5">
        <v>0.5</v>
      </c>
      <c r="CN280" s="5">
        <v>1</v>
      </c>
      <c r="CO280" s="5"/>
      <c r="CP280" s="5" t="s">
        <v>74</v>
      </c>
    </row>
    <row r="281" spans="1:94" ht="25.25" customHeight="1">
      <c r="A281" s="5">
        <v>280</v>
      </c>
      <c r="B281" s="9" t="s">
        <v>356</v>
      </c>
      <c r="C281" s="9">
        <v>2024202877</v>
      </c>
      <c r="D281" s="5" t="s">
        <v>330</v>
      </c>
      <c r="E281" s="5">
        <f>SUM(G281:$XET281)</f>
        <v>16.5</v>
      </c>
      <c r="F281" s="5">
        <f>COUNT(G281:$XFD281)</f>
        <v>6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 t="s">
        <v>74</v>
      </c>
      <c r="AC281" s="5">
        <v>1.5</v>
      </c>
      <c r="AD281" s="5"/>
      <c r="AE281" s="5"/>
      <c r="AF281" s="5"/>
      <c r="AG281" s="5" t="s">
        <v>74</v>
      </c>
      <c r="AH281" s="5" t="s">
        <v>74</v>
      </c>
      <c r="AI281" s="5" t="s">
        <v>74</v>
      </c>
      <c r="AJ281" s="5" t="s">
        <v>74</v>
      </c>
      <c r="AK281" s="5">
        <v>4</v>
      </c>
      <c r="AL281" s="5"/>
      <c r="AM281" s="5"/>
      <c r="AN281" s="5"/>
      <c r="AO281" s="5"/>
      <c r="AP281" s="5"/>
      <c r="AQ281" s="5"/>
      <c r="AR281" s="5" t="s">
        <v>74</v>
      </c>
      <c r="AS281" s="5" t="s">
        <v>74</v>
      </c>
      <c r="AT281" s="5" t="s">
        <v>74</v>
      </c>
      <c r="AU281" s="5" t="s">
        <v>74</v>
      </c>
      <c r="AV281" s="5" t="s">
        <v>74</v>
      </c>
      <c r="AW281" s="5" t="s">
        <v>74</v>
      </c>
      <c r="AX281" s="5" t="s">
        <v>74</v>
      </c>
      <c r="AY281" s="5" t="s">
        <v>74</v>
      </c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>
        <v>4</v>
      </c>
      <c r="BQ281" s="5" t="s">
        <v>74</v>
      </c>
      <c r="BR281" s="5" t="s">
        <v>74</v>
      </c>
      <c r="BS281" s="5"/>
      <c r="BT281" s="5" t="s">
        <v>74</v>
      </c>
      <c r="BU281" s="6" t="s">
        <v>51</v>
      </c>
      <c r="BV281" s="5">
        <v>1</v>
      </c>
      <c r="BW281" s="5"/>
      <c r="BX281" s="5" t="s">
        <v>74</v>
      </c>
      <c r="BY281" s="5"/>
      <c r="BZ281" s="5"/>
      <c r="CA281" s="10">
        <v>4</v>
      </c>
      <c r="CB281" s="5" t="s">
        <v>74</v>
      </c>
      <c r="CC281" s="5" t="s">
        <v>74</v>
      </c>
      <c r="CD281" s="5" t="s">
        <v>74</v>
      </c>
      <c r="CE281" s="5">
        <v>2</v>
      </c>
      <c r="CF281" s="8"/>
      <c r="CG281" s="5"/>
      <c r="CH281" s="5" t="s">
        <v>74</v>
      </c>
      <c r="CI281" s="5" t="s">
        <v>74</v>
      </c>
      <c r="CJ281" s="8" t="s">
        <v>74</v>
      </c>
      <c r="CK281" s="5"/>
      <c r="CL281" s="5" t="s">
        <v>74</v>
      </c>
      <c r="CM281" s="5" t="s">
        <v>74</v>
      </c>
      <c r="CN281" s="5" t="s">
        <v>74</v>
      </c>
      <c r="CO281" s="5"/>
      <c r="CP281" s="5" t="s">
        <v>74</v>
      </c>
    </row>
    <row r="282" spans="1:94" ht="25.25" customHeight="1">
      <c r="A282" s="5">
        <v>281</v>
      </c>
      <c r="B282" s="9" t="s">
        <v>357</v>
      </c>
      <c r="C282" s="9">
        <v>2024202147</v>
      </c>
      <c r="D282" s="5" t="s">
        <v>358</v>
      </c>
      <c r="E282" s="5">
        <f>SUM(G282:$XET282)</f>
        <v>6</v>
      </c>
      <c r="F282" s="5">
        <f>COUNT(G282:$XFD282)</f>
        <v>1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>
        <v>6</v>
      </c>
      <c r="Y282" s="5"/>
      <c r="Z282" s="5"/>
      <c r="AA282" s="5"/>
      <c r="AB282" s="5"/>
      <c r="AC282" s="5"/>
      <c r="AD282" s="5"/>
      <c r="AE282" s="5"/>
      <c r="AF282" s="5"/>
      <c r="AG282" s="5" t="s">
        <v>74</v>
      </c>
      <c r="AH282" s="5" t="s">
        <v>74</v>
      </c>
      <c r="AI282" s="5" t="s">
        <v>74</v>
      </c>
      <c r="AJ282" s="5" t="s">
        <v>74</v>
      </c>
      <c r="AK282" s="5" t="s">
        <v>74</v>
      </c>
      <c r="AL282" s="5"/>
      <c r="AM282" s="5"/>
      <c r="AN282" s="5"/>
      <c r="AO282" s="5"/>
      <c r="AP282" s="5"/>
      <c r="AQ282" s="5"/>
      <c r="AR282" s="5" t="s">
        <v>74</v>
      </c>
      <c r="AS282" s="5" t="s">
        <v>74</v>
      </c>
      <c r="AT282" s="5" t="s">
        <v>74</v>
      </c>
      <c r="AU282" s="5" t="s">
        <v>74</v>
      </c>
      <c r="AV282" s="5" t="s">
        <v>74</v>
      </c>
      <c r="AW282" s="5" t="s">
        <v>74</v>
      </c>
      <c r="AX282" s="5" t="s">
        <v>74</v>
      </c>
      <c r="AY282" s="5" t="s">
        <v>74</v>
      </c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 t="s">
        <v>74</v>
      </c>
      <c r="BQ282" s="5" t="s">
        <v>74</v>
      </c>
      <c r="BR282" s="5" t="s">
        <v>74</v>
      </c>
      <c r="BS282" s="5"/>
      <c r="BT282" s="5" t="s">
        <v>74</v>
      </c>
      <c r="BU282" s="6" t="s">
        <v>51</v>
      </c>
      <c r="BV282" s="5" t="s">
        <v>74</v>
      </c>
      <c r="BW282" s="5"/>
      <c r="BX282" s="5" t="s">
        <v>74</v>
      </c>
      <c r="BY282" s="5"/>
      <c r="BZ282" s="5"/>
      <c r="CA282" s="10" t="s">
        <v>74</v>
      </c>
      <c r="CB282" s="5" t="s">
        <v>74</v>
      </c>
      <c r="CC282" s="5" t="s">
        <v>74</v>
      </c>
      <c r="CD282" s="5" t="s">
        <v>74</v>
      </c>
      <c r="CE282" s="5" t="s">
        <v>74</v>
      </c>
      <c r="CF282" s="8"/>
      <c r="CG282" s="5"/>
      <c r="CH282" s="5" t="s">
        <v>74</v>
      </c>
      <c r="CI282" s="5" t="s">
        <v>74</v>
      </c>
      <c r="CJ282" s="8" t="s">
        <v>74</v>
      </c>
      <c r="CK282" s="5"/>
      <c r="CL282" s="5" t="s">
        <v>74</v>
      </c>
      <c r="CM282" s="5" t="s">
        <v>74</v>
      </c>
      <c r="CN282" s="5" t="s">
        <v>74</v>
      </c>
      <c r="CO282" s="5"/>
      <c r="CP282" s="5" t="s">
        <v>74</v>
      </c>
    </row>
    <row r="283" spans="1:94" ht="25.25" customHeight="1">
      <c r="A283" s="5">
        <v>282</v>
      </c>
      <c r="B283" s="9" t="s">
        <v>359</v>
      </c>
      <c r="C283" s="9">
        <v>2024202153</v>
      </c>
      <c r="D283" s="5" t="s">
        <v>358</v>
      </c>
      <c r="E283" s="5">
        <f>SUM(G283:$XET283)</f>
        <v>44</v>
      </c>
      <c r="F283" s="5">
        <f>COUNT(G283:$XFD283)</f>
        <v>2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>
        <v>40</v>
      </c>
      <c r="Y283" s="5"/>
      <c r="Z283" s="5"/>
      <c r="AA283" s="5"/>
      <c r="AB283" s="5"/>
      <c r="AC283" s="5"/>
      <c r="AD283" s="5"/>
      <c r="AE283" s="5"/>
      <c r="AF283" s="5"/>
      <c r="AG283" s="5" t="s">
        <v>74</v>
      </c>
      <c r="AH283" s="5" t="s">
        <v>74</v>
      </c>
      <c r="AI283" s="5" t="s">
        <v>74</v>
      </c>
      <c r="AJ283" s="5" t="s">
        <v>74</v>
      </c>
      <c r="AK283" s="5">
        <v>4</v>
      </c>
      <c r="AL283" s="5"/>
      <c r="AM283" s="5"/>
      <c r="AN283" s="5"/>
      <c r="AO283" s="5"/>
      <c r="AP283" s="5"/>
      <c r="AQ283" s="5"/>
      <c r="AR283" s="5" t="s">
        <v>74</v>
      </c>
      <c r="AS283" s="5" t="s">
        <v>74</v>
      </c>
      <c r="AT283" s="5" t="s">
        <v>74</v>
      </c>
      <c r="AU283" s="5" t="s">
        <v>74</v>
      </c>
      <c r="AV283" s="5" t="s">
        <v>74</v>
      </c>
      <c r="AW283" s="5" t="s">
        <v>74</v>
      </c>
      <c r="AX283" s="5" t="s">
        <v>74</v>
      </c>
      <c r="AY283" s="5" t="s">
        <v>74</v>
      </c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 t="s">
        <v>74</v>
      </c>
      <c r="BQ283" s="5" t="s">
        <v>74</v>
      </c>
      <c r="BR283" s="5" t="s">
        <v>74</v>
      </c>
      <c r="BS283" s="5"/>
      <c r="BT283" s="5" t="s">
        <v>74</v>
      </c>
      <c r="BU283" s="6" t="s">
        <v>51</v>
      </c>
      <c r="BV283" s="5" t="s">
        <v>74</v>
      </c>
      <c r="BW283" s="5"/>
      <c r="BX283" s="5" t="s">
        <v>74</v>
      </c>
      <c r="BY283" s="5"/>
      <c r="BZ283" s="5"/>
      <c r="CA283" s="10" t="s">
        <v>74</v>
      </c>
      <c r="CB283" s="5" t="s">
        <v>74</v>
      </c>
      <c r="CC283" s="5" t="s">
        <v>74</v>
      </c>
      <c r="CD283" s="5" t="s">
        <v>74</v>
      </c>
      <c r="CE283" s="5" t="s">
        <v>74</v>
      </c>
      <c r="CF283" s="8"/>
      <c r="CG283" s="5"/>
      <c r="CH283" s="5" t="s">
        <v>74</v>
      </c>
      <c r="CI283" s="5" t="s">
        <v>74</v>
      </c>
      <c r="CJ283" s="8" t="s">
        <v>74</v>
      </c>
      <c r="CK283" s="5"/>
      <c r="CL283" s="5" t="s">
        <v>74</v>
      </c>
      <c r="CM283" s="5" t="s">
        <v>74</v>
      </c>
      <c r="CN283" s="5" t="s">
        <v>74</v>
      </c>
      <c r="CO283" s="5"/>
      <c r="CP283" s="5" t="s">
        <v>74</v>
      </c>
    </row>
    <row r="284" spans="1:94" ht="25.25" customHeight="1">
      <c r="A284" s="5">
        <v>283</v>
      </c>
      <c r="B284" s="9" t="s">
        <v>360</v>
      </c>
      <c r="C284" s="9">
        <v>2024202169</v>
      </c>
      <c r="D284" s="5" t="s">
        <v>358</v>
      </c>
      <c r="E284" s="5">
        <f>SUM(G284:$XET284)</f>
        <v>0</v>
      </c>
      <c r="F284" s="5">
        <f>COUNT(G284:$XFD284)</f>
        <v>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 t="s">
        <v>74</v>
      </c>
      <c r="AH284" s="5" t="s">
        <v>74</v>
      </c>
      <c r="AI284" s="5" t="s">
        <v>74</v>
      </c>
      <c r="AJ284" s="5" t="s">
        <v>74</v>
      </c>
      <c r="AK284" s="5" t="s">
        <v>74</v>
      </c>
      <c r="AL284" s="5"/>
      <c r="AM284" s="5"/>
      <c r="AN284" s="5"/>
      <c r="AO284" s="5"/>
      <c r="AP284" s="5"/>
      <c r="AQ284" s="5"/>
      <c r="AR284" s="5" t="s">
        <v>74</v>
      </c>
      <c r="AS284" s="5" t="s">
        <v>74</v>
      </c>
      <c r="AT284" s="5" t="s">
        <v>74</v>
      </c>
      <c r="AU284" s="5" t="s">
        <v>74</v>
      </c>
      <c r="AV284" s="5" t="s">
        <v>74</v>
      </c>
      <c r="AW284" s="5" t="s">
        <v>74</v>
      </c>
      <c r="AX284" s="5" t="s">
        <v>74</v>
      </c>
      <c r="AY284" s="5" t="s">
        <v>74</v>
      </c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 t="s">
        <v>74</v>
      </c>
      <c r="BQ284" s="5" t="s">
        <v>74</v>
      </c>
      <c r="BR284" s="5" t="s">
        <v>74</v>
      </c>
      <c r="BS284" s="5"/>
      <c r="BT284" s="5" t="s">
        <v>74</v>
      </c>
      <c r="BU284" s="6" t="s">
        <v>51</v>
      </c>
      <c r="BV284" s="5" t="s">
        <v>74</v>
      </c>
      <c r="BW284" s="5"/>
      <c r="BX284" s="5" t="s">
        <v>74</v>
      </c>
      <c r="BY284" s="5"/>
      <c r="BZ284" s="5"/>
      <c r="CA284" s="10" t="s">
        <v>74</v>
      </c>
      <c r="CB284" s="5" t="s">
        <v>74</v>
      </c>
      <c r="CC284" s="5" t="s">
        <v>74</v>
      </c>
      <c r="CD284" s="5" t="s">
        <v>74</v>
      </c>
      <c r="CE284" s="5" t="s">
        <v>74</v>
      </c>
      <c r="CF284" s="8"/>
      <c r="CG284" s="5"/>
      <c r="CH284" s="5" t="s">
        <v>74</v>
      </c>
      <c r="CI284" s="5" t="s">
        <v>74</v>
      </c>
      <c r="CJ284" s="8" t="s">
        <v>74</v>
      </c>
      <c r="CK284" s="5"/>
      <c r="CL284" s="5" t="s">
        <v>74</v>
      </c>
      <c r="CM284" s="5" t="s">
        <v>74</v>
      </c>
      <c r="CN284" s="5" t="s">
        <v>74</v>
      </c>
      <c r="CO284" s="5"/>
      <c r="CP284" s="5" t="s">
        <v>74</v>
      </c>
    </row>
    <row r="285" spans="1:94" ht="25.25" customHeight="1">
      <c r="A285" s="5">
        <v>284</v>
      </c>
      <c r="B285" s="9" t="s">
        <v>361</v>
      </c>
      <c r="C285" s="9">
        <v>2024202182</v>
      </c>
      <c r="D285" s="5" t="s">
        <v>358</v>
      </c>
      <c r="E285" s="5">
        <f>SUM(G285:$XET285)</f>
        <v>22</v>
      </c>
      <c r="F285" s="5">
        <f>COUNT(G285:$XFD285)</f>
        <v>3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>
        <v>16</v>
      </c>
      <c r="Y285" s="5"/>
      <c r="Z285" s="5"/>
      <c r="AA285" s="5"/>
      <c r="AB285" s="5"/>
      <c r="AC285" s="5"/>
      <c r="AD285" s="5"/>
      <c r="AE285" s="5"/>
      <c r="AF285" s="5"/>
      <c r="AG285" s="5" t="s">
        <v>74</v>
      </c>
      <c r="AH285" s="5" t="s">
        <v>74</v>
      </c>
      <c r="AI285" s="5" t="s">
        <v>74</v>
      </c>
      <c r="AJ285" s="5">
        <v>2</v>
      </c>
      <c r="AK285" s="5">
        <v>4</v>
      </c>
      <c r="AL285" s="5"/>
      <c r="AM285" s="5"/>
      <c r="AN285" s="5"/>
      <c r="AO285" s="5"/>
      <c r="AP285" s="5"/>
      <c r="AQ285" s="5"/>
      <c r="AR285" s="5" t="s">
        <v>74</v>
      </c>
      <c r="AS285" s="5" t="s">
        <v>74</v>
      </c>
      <c r="AT285" s="5" t="s">
        <v>74</v>
      </c>
      <c r="AU285" s="5" t="s">
        <v>74</v>
      </c>
      <c r="AV285" s="5" t="s">
        <v>74</v>
      </c>
      <c r="AW285" s="5" t="s">
        <v>74</v>
      </c>
      <c r="AX285" s="5" t="s">
        <v>74</v>
      </c>
      <c r="AY285" s="5" t="s">
        <v>74</v>
      </c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 t="s">
        <v>74</v>
      </c>
      <c r="BQ285" s="5" t="s">
        <v>74</v>
      </c>
      <c r="BR285" s="5" t="s">
        <v>74</v>
      </c>
      <c r="BS285" s="5"/>
      <c r="BT285" s="5" t="s">
        <v>74</v>
      </c>
      <c r="BU285" s="6" t="s">
        <v>51</v>
      </c>
      <c r="BV285" s="5" t="s">
        <v>74</v>
      </c>
      <c r="BW285" s="5"/>
      <c r="BX285" s="5" t="s">
        <v>74</v>
      </c>
      <c r="BY285" s="5"/>
      <c r="BZ285" s="5"/>
      <c r="CA285" s="10" t="s">
        <v>74</v>
      </c>
      <c r="CB285" s="5" t="s">
        <v>74</v>
      </c>
      <c r="CC285" s="5" t="s">
        <v>74</v>
      </c>
      <c r="CD285" s="5" t="s">
        <v>74</v>
      </c>
      <c r="CE285" s="5" t="s">
        <v>74</v>
      </c>
      <c r="CF285" s="8"/>
      <c r="CG285" s="5"/>
      <c r="CH285" s="5" t="s">
        <v>74</v>
      </c>
      <c r="CI285" s="5" t="s">
        <v>74</v>
      </c>
      <c r="CJ285" s="8" t="s">
        <v>74</v>
      </c>
      <c r="CK285" s="5"/>
      <c r="CL285" s="5" t="s">
        <v>74</v>
      </c>
      <c r="CM285" s="5" t="s">
        <v>74</v>
      </c>
      <c r="CN285" s="5" t="s">
        <v>74</v>
      </c>
      <c r="CO285" s="5"/>
      <c r="CP285" s="5" t="s">
        <v>74</v>
      </c>
    </row>
    <row r="286" spans="1:94" ht="25.25" customHeight="1">
      <c r="A286" s="5">
        <v>285</v>
      </c>
      <c r="B286" s="9" t="s">
        <v>362</v>
      </c>
      <c r="C286" s="9">
        <v>2024202248</v>
      </c>
      <c r="D286" s="5" t="s">
        <v>358</v>
      </c>
      <c r="E286" s="5">
        <f>SUM(G286:$XET286)</f>
        <v>48</v>
      </c>
      <c r="F286" s="5">
        <f>COUNT(G286:$XFD286)</f>
        <v>5</v>
      </c>
      <c r="G286" s="5"/>
      <c r="H286" s="5"/>
      <c r="I286" s="5"/>
      <c r="J286" s="5"/>
      <c r="K286" s="5"/>
      <c r="L286" s="5"/>
      <c r="M286" s="5"/>
      <c r="N286" s="5"/>
      <c r="O286" s="5">
        <v>2</v>
      </c>
      <c r="P286" s="5"/>
      <c r="Q286" s="5"/>
      <c r="R286" s="5"/>
      <c r="S286" s="5"/>
      <c r="T286" s="5">
        <v>16</v>
      </c>
      <c r="U286" s="5"/>
      <c r="V286" s="5"/>
      <c r="W286" s="5"/>
      <c r="X286" s="5">
        <v>24</v>
      </c>
      <c r="Y286" s="5"/>
      <c r="Z286" s="5"/>
      <c r="AA286" s="5"/>
      <c r="AB286" s="5"/>
      <c r="AC286" s="5"/>
      <c r="AD286" s="5"/>
      <c r="AE286" s="5"/>
      <c r="AF286" s="5"/>
      <c r="AG286" s="5" t="s">
        <v>74</v>
      </c>
      <c r="AH286" s="5" t="s">
        <v>74</v>
      </c>
      <c r="AI286" s="5" t="s">
        <v>74</v>
      </c>
      <c r="AJ286" s="5">
        <v>2</v>
      </c>
      <c r="AK286" s="5">
        <v>4</v>
      </c>
      <c r="AL286" s="5"/>
      <c r="AM286" s="5"/>
      <c r="AN286" s="5"/>
      <c r="AO286" s="5"/>
      <c r="AP286" s="5"/>
      <c r="AQ286" s="5"/>
      <c r="AR286" s="5" t="s">
        <v>74</v>
      </c>
      <c r="AS286" s="5" t="s">
        <v>74</v>
      </c>
      <c r="AT286" s="5" t="s">
        <v>74</v>
      </c>
      <c r="AU286" s="5" t="s">
        <v>74</v>
      </c>
      <c r="AV286" s="5" t="s">
        <v>74</v>
      </c>
      <c r="AW286" s="5" t="s">
        <v>74</v>
      </c>
      <c r="AX286" s="5" t="s">
        <v>74</v>
      </c>
      <c r="AY286" s="5" t="s">
        <v>74</v>
      </c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 t="s">
        <v>74</v>
      </c>
      <c r="BQ286" s="5" t="s">
        <v>74</v>
      </c>
      <c r="BR286" s="5" t="s">
        <v>74</v>
      </c>
      <c r="BS286" s="5"/>
      <c r="BT286" s="5" t="s">
        <v>74</v>
      </c>
      <c r="BU286" s="6" t="s">
        <v>51</v>
      </c>
      <c r="BV286" s="5" t="s">
        <v>74</v>
      </c>
      <c r="BW286" s="5"/>
      <c r="BX286" s="5" t="s">
        <v>74</v>
      </c>
      <c r="BY286" s="5"/>
      <c r="BZ286" s="5"/>
      <c r="CA286" s="10" t="s">
        <v>74</v>
      </c>
      <c r="CB286" s="5" t="s">
        <v>74</v>
      </c>
      <c r="CC286" s="5" t="s">
        <v>74</v>
      </c>
      <c r="CD286" s="5" t="s">
        <v>74</v>
      </c>
      <c r="CE286" s="5" t="s">
        <v>74</v>
      </c>
      <c r="CF286" s="8"/>
      <c r="CG286" s="5"/>
      <c r="CH286" s="5" t="s">
        <v>74</v>
      </c>
      <c r="CI286" s="5" t="s">
        <v>74</v>
      </c>
      <c r="CJ286" s="8" t="s">
        <v>74</v>
      </c>
      <c r="CK286" s="5"/>
      <c r="CL286" s="5" t="s">
        <v>74</v>
      </c>
      <c r="CM286" s="5" t="s">
        <v>74</v>
      </c>
      <c r="CN286" s="5" t="s">
        <v>74</v>
      </c>
      <c r="CO286" s="5"/>
      <c r="CP286" s="5" t="s">
        <v>74</v>
      </c>
    </row>
    <row r="287" spans="1:94" ht="25.25" customHeight="1">
      <c r="A287" s="5">
        <v>286</v>
      </c>
      <c r="B287" s="9" t="s">
        <v>363</v>
      </c>
      <c r="C287" s="9">
        <v>2024201984</v>
      </c>
      <c r="D287" s="5" t="s">
        <v>358</v>
      </c>
      <c r="E287" s="5">
        <f>SUM(G287:$XET287)</f>
        <v>26</v>
      </c>
      <c r="F287" s="5">
        <f>COUNT(G287:$XFD287)</f>
        <v>5</v>
      </c>
      <c r="G287" s="5"/>
      <c r="H287" s="5"/>
      <c r="I287" s="5"/>
      <c r="J287" s="5"/>
      <c r="K287" s="5"/>
      <c r="L287" s="5">
        <v>4</v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>
        <v>1</v>
      </c>
      <c r="AH287" s="5" t="s">
        <v>74</v>
      </c>
      <c r="AI287" s="5">
        <v>12</v>
      </c>
      <c r="AJ287" s="5" t="s">
        <v>74</v>
      </c>
      <c r="AK287" s="5" t="s">
        <v>74</v>
      </c>
      <c r="AL287" s="5"/>
      <c r="AM287" s="5"/>
      <c r="AN287" s="5"/>
      <c r="AO287" s="5"/>
      <c r="AP287" s="5"/>
      <c r="AQ287" s="5"/>
      <c r="AR287" s="5" t="s">
        <v>74</v>
      </c>
      <c r="AS287" s="5" t="s">
        <v>74</v>
      </c>
      <c r="AT287" s="5" t="s">
        <v>74</v>
      </c>
      <c r="AU287" s="5" t="s">
        <v>74</v>
      </c>
      <c r="AV287" s="5" t="s">
        <v>74</v>
      </c>
      <c r="AW287" s="5" t="s">
        <v>74</v>
      </c>
      <c r="AX287" s="5">
        <v>5</v>
      </c>
      <c r="AY287" s="5" t="s">
        <v>74</v>
      </c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 t="s">
        <v>74</v>
      </c>
      <c r="BQ287" s="5" t="s">
        <v>74</v>
      </c>
      <c r="BR287" s="5" t="s">
        <v>74</v>
      </c>
      <c r="BS287" s="5"/>
      <c r="BT287" s="5" t="s">
        <v>74</v>
      </c>
      <c r="BU287" s="6" t="s">
        <v>51</v>
      </c>
      <c r="BV287" s="5" t="s">
        <v>74</v>
      </c>
      <c r="BW287" s="5"/>
      <c r="BX287" s="5" t="s">
        <v>74</v>
      </c>
      <c r="BY287" s="5"/>
      <c r="BZ287" s="5"/>
      <c r="CA287" s="10" t="s">
        <v>74</v>
      </c>
      <c r="CB287" s="5" t="s">
        <v>74</v>
      </c>
      <c r="CC287" s="5" t="s">
        <v>74</v>
      </c>
      <c r="CD287" s="5" t="s">
        <v>74</v>
      </c>
      <c r="CE287" s="5" t="s">
        <v>74</v>
      </c>
      <c r="CF287" s="8"/>
      <c r="CG287" s="5"/>
      <c r="CH287" s="5" t="s">
        <v>74</v>
      </c>
      <c r="CI287" s="5" t="s">
        <v>74</v>
      </c>
      <c r="CJ287" s="8" t="s">
        <v>74</v>
      </c>
      <c r="CK287" s="5"/>
      <c r="CL287" s="5" t="s">
        <v>74</v>
      </c>
      <c r="CM287" s="5" t="s">
        <v>74</v>
      </c>
      <c r="CN287" s="5" t="s">
        <v>74</v>
      </c>
      <c r="CO287" s="5"/>
      <c r="CP287" s="5">
        <v>4</v>
      </c>
    </row>
    <row r="288" spans="1:94" ht="25.25" customHeight="1">
      <c r="A288" s="5">
        <v>287</v>
      </c>
      <c r="B288" s="9" t="s">
        <v>364</v>
      </c>
      <c r="C288" s="9">
        <v>2024202022</v>
      </c>
      <c r="D288" s="5" t="s">
        <v>358</v>
      </c>
      <c r="E288" s="5">
        <f>SUM(G288:$XET288)</f>
        <v>66.5</v>
      </c>
      <c r="F288" s="5">
        <f>COUNT(G288:$XFD288)</f>
        <v>7</v>
      </c>
      <c r="G288" s="5">
        <v>24</v>
      </c>
      <c r="H288" s="5"/>
      <c r="I288" s="5"/>
      <c r="J288" s="5"/>
      <c r="K288" s="5"/>
      <c r="L288" s="5"/>
      <c r="M288" s="5"/>
      <c r="N288" s="5"/>
      <c r="O288" s="5">
        <v>4</v>
      </c>
      <c r="P288" s="5"/>
      <c r="Q288" s="5"/>
      <c r="R288" s="5"/>
      <c r="S288" s="5"/>
      <c r="T288" s="5"/>
      <c r="U288" s="5"/>
      <c r="V288" s="5"/>
      <c r="W288" s="5"/>
      <c r="X288" s="5">
        <v>13</v>
      </c>
      <c r="Y288" s="5"/>
      <c r="Z288" s="5"/>
      <c r="AA288" s="5"/>
      <c r="AB288" s="5" t="s">
        <v>74</v>
      </c>
      <c r="AC288" s="5"/>
      <c r="AD288" s="5"/>
      <c r="AE288" s="5"/>
      <c r="AF288" s="5"/>
      <c r="AG288" s="5" t="s">
        <v>74</v>
      </c>
      <c r="AH288" s="5" t="s">
        <v>74</v>
      </c>
      <c r="AI288" s="5" t="s">
        <v>74</v>
      </c>
      <c r="AJ288" s="5">
        <v>4</v>
      </c>
      <c r="AK288" s="5">
        <v>4</v>
      </c>
      <c r="AL288" s="5"/>
      <c r="AM288" s="5"/>
      <c r="AN288" s="5"/>
      <c r="AO288" s="5"/>
      <c r="AP288" s="5"/>
      <c r="AQ288" s="5"/>
      <c r="AR288" s="5" t="s">
        <v>74</v>
      </c>
      <c r="AS288" s="5">
        <v>12</v>
      </c>
      <c r="AT288" s="5" t="s">
        <v>74</v>
      </c>
      <c r="AU288" s="5" t="s">
        <v>74</v>
      </c>
      <c r="AV288" s="5" t="s">
        <v>74</v>
      </c>
      <c r="AW288" s="5" t="s">
        <v>74</v>
      </c>
      <c r="AX288" s="5" t="s">
        <v>74</v>
      </c>
      <c r="AY288" s="5">
        <v>5.5</v>
      </c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 t="s">
        <v>74</v>
      </c>
      <c r="BQ288" s="5" t="s">
        <v>74</v>
      </c>
      <c r="BR288" s="5" t="s">
        <v>74</v>
      </c>
      <c r="BS288" s="5"/>
      <c r="BT288" s="5" t="s">
        <v>74</v>
      </c>
      <c r="BU288" s="6" t="s">
        <v>51</v>
      </c>
      <c r="BV288" s="5" t="s">
        <v>74</v>
      </c>
      <c r="BW288" s="5"/>
      <c r="BX288" s="5" t="s">
        <v>74</v>
      </c>
      <c r="BY288" s="5"/>
      <c r="BZ288" s="5"/>
      <c r="CA288" s="10" t="s">
        <v>74</v>
      </c>
      <c r="CB288" s="5" t="s">
        <v>74</v>
      </c>
      <c r="CC288" s="5" t="s">
        <v>74</v>
      </c>
      <c r="CD288" s="5" t="s">
        <v>74</v>
      </c>
      <c r="CE288" s="5" t="s">
        <v>74</v>
      </c>
      <c r="CF288" s="8"/>
      <c r="CG288" s="5"/>
      <c r="CH288" s="5" t="s">
        <v>74</v>
      </c>
      <c r="CI288" s="5" t="s">
        <v>74</v>
      </c>
      <c r="CJ288" s="8" t="s">
        <v>74</v>
      </c>
      <c r="CK288" s="5"/>
      <c r="CL288" s="5" t="s">
        <v>74</v>
      </c>
      <c r="CM288" s="5" t="s">
        <v>74</v>
      </c>
      <c r="CN288" s="5" t="s">
        <v>74</v>
      </c>
      <c r="CO288" s="5"/>
      <c r="CP288" s="5" t="s">
        <v>74</v>
      </c>
    </row>
    <row r="289" spans="1:94" ht="25.25" customHeight="1">
      <c r="A289" s="5">
        <v>288</v>
      </c>
      <c r="B289" s="9" t="s">
        <v>365</v>
      </c>
      <c r="C289" s="9">
        <v>2024202040</v>
      </c>
      <c r="D289" s="5" t="s">
        <v>358</v>
      </c>
      <c r="E289" s="5">
        <f>SUM(G289:$XET289)</f>
        <v>30</v>
      </c>
      <c r="F289" s="5">
        <f>COUNT(G289:$XFD289)</f>
        <v>5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>
        <v>3</v>
      </c>
      <c r="R289" s="5"/>
      <c r="S289" s="5"/>
      <c r="T289" s="5"/>
      <c r="U289" s="5"/>
      <c r="V289" s="5"/>
      <c r="W289" s="5"/>
      <c r="X289" s="5">
        <v>7</v>
      </c>
      <c r="Y289" s="5"/>
      <c r="Z289" s="5"/>
      <c r="AA289" s="5"/>
      <c r="AB289" s="5"/>
      <c r="AC289" s="5"/>
      <c r="AD289" s="5"/>
      <c r="AE289" s="5"/>
      <c r="AF289" s="5"/>
      <c r="AG289" s="5" t="s">
        <v>74</v>
      </c>
      <c r="AH289" s="5" t="s">
        <v>74</v>
      </c>
      <c r="AI289" s="5" t="s">
        <v>74</v>
      </c>
      <c r="AJ289" s="5" t="s">
        <v>74</v>
      </c>
      <c r="AK289" s="5">
        <v>4</v>
      </c>
      <c r="AL289" s="5"/>
      <c r="AM289" s="5"/>
      <c r="AN289" s="5"/>
      <c r="AO289" s="5"/>
      <c r="AP289" s="5"/>
      <c r="AQ289" s="5"/>
      <c r="AR289" s="5" t="s">
        <v>74</v>
      </c>
      <c r="AS289" s="5" t="s">
        <v>74</v>
      </c>
      <c r="AT289" s="5" t="s">
        <v>74</v>
      </c>
      <c r="AU289" s="5" t="s">
        <v>74</v>
      </c>
      <c r="AV289" s="5" t="s">
        <v>74</v>
      </c>
      <c r="AW289" s="5" t="s">
        <v>74</v>
      </c>
      <c r="AX289" s="5" t="s">
        <v>74</v>
      </c>
      <c r="AY289" s="5" t="s">
        <v>74</v>
      </c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 t="s">
        <v>74</v>
      </c>
      <c r="BQ289" s="5">
        <v>15</v>
      </c>
      <c r="BR289" s="5" t="s">
        <v>74</v>
      </c>
      <c r="BS289" s="5"/>
      <c r="BT289" s="5" t="s">
        <v>74</v>
      </c>
      <c r="BU289" s="6" t="s">
        <v>51</v>
      </c>
      <c r="BV289" s="5">
        <v>1</v>
      </c>
      <c r="BW289" s="5"/>
      <c r="BX289" s="5" t="s">
        <v>74</v>
      </c>
      <c r="BY289" s="5"/>
      <c r="BZ289" s="5"/>
      <c r="CA289" s="10" t="s">
        <v>74</v>
      </c>
      <c r="CB289" s="5" t="s">
        <v>74</v>
      </c>
      <c r="CC289" s="5" t="s">
        <v>74</v>
      </c>
      <c r="CD289" s="5" t="s">
        <v>74</v>
      </c>
      <c r="CE289" s="5" t="s">
        <v>74</v>
      </c>
      <c r="CF289" s="8"/>
      <c r="CG289" s="5"/>
      <c r="CH289" s="5" t="s">
        <v>74</v>
      </c>
      <c r="CI289" s="5" t="s">
        <v>74</v>
      </c>
      <c r="CJ289" s="8" t="s">
        <v>74</v>
      </c>
      <c r="CK289" s="5"/>
      <c r="CL289" s="5" t="s">
        <v>74</v>
      </c>
      <c r="CM289" s="5" t="s">
        <v>74</v>
      </c>
      <c r="CN289" s="5" t="s">
        <v>74</v>
      </c>
      <c r="CO289" s="5"/>
      <c r="CP289" s="5" t="s">
        <v>74</v>
      </c>
    </row>
    <row r="290" spans="1:94" ht="25.25" customHeight="1">
      <c r="A290" s="5">
        <v>289</v>
      </c>
      <c r="B290" s="9" t="s">
        <v>366</v>
      </c>
      <c r="C290" s="9">
        <v>2024201976</v>
      </c>
      <c r="D290" s="5" t="s">
        <v>358</v>
      </c>
      <c r="E290" s="5">
        <f>SUM(G290:$XET290)</f>
        <v>41.5</v>
      </c>
      <c r="F290" s="5">
        <f>COUNT(G290:$XFD290)</f>
        <v>6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>
        <v>14.5</v>
      </c>
      <c r="S290" s="5"/>
      <c r="T290" s="5"/>
      <c r="U290" s="5"/>
      <c r="V290" s="5"/>
      <c r="W290" s="5"/>
      <c r="X290" s="5">
        <v>8</v>
      </c>
      <c r="Y290" s="5"/>
      <c r="Z290" s="5"/>
      <c r="AA290" s="5"/>
      <c r="AB290" s="5"/>
      <c r="AC290" s="5"/>
      <c r="AD290" s="5"/>
      <c r="AE290" s="5"/>
      <c r="AF290" s="5"/>
      <c r="AG290" s="5" t="s">
        <v>74</v>
      </c>
      <c r="AH290" s="5" t="s">
        <v>74</v>
      </c>
      <c r="AI290" s="5">
        <v>12</v>
      </c>
      <c r="AJ290" s="5">
        <v>2</v>
      </c>
      <c r="AK290" s="5">
        <v>4</v>
      </c>
      <c r="AL290" s="5"/>
      <c r="AM290" s="5"/>
      <c r="AN290" s="5"/>
      <c r="AO290" s="5"/>
      <c r="AP290" s="5"/>
      <c r="AQ290" s="5"/>
      <c r="AR290" s="5" t="s">
        <v>74</v>
      </c>
      <c r="AS290" s="5" t="s">
        <v>74</v>
      </c>
      <c r="AT290" s="5" t="s">
        <v>74</v>
      </c>
      <c r="AU290" s="5" t="s">
        <v>74</v>
      </c>
      <c r="AV290" s="5" t="s">
        <v>74</v>
      </c>
      <c r="AW290" s="5" t="s">
        <v>74</v>
      </c>
      <c r="AX290" s="5" t="s">
        <v>74</v>
      </c>
      <c r="AY290" s="5" t="s">
        <v>74</v>
      </c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 t="s">
        <v>74</v>
      </c>
      <c r="BQ290" s="5" t="s">
        <v>74</v>
      </c>
      <c r="BR290" s="5" t="s">
        <v>74</v>
      </c>
      <c r="BS290" s="5"/>
      <c r="BT290" s="5" t="s">
        <v>74</v>
      </c>
      <c r="BU290" s="6" t="s">
        <v>51</v>
      </c>
      <c r="BV290" s="5" t="s">
        <v>74</v>
      </c>
      <c r="BW290" s="5"/>
      <c r="BX290" s="5" t="s">
        <v>74</v>
      </c>
      <c r="BY290" s="5"/>
      <c r="BZ290" s="5"/>
      <c r="CA290" s="10" t="s">
        <v>74</v>
      </c>
      <c r="CB290" s="5" t="s">
        <v>74</v>
      </c>
      <c r="CC290" s="5" t="s">
        <v>74</v>
      </c>
      <c r="CD290" s="5" t="s">
        <v>74</v>
      </c>
      <c r="CE290" s="5">
        <v>1</v>
      </c>
      <c r="CF290" s="8"/>
      <c r="CG290" s="5"/>
      <c r="CH290" s="5" t="s">
        <v>74</v>
      </c>
      <c r="CI290" s="5" t="s">
        <v>74</v>
      </c>
      <c r="CJ290" s="8" t="s">
        <v>74</v>
      </c>
      <c r="CK290" s="5"/>
      <c r="CL290" s="5" t="s">
        <v>74</v>
      </c>
      <c r="CM290" s="5" t="s">
        <v>74</v>
      </c>
      <c r="CN290" s="5" t="s">
        <v>74</v>
      </c>
      <c r="CO290" s="5"/>
      <c r="CP290" s="5" t="s">
        <v>74</v>
      </c>
    </row>
    <row r="291" spans="1:94" ht="25.25" customHeight="1">
      <c r="A291" s="5">
        <v>290</v>
      </c>
      <c r="B291" s="9" t="s">
        <v>367</v>
      </c>
      <c r="C291" s="9">
        <v>2024201988</v>
      </c>
      <c r="D291" s="5" t="s">
        <v>358</v>
      </c>
      <c r="E291" s="5">
        <f>SUM(G291:$XET291)</f>
        <v>40</v>
      </c>
      <c r="F291" s="5">
        <f>COUNT(G291:$XFD291)</f>
        <v>8</v>
      </c>
      <c r="G291" s="5"/>
      <c r="H291" s="5"/>
      <c r="I291" s="5"/>
      <c r="J291" s="5"/>
      <c r="K291" s="5"/>
      <c r="L291" s="5">
        <v>2</v>
      </c>
      <c r="M291" s="5"/>
      <c r="N291" s="5">
        <v>2</v>
      </c>
      <c r="O291" s="5"/>
      <c r="P291" s="5"/>
      <c r="Q291" s="5">
        <v>3</v>
      </c>
      <c r="R291" s="5"/>
      <c r="S291" s="5"/>
      <c r="T291" s="5"/>
      <c r="U291" s="5"/>
      <c r="V291" s="5"/>
      <c r="W291" s="5"/>
      <c r="X291" s="5">
        <v>6</v>
      </c>
      <c r="Y291" s="5"/>
      <c r="Z291" s="5"/>
      <c r="AA291" s="5"/>
      <c r="AB291" s="5"/>
      <c r="AC291" s="5"/>
      <c r="AD291" s="5"/>
      <c r="AE291" s="5"/>
      <c r="AF291" s="5"/>
      <c r="AG291" s="5" t="s">
        <v>74</v>
      </c>
      <c r="AH291" s="5" t="s">
        <v>74</v>
      </c>
      <c r="AI291" s="5" t="s">
        <v>74</v>
      </c>
      <c r="AJ291" s="5" t="s">
        <v>74</v>
      </c>
      <c r="AK291" s="5" t="s">
        <v>74</v>
      </c>
      <c r="AL291" s="5"/>
      <c r="AM291" s="5"/>
      <c r="AN291" s="5"/>
      <c r="AO291" s="5"/>
      <c r="AP291" s="5"/>
      <c r="AQ291" s="5"/>
      <c r="AR291" s="5" t="s">
        <v>74</v>
      </c>
      <c r="AS291" s="5" t="s">
        <v>74</v>
      </c>
      <c r="AT291" s="5" t="s">
        <v>74</v>
      </c>
      <c r="AU291" s="5" t="s">
        <v>74</v>
      </c>
      <c r="AV291" s="5">
        <v>2</v>
      </c>
      <c r="AW291" s="5" t="s">
        <v>74</v>
      </c>
      <c r="AX291" s="5" t="s">
        <v>74</v>
      </c>
      <c r="AY291" s="5" t="s">
        <v>74</v>
      </c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 t="s">
        <v>74</v>
      </c>
      <c r="BQ291" s="5">
        <v>22.5</v>
      </c>
      <c r="BR291" s="5" t="s">
        <v>74</v>
      </c>
      <c r="BS291" s="5"/>
      <c r="BT291" s="5" t="s">
        <v>74</v>
      </c>
      <c r="BU291" s="6" t="s">
        <v>51</v>
      </c>
      <c r="BV291" s="5">
        <v>1</v>
      </c>
      <c r="BW291" s="5"/>
      <c r="BX291" s="5" t="s">
        <v>74</v>
      </c>
      <c r="BY291" s="5"/>
      <c r="BZ291" s="5"/>
      <c r="CA291" s="10" t="s">
        <v>74</v>
      </c>
      <c r="CB291" s="5" t="s">
        <v>74</v>
      </c>
      <c r="CC291" s="5" t="s">
        <v>74</v>
      </c>
      <c r="CD291" s="5" t="s">
        <v>74</v>
      </c>
      <c r="CE291" s="5">
        <v>1.5</v>
      </c>
      <c r="CF291" s="8"/>
      <c r="CG291" s="5"/>
      <c r="CH291" s="5" t="s">
        <v>74</v>
      </c>
      <c r="CI291" s="5" t="s">
        <v>74</v>
      </c>
      <c r="CJ291" s="8" t="s">
        <v>74</v>
      </c>
      <c r="CK291" s="5"/>
      <c r="CL291" s="5" t="s">
        <v>74</v>
      </c>
      <c r="CM291" s="5" t="s">
        <v>74</v>
      </c>
      <c r="CN291" s="5" t="s">
        <v>74</v>
      </c>
      <c r="CO291" s="5"/>
      <c r="CP291" s="5" t="s">
        <v>74</v>
      </c>
    </row>
    <row r="292" spans="1:94" ht="25.25" customHeight="1">
      <c r="A292" s="5">
        <v>291</v>
      </c>
      <c r="B292" s="9" t="s">
        <v>368</v>
      </c>
      <c r="C292" s="9">
        <v>2024202029</v>
      </c>
      <c r="D292" s="5" t="s">
        <v>358</v>
      </c>
      <c r="E292" s="5">
        <f>SUM(G292:$XET292)</f>
        <v>44.5</v>
      </c>
      <c r="F292" s="5">
        <f>COUNT(G292:$XFD292)</f>
        <v>10</v>
      </c>
      <c r="G292" s="5"/>
      <c r="H292" s="5"/>
      <c r="I292" s="5"/>
      <c r="J292" s="5">
        <v>3</v>
      </c>
      <c r="K292" s="5"/>
      <c r="L292" s="5">
        <v>12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>
        <v>4</v>
      </c>
      <c r="AB292" s="5">
        <v>6</v>
      </c>
      <c r="AC292" s="5">
        <v>2</v>
      </c>
      <c r="AD292" s="5">
        <v>4</v>
      </c>
      <c r="AE292" s="5"/>
      <c r="AF292" s="5"/>
      <c r="AG292" s="5" t="s">
        <v>74</v>
      </c>
      <c r="AH292" s="5" t="s">
        <v>74</v>
      </c>
      <c r="AI292" s="5" t="s">
        <v>74</v>
      </c>
      <c r="AJ292" s="5">
        <v>2</v>
      </c>
      <c r="AK292" s="5">
        <v>4</v>
      </c>
      <c r="AL292" s="5"/>
      <c r="AM292" s="5"/>
      <c r="AN292" s="5"/>
      <c r="AO292" s="5"/>
      <c r="AP292" s="5"/>
      <c r="AQ292" s="5"/>
      <c r="AR292" s="5" t="s">
        <v>74</v>
      </c>
      <c r="AS292" s="5" t="s">
        <v>74</v>
      </c>
      <c r="AT292" s="5" t="s">
        <v>74</v>
      </c>
      <c r="AU292" s="5" t="s">
        <v>74</v>
      </c>
      <c r="AV292" s="5" t="s">
        <v>74</v>
      </c>
      <c r="AW292" s="5" t="s">
        <v>74</v>
      </c>
      <c r="AX292" s="5" t="s">
        <v>74</v>
      </c>
      <c r="AY292" s="5" t="s">
        <v>74</v>
      </c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 t="s">
        <v>74</v>
      </c>
      <c r="BQ292" s="5" t="s">
        <v>74</v>
      </c>
      <c r="BR292" s="5" t="s">
        <v>74</v>
      </c>
      <c r="BS292" s="5"/>
      <c r="BT292" s="5" t="s">
        <v>74</v>
      </c>
      <c r="BU292" s="6" t="s">
        <v>51</v>
      </c>
      <c r="BV292" s="5" t="s">
        <v>74</v>
      </c>
      <c r="BW292" s="5"/>
      <c r="BX292" s="5" t="s">
        <v>74</v>
      </c>
      <c r="BY292" s="5"/>
      <c r="BZ292" s="5"/>
      <c r="CA292" s="10" t="s">
        <v>74</v>
      </c>
      <c r="CB292" s="5" t="s">
        <v>74</v>
      </c>
      <c r="CC292" s="5" t="s">
        <v>74</v>
      </c>
      <c r="CD292" s="5" t="s">
        <v>74</v>
      </c>
      <c r="CE292" s="5">
        <v>1.5</v>
      </c>
      <c r="CF292" s="8"/>
      <c r="CG292" s="5"/>
      <c r="CH292" s="5" t="s">
        <v>74</v>
      </c>
      <c r="CI292" s="5" t="s">
        <v>74</v>
      </c>
      <c r="CJ292" s="8">
        <v>6</v>
      </c>
      <c r="CK292" s="5"/>
      <c r="CL292" s="5" t="s">
        <v>74</v>
      </c>
      <c r="CM292" s="5" t="s">
        <v>74</v>
      </c>
      <c r="CN292" s="5" t="s">
        <v>74</v>
      </c>
      <c r="CO292" s="5"/>
      <c r="CP292" s="5" t="s">
        <v>74</v>
      </c>
    </row>
    <row r="293" spans="1:94" ht="25.25" customHeight="1">
      <c r="A293" s="5">
        <v>292</v>
      </c>
      <c r="B293" s="9" t="s">
        <v>369</v>
      </c>
      <c r="C293" s="9">
        <v>2024202052</v>
      </c>
      <c r="D293" s="5" t="s">
        <v>358</v>
      </c>
      <c r="E293" s="5">
        <f>SUM(G293:$XET293)</f>
        <v>10</v>
      </c>
      <c r="F293" s="5">
        <f>COUNT(G293:$XFD293)</f>
        <v>4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>
        <v>1</v>
      </c>
      <c r="AC293" s="5"/>
      <c r="AD293" s="5">
        <v>4</v>
      </c>
      <c r="AE293" s="5"/>
      <c r="AF293" s="5"/>
      <c r="AG293" s="5" t="s">
        <v>74</v>
      </c>
      <c r="AH293" s="5" t="s">
        <v>74</v>
      </c>
      <c r="AI293" s="5" t="s">
        <v>74</v>
      </c>
      <c r="AJ293" s="5" t="s">
        <v>74</v>
      </c>
      <c r="AK293" s="5">
        <v>4</v>
      </c>
      <c r="AL293" s="5"/>
      <c r="AM293" s="5"/>
      <c r="AN293" s="5"/>
      <c r="AO293" s="5"/>
      <c r="AP293" s="5"/>
      <c r="AQ293" s="5"/>
      <c r="AR293" s="5" t="s">
        <v>74</v>
      </c>
      <c r="AS293" s="5" t="s">
        <v>74</v>
      </c>
      <c r="AT293" s="5" t="s">
        <v>74</v>
      </c>
      <c r="AU293" s="5" t="s">
        <v>74</v>
      </c>
      <c r="AV293" s="5" t="s">
        <v>74</v>
      </c>
      <c r="AW293" s="5" t="s">
        <v>74</v>
      </c>
      <c r="AX293" s="5" t="s">
        <v>74</v>
      </c>
      <c r="AY293" s="5" t="s">
        <v>74</v>
      </c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 t="s">
        <v>74</v>
      </c>
      <c r="BQ293" s="5" t="s">
        <v>74</v>
      </c>
      <c r="BR293" s="5" t="s">
        <v>74</v>
      </c>
      <c r="BS293" s="5"/>
      <c r="BT293" s="5" t="s">
        <v>74</v>
      </c>
      <c r="BU293" s="6" t="s">
        <v>51</v>
      </c>
      <c r="BV293" s="5">
        <v>1</v>
      </c>
      <c r="BW293" s="5"/>
      <c r="BX293" s="5" t="s">
        <v>74</v>
      </c>
      <c r="BY293" s="5"/>
      <c r="BZ293" s="5"/>
      <c r="CA293" s="10" t="s">
        <v>74</v>
      </c>
      <c r="CB293" s="5" t="s">
        <v>74</v>
      </c>
      <c r="CC293" s="5" t="s">
        <v>74</v>
      </c>
      <c r="CD293" s="5" t="s">
        <v>74</v>
      </c>
      <c r="CE293" s="5" t="s">
        <v>74</v>
      </c>
      <c r="CF293" s="8"/>
      <c r="CG293" s="5"/>
      <c r="CH293" s="5" t="s">
        <v>74</v>
      </c>
      <c r="CI293" s="5" t="s">
        <v>74</v>
      </c>
      <c r="CJ293" s="8" t="s">
        <v>74</v>
      </c>
      <c r="CK293" s="5"/>
      <c r="CL293" s="5" t="s">
        <v>74</v>
      </c>
      <c r="CM293" s="5" t="s">
        <v>74</v>
      </c>
      <c r="CN293" s="5" t="s">
        <v>74</v>
      </c>
      <c r="CO293" s="5"/>
      <c r="CP293" s="5" t="s">
        <v>74</v>
      </c>
    </row>
    <row r="294" spans="1:94" ht="25.25" customHeight="1">
      <c r="A294" s="5">
        <v>293</v>
      </c>
      <c r="B294" s="9" t="s">
        <v>370</v>
      </c>
      <c r="C294" s="9">
        <v>2024201977</v>
      </c>
      <c r="D294" s="5" t="s">
        <v>358</v>
      </c>
      <c r="E294" s="5">
        <f>SUM(G294:$XET294)</f>
        <v>40</v>
      </c>
      <c r="F294" s="5">
        <f>COUNT(G294:$XFD294)</f>
        <v>4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>
        <v>16</v>
      </c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 t="s">
        <v>74</v>
      </c>
      <c r="AH294" s="5" t="s">
        <v>74</v>
      </c>
      <c r="AI294" s="5" t="s">
        <v>74</v>
      </c>
      <c r="AJ294" s="5">
        <v>4</v>
      </c>
      <c r="AK294" s="5">
        <v>4</v>
      </c>
      <c r="AL294" s="5"/>
      <c r="AM294" s="5"/>
      <c r="AN294" s="5"/>
      <c r="AO294" s="5"/>
      <c r="AP294" s="5"/>
      <c r="AQ294" s="5"/>
      <c r="AR294" s="5" t="s">
        <v>74</v>
      </c>
      <c r="AS294" s="5" t="s">
        <v>74</v>
      </c>
      <c r="AT294" s="5" t="s">
        <v>74</v>
      </c>
      <c r="AU294" s="5" t="s">
        <v>74</v>
      </c>
      <c r="AV294" s="5" t="s">
        <v>74</v>
      </c>
      <c r="AW294" s="5" t="s">
        <v>74</v>
      </c>
      <c r="AX294" s="5" t="s">
        <v>74</v>
      </c>
      <c r="AY294" s="5" t="s">
        <v>74</v>
      </c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 t="s">
        <v>74</v>
      </c>
      <c r="BQ294" s="5" t="s">
        <v>74</v>
      </c>
      <c r="BR294" s="5" t="s">
        <v>74</v>
      </c>
      <c r="BS294" s="5"/>
      <c r="BT294" s="5" t="s">
        <v>74</v>
      </c>
      <c r="BU294" s="6" t="s">
        <v>51</v>
      </c>
      <c r="BV294" s="5" t="s">
        <v>74</v>
      </c>
      <c r="BW294" s="5"/>
      <c r="BX294" s="5" t="s">
        <v>74</v>
      </c>
      <c r="BY294" s="5"/>
      <c r="BZ294" s="5"/>
      <c r="CA294" s="10" t="s">
        <v>74</v>
      </c>
      <c r="CB294" s="5" t="s">
        <v>74</v>
      </c>
      <c r="CC294" s="5" t="s">
        <v>74</v>
      </c>
      <c r="CD294" s="5" t="s">
        <v>74</v>
      </c>
      <c r="CE294" s="5" t="s">
        <v>74</v>
      </c>
      <c r="CF294" s="8"/>
      <c r="CG294" s="5"/>
      <c r="CH294" s="5" t="s">
        <v>74</v>
      </c>
      <c r="CI294" s="5">
        <v>16</v>
      </c>
      <c r="CJ294" s="8" t="s">
        <v>74</v>
      </c>
      <c r="CK294" s="5"/>
      <c r="CL294" s="5" t="s">
        <v>74</v>
      </c>
      <c r="CM294" s="5" t="s">
        <v>74</v>
      </c>
      <c r="CN294" s="5" t="s">
        <v>74</v>
      </c>
      <c r="CO294" s="5"/>
      <c r="CP294" s="5" t="s">
        <v>74</v>
      </c>
    </row>
    <row r="295" spans="1:94" ht="25.25" customHeight="1">
      <c r="A295" s="5">
        <v>294</v>
      </c>
      <c r="B295" s="9" t="s">
        <v>371</v>
      </c>
      <c r="C295" s="9">
        <v>2024202054</v>
      </c>
      <c r="D295" s="5" t="s">
        <v>358</v>
      </c>
      <c r="E295" s="5">
        <f>SUM(G295:$XET295)</f>
        <v>39</v>
      </c>
      <c r="F295" s="5">
        <f>COUNT(G295:$XFD295)</f>
        <v>5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>
        <v>16</v>
      </c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 t="s">
        <v>74</v>
      </c>
      <c r="AH295" s="5" t="s">
        <v>74</v>
      </c>
      <c r="AI295" s="5" t="s">
        <v>74</v>
      </c>
      <c r="AJ295" s="5" t="s">
        <v>74</v>
      </c>
      <c r="AK295" s="5">
        <v>4</v>
      </c>
      <c r="AL295" s="5"/>
      <c r="AM295" s="5"/>
      <c r="AN295" s="5"/>
      <c r="AO295" s="5"/>
      <c r="AP295" s="5"/>
      <c r="AQ295" s="5"/>
      <c r="AR295" s="5" t="s">
        <v>74</v>
      </c>
      <c r="AS295" s="5" t="s">
        <v>74</v>
      </c>
      <c r="AT295" s="5" t="s">
        <v>74</v>
      </c>
      <c r="AU295" s="5" t="s">
        <v>74</v>
      </c>
      <c r="AV295" s="5" t="s">
        <v>74</v>
      </c>
      <c r="AW295" s="5" t="s">
        <v>74</v>
      </c>
      <c r="AX295" s="5" t="s">
        <v>74</v>
      </c>
      <c r="AY295" s="5" t="s">
        <v>74</v>
      </c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 t="s">
        <v>74</v>
      </c>
      <c r="BQ295" s="5" t="s">
        <v>74</v>
      </c>
      <c r="BR295" s="5" t="s">
        <v>74</v>
      </c>
      <c r="BS295" s="5"/>
      <c r="BT295" s="5" t="s">
        <v>74</v>
      </c>
      <c r="BU295" s="6" t="s">
        <v>51</v>
      </c>
      <c r="BV295" s="5">
        <v>1</v>
      </c>
      <c r="BW295" s="5"/>
      <c r="BX295" s="5" t="s">
        <v>74</v>
      </c>
      <c r="BY295" s="5"/>
      <c r="BZ295" s="5"/>
      <c r="CA295" s="10" t="s">
        <v>74</v>
      </c>
      <c r="CB295" s="5" t="s">
        <v>74</v>
      </c>
      <c r="CC295" s="5" t="s">
        <v>74</v>
      </c>
      <c r="CD295" s="5" t="s">
        <v>74</v>
      </c>
      <c r="CE295" s="5" t="s">
        <v>74</v>
      </c>
      <c r="CF295" s="8"/>
      <c r="CG295" s="5">
        <v>2</v>
      </c>
      <c r="CH295" s="5" t="s">
        <v>74</v>
      </c>
      <c r="CI295" s="5">
        <v>16</v>
      </c>
      <c r="CJ295" s="8" t="s">
        <v>74</v>
      </c>
      <c r="CK295" s="5"/>
      <c r="CL295" s="5" t="s">
        <v>74</v>
      </c>
      <c r="CM295" s="5" t="s">
        <v>74</v>
      </c>
      <c r="CN295" s="5" t="s">
        <v>74</v>
      </c>
      <c r="CO295" s="5"/>
      <c r="CP295" s="5" t="s">
        <v>74</v>
      </c>
    </row>
    <row r="296" spans="1:94" ht="25.25" customHeight="1">
      <c r="A296" s="5">
        <v>295</v>
      </c>
      <c r="B296" s="9" t="s">
        <v>372</v>
      </c>
      <c r="C296" s="9">
        <v>2024202055</v>
      </c>
      <c r="D296" s="5" t="s">
        <v>358</v>
      </c>
      <c r="E296" s="5">
        <f>SUM(G296:$XET296)</f>
        <v>65.5</v>
      </c>
      <c r="F296" s="5">
        <f>COUNT(G296:$XFD296)</f>
        <v>8</v>
      </c>
      <c r="G296" s="5"/>
      <c r="H296" s="5"/>
      <c r="I296" s="5"/>
      <c r="J296" s="5"/>
      <c r="K296" s="5">
        <v>9</v>
      </c>
      <c r="L296" s="5"/>
      <c r="M296" s="5"/>
      <c r="N296" s="5"/>
      <c r="O296" s="5"/>
      <c r="P296" s="5"/>
      <c r="Q296" s="5">
        <v>3</v>
      </c>
      <c r="R296" s="5">
        <v>14.5</v>
      </c>
      <c r="S296" s="5"/>
      <c r="T296" s="5"/>
      <c r="U296" s="5"/>
      <c r="V296" s="5"/>
      <c r="W296" s="5"/>
      <c r="X296" s="5">
        <v>15</v>
      </c>
      <c r="Y296" s="5"/>
      <c r="Z296" s="5"/>
      <c r="AA296" s="5"/>
      <c r="AB296" s="5"/>
      <c r="AC296" s="5" t="s">
        <v>74</v>
      </c>
      <c r="AD296" s="5"/>
      <c r="AE296" s="5"/>
      <c r="AF296" s="5"/>
      <c r="AG296" s="5" t="s">
        <v>74</v>
      </c>
      <c r="AH296" s="5" t="s">
        <v>74</v>
      </c>
      <c r="AI296" s="5" t="s">
        <v>74</v>
      </c>
      <c r="AJ296" s="5">
        <v>4</v>
      </c>
      <c r="AK296" s="5" t="s">
        <v>74</v>
      </c>
      <c r="AL296" s="5"/>
      <c r="AM296" s="5"/>
      <c r="AN296" s="5"/>
      <c r="AO296" s="5"/>
      <c r="AP296" s="5"/>
      <c r="AQ296" s="5"/>
      <c r="AR296" s="5" t="s">
        <v>74</v>
      </c>
      <c r="AS296" s="5" t="s">
        <v>74</v>
      </c>
      <c r="AT296" s="5" t="s">
        <v>74</v>
      </c>
      <c r="AU296" s="5" t="s">
        <v>74</v>
      </c>
      <c r="AV296" s="5" t="s">
        <v>74</v>
      </c>
      <c r="AW296" s="5" t="s">
        <v>74</v>
      </c>
      <c r="AX296" s="5" t="s">
        <v>74</v>
      </c>
      <c r="AY296" s="5" t="s">
        <v>74</v>
      </c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 t="s">
        <v>74</v>
      </c>
      <c r="BQ296" s="5" t="s">
        <v>74</v>
      </c>
      <c r="BR296" s="5" t="s">
        <v>74</v>
      </c>
      <c r="BS296" s="5"/>
      <c r="BT296" s="5" t="s">
        <v>74</v>
      </c>
      <c r="BU296" s="6" t="s">
        <v>51</v>
      </c>
      <c r="BV296" s="5">
        <v>1</v>
      </c>
      <c r="BW296" s="5"/>
      <c r="BX296" s="5" t="s">
        <v>74</v>
      </c>
      <c r="BY296" s="5"/>
      <c r="BZ296" s="5"/>
      <c r="CA296" s="10" t="s">
        <v>74</v>
      </c>
      <c r="CB296" s="5">
        <v>3</v>
      </c>
      <c r="CC296" s="5" t="s">
        <v>74</v>
      </c>
      <c r="CD296" s="5" t="s">
        <v>74</v>
      </c>
      <c r="CE296" s="5" t="s">
        <v>74</v>
      </c>
      <c r="CF296" s="8"/>
      <c r="CG296" s="5"/>
      <c r="CH296" s="5" t="s">
        <v>74</v>
      </c>
      <c r="CI296" s="5">
        <v>16</v>
      </c>
      <c r="CJ296" s="8" t="s">
        <v>74</v>
      </c>
      <c r="CK296" s="5"/>
      <c r="CL296" s="5" t="s">
        <v>74</v>
      </c>
      <c r="CM296" s="5" t="s">
        <v>74</v>
      </c>
      <c r="CN296" s="5" t="s">
        <v>74</v>
      </c>
      <c r="CO296" s="5"/>
      <c r="CP296" s="5" t="s">
        <v>74</v>
      </c>
    </row>
    <row r="297" spans="1:94" ht="25.25" customHeight="1">
      <c r="A297" s="5">
        <v>296</v>
      </c>
      <c r="B297" s="9" t="s">
        <v>373</v>
      </c>
      <c r="C297" s="9">
        <v>2024202090</v>
      </c>
      <c r="D297" s="5" t="s">
        <v>358</v>
      </c>
      <c r="E297" s="5">
        <f>SUM(G297:$XET297)</f>
        <v>53.5</v>
      </c>
      <c r="F297" s="5">
        <f>COUNT(G297:$XFD297)</f>
        <v>6</v>
      </c>
      <c r="G297" s="5"/>
      <c r="H297" s="5"/>
      <c r="I297" s="5"/>
      <c r="J297" s="5"/>
      <c r="K297" s="5"/>
      <c r="L297" s="5"/>
      <c r="M297" s="5">
        <v>9</v>
      </c>
      <c r="N297" s="5"/>
      <c r="O297" s="5"/>
      <c r="P297" s="5"/>
      <c r="Q297" s="5"/>
      <c r="R297" s="5"/>
      <c r="S297" s="5"/>
      <c r="T297" s="5"/>
      <c r="U297" s="5"/>
      <c r="V297" s="5"/>
      <c r="W297" s="5">
        <v>3</v>
      </c>
      <c r="X297" s="5"/>
      <c r="Y297" s="5">
        <v>32.5</v>
      </c>
      <c r="Z297" s="5"/>
      <c r="AA297" s="5"/>
      <c r="AB297" s="5">
        <v>3</v>
      </c>
      <c r="AC297" s="5">
        <v>2</v>
      </c>
      <c r="AD297" s="5"/>
      <c r="AE297" s="5"/>
      <c r="AF297" s="5"/>
      <c r="AG297" s="5" t="s">
        <v>74</v>
      </c>
      <c r="AH297" s="5" t="s">
        <v>74</v>
      </c>
      <c r="AI297" s="5" t="s">
        <v>74</v>
      </c>
      <c r="AJ297" s="5" t="s">
        <v>74</v>
      </c>
      <c r="AK297" s="5" t="s">
        <v>74</v>
      </c>
      <c r="AL297" s="5"/>
      <c r="AM297" s="5"/>
      <c r="AN297" s="5"/>
      <c r="AO297" s="5"/>
      <c r="AP297" s="5"/>
      <c r="AQ297" s="5"/>
      <c r="AR297" s="5" t="s">
        <v>74</v>
      </c>
      <c r="AS297" s="5" t="s">
        <v>74</v>
      </c>
      <c r="AT297" s="5" t="s">
        <v>74</v>
      </c>
      <c r="AU297" s="5" t="s">
        <v>74</v>
      </c>
      <c r="AV297" s="5" t="s">
        <v>74</v>
      </c>
      <c r="AW297" s="5" t="s">
        <v>74</v>
      </c>
      <c r="AX297" s="5" t="s">
        <v>74</v>
      </c>
      <c r="AY297" s="5" t="s">
        <v>74</v>
      </c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 t="s">
        <v>74</v>
      </c>
      <c r="BQ297" s="5" t="s">
        <v>74</v>
      </c>
      <c r="BR297" s="5" t="s">
        <v>74</v>
      </c>
      <c r="BS297" s="5"/>
      <c r="BT297" s="5" t="s">
        <v>74</v>
      </c>
      <c r="BU297" s="6" t="s">
        <v>51</v>
      </c>
      <c r="BV297" s="5" t="s">
        <v>74</v>
      </c>
      <c r="BW297" s="5"/>
      <c r="BX297" s="5" t="s">
        <v>74</v>
      </c>
      <c r="BY297" s="5"/>
      <c r="BZ297" s="5"/>
      <c r="CA297" s="10">
        <v>4</v>
      </c>
      <c r="CB297" s="5" t="s">
        <v>74</v>
      </c>
      <c r="CC297" s="5" t="s">
        <v>74</v>
      </c>
      <c r="CD297" s="5" t="s">
        <v>74</v>
      </c>
      <c r="CE297" s="5" t="s">
        <v>74</v>
      </c>
      <c r="CF297" s="8"/>
      <c r="CG297" s="5"/>
      <c r="CH297" s="5" t="s">
        <v>74</v>
      </c>
      <c r="CI297" s="5" t="s">
        <v>74</v>
      </c>
      <c r="CJ297" s="8" t="s">
        <v>74</v>
      </c>
      <c r="CK297" s="5"/>
      <c r="CL297" s="5" t="s">
        <v>74</v>
      </c>
      <c r="CM297" s="5" t="s">
        <v>74</v>
      </c>
      <c r="CN297" s="5" t="s">
        <v>74</v>
      </c>
      <c r="CO297" s="5"/>
      <c r="CP297" s="5" t="s">
        <v>74</v>
      </c>
    </row>
    <row r="298" spans="1:94" ht="25.25" customHeight="1">
      <c r="A298" s="5">
        <v>297</v>
      </c>
      <c r="B298" s="9" t="s">
        <v>374</v>
      </c>
      <c r="C298" s="9">
        <v>2024202123</v>
      </c>
      <c r="D298" s="5" t="s">
        <v>358</v>
      </c>
      <c r="E298" s="5">
        <f>SUM(G298:$XET298)</f>
        <v>6</v>
      </c>
      <c r="F298" s="5">
        <f>COUNT(G298:$XFD298)</f>
        <v>3</v>
      </c>
      <c r="G298" s="5"/>
      <c r="H298" s="5"/>
      <c r="I298" s="5"/>
      <c r="J298" s="5"/>
      <c r="K298" s="5"/>
      <c r="L298" s="5"/>
      <c r="M298" s="5"/>
      <c r="N298" s="5">
        <v>2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>
        <v>3</v>
      </c>
      <c r="AC298" s="5" t="s">
        <v>74</v>
      </c>
      <c r="AD298" s="5"/>
      <c r="AE298" s="5"/>
      <c r="AF298" s="5"/>
      <c r="AG298" s="5" t="s">
        <v>74</v>
      </c>
      <c r="AH298" s="5" t="s">
        <v>74</v>
      </c>
      <c r="AI298" s="5" t="s">
        <v>74</v>
      </c>
      <c r="AJ298" s="5" t="s">
        <v>74</v>
      </c>
      <c r="AK298" s="5" t="s">
        <v>74</v>
      </c>
      <c r="AL298" s="5"/>
      <c r="AM298" s="5"/>
      <c r="AN298" s="5"/>
      <c r="AO298" s="5"/>
      <c r="AP298" s="5"/>
      <c r="AQ298" s="5"/>
      <c r="AR298" s="5" t="s">
        <v>74</v>
      </c>
      <c r="AS298" s="5" t="s">
        <v>74</v>
      </c>
      <c r="AT298" s="5" t="s">
        <v>74</v>
      </c>
      <c r="AU298" s="5" t="s">
        <v>74</v>
      </c>
      <c r="AV298" s="5" t="s">
        <v>74</v>
      </c>
      <c r="AW298" s="5" t="s">
        <v>74</v>
      </c>
      <c r="AX298" s="5" t="s">
        <v>74</v>
      </c>
      <c r="AY298" s="5" t="s">
        <v>74</v>
      </c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 t="s">
        <v>74</v>
      </c>
      <c r="BQ298" s="5" t="s">
        <v>74</v>
      </c>
      <c r="BR298" s="5" t="s">
        <v>74</v>
      </c>
      <c r="BS298" s="5"/>
      <c r="BT298" s="5" t="s">
        <v>74</v>
      </c>
      <c r="BU298" s="6" t="s">
        <v>51</v>
      </c>
      <c r="BV298" s="5">
        <v>1</v>
      </c>
      <c r="BW298" s="5"/>
      <c r="BX298" s="5" t="s">
        <v>74</v>
      </c>
      <c r="BY298" s="5"/>
      <c r="BZ298" s="5"/>
      <c r="CA298" s="10" t="s">
        <v>74</v>
      </c>
      <c r="CB298" s="5" t="s">
        <v>74</v>
      </c>
      <c r="CC298" s="5" t="s">
        <v>74</v>
      </c>
      <c r="CD298" s="5" t="s">
        <v>74</v>
      </c>
      <c r="CE298" s="5" t="s">
        <v>74</v>
      </c>
      <c r="CF298" s="8"/>
      <c r="CG298" s="5"/>
      <c r="CH298" s="5" t="s">
        <v>74</v>
      </c>
      <c r="CI298" s="5" t="s">
        <v>74</v>
      </c>
      <c r="CJ298" s="8" t="s">
        <v>74</v>
      </c>
      <c r="CK298" s="5"/>
      <c r="CL298" s="5" t="s">
        <v>74</v>
      </c>
      <c r="CM298" s="5" t="s">
        <v>74</v>
      </c>
      <c r="CN298" s="5" t="s">
        <v>74</v>
      </c>
      <c r="CO298" s="5"/>
      <c r="CP298" s="5" t="s">
        <v>74</v>
      </c>
    </row>
    <row r="299" spans="1:94" ht="25.25" customHeight="1">
      <c r="A299" s="5">
        <v>298</v>
      </c>
      <c r="B299" s="9" t="s">
        <v>375</v>
      </c>
      <c r="C299" s="9">
        <v>2024202056</v>
      </c>
      <c r="D299" s="5" t="s">
        <v>358</v>
      </c>
      <c r="E299" s="5">
        <f>SUM(G299:$XET299)</f>
        <v>4</v>
      </c>
      <c r="F299" s="5">
        <f>COUNT(G299:$XFD299)</f>
        <v>1</v>
      </c>
      <c r="G299" s="5"/>
      <c r="H299" s="5"/>
      <c r="I299" s="5">
        <v>4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 t="s">
        <v>74</v>
      </c>
      <c r="AH299" s="5" t="s">
        <v>74</v>
      </c>
      <c r="AI299" s="5" t="s">
        <v>74</v>
      </c>
      <c r="AJ299" s="5" t="s">
        <v>74</v>
      </c>
      <c r="AK299" s="5" t="s">
        <v>74</v>
      </c>
      <c r="AL299" s="5"/>
      <c r="AM299" s="5"/>
      <c r="AN299" s="5"/>
      <c r="AO299" s="5"/>
      <c r="AP299" s="5"/>
      <c r="AQ299" s="5"/>
      <c r="AR299" s="5" t="s">
        <v>74</v>
      </c>
      <c r="AS299" s="5" t="s">
        <v>74</v>
      </c>
      <c r="AT299" s="5" t="s">
        <v>74</v>
      </c>
      <c r="AU299" s="5" t="s">
        <v>74</v>
      </c>
      <c r="AV299" s="5" t="s">
        <v>74</v>
      </c>
      <c r="AW299" s="5" t="s">
        <v>74</v>
      </c>
      <c r="AX299" s="5" t="s">
        <v>74</v>
      </c>
      <c r="AY299" s="5" t="s">
        <v>74</v>
      </c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 t="s">
        <v>74</v>
      </c>
      <c r="BQ299" s="5" t="s">
        <v>74</v>
      </c>
      <c r="BR299" s="5" t="s">
        <v>74</v>
      </c>
      <c r="BS299" s="5"/>
      <c r="BT299" s="5" t="s">
        <v>74</v>
      </c>
      <c r="BU299" s="6" t="s">
        <v>51</v>
      </c>
      <c r="BV299" s="5" t="s">
        <v>74</v>
      </c>
      <c r="BW299" s="5"/>
      <c r="BX299" s="5" t="s">
        <v>74</v>
      </c>
      <c r="BY299" s="5"/>
      <c r="BZ299" s="5"/>
      <c r="CA299" s="10" t="s">
        <v>74</v>
      </c>
      <c r="CB299" s="5" t="s">
        <v>74</v>
      </c>
      <c r="CC299" s="5" t="s">
        <v>74</v>
      </c>
      <c r="CD299" s="5" t="s">
        <v>74</v>
      </c>
      <c r="CE299" s="5" t="s">
        <v>74</v>
      </c>
      <c r="CF299" s="8"/>
      <c r="CG299" s="5"/>
      <c r="CH299" s="5" t="s">
        <v>74</v>
      </c>
      <c r="CI299" s="5" t="s">
        <v>74</v>
      </c>
      <c r="CJ299" s="8" t="s">
        <v>74</v>
      </c>
      <c r="CK299" s="5"/>
      <c r="CL299" s="5" t="s">
        <v>74</v>
      </c>
      <c r="CM299" s="5" t="s">
        <v>74</v>
      </c>
      <c r="CN299" s="5" t="s">
        <v>74</v>
      </c>
      <c r="CO299" s="5"/>
      <c r="CP299" s="5" t="s">
        <v>74</v>
      </c>
    </row>
    <row r="300" spans="1:94" ht="25.25" customHeight="1">
      <c r="A300" s="5">
        <v>299</v>
      </c>
      <c r="B300" s="9" t="s">
        <v>376</v>
      </c>
      <c r="C300" s="9">
        <v>2024202092</v>
      </c>
      <c r="D300" s="5" t="s">
        <v>358</v>
      </c>
      <c r="E300" s="5">
        <f>SUM(G300:$XET300)</f>
        <v>40</v>
      </c>
      <c r="F300" s="5">
        <f>COUNT(G300:$XFD300)</f>
        <v>5</v>
      </c>
      <c r="G300" s="5"/>
      <c r="H300" s="5"/>
      <c r="I300" s="5"/>
      <c r="J300" s="5"/>
      <c r="K300" s="5">
        <v>10</v>
      </c>
      <c r="L300" s="5"/>
      <c r="M300" s="5"/>
      <c r="N300" s="5"/>
      <c r="O300" s="5"/>
      <c r="P300" s="5">
        <v>6</v>
      </c>
      <c r="Q300" s="5"/>
      <c r="R300" s="5"/>
      <c r="S300" s="5"/>
      <c r="T300" s="5"/>
      <c r="U300" s="5"/>
      <c r="V300" s="5"/>
      <c r="W300" s="5"/>
      <c r="X300" s="5">
        <v>14</v>
      </c>
      <c r="Y300" s="5"/>
      <c r="Z300" s="5"/>
      <c r="AA300" s="5"/>
      <c r="AB300" s="5"/>
      <c r="AC300" s="5"/>
      <c r="AD300" s="5"/>
      <c r="AE300" s="5"/>
      <c r="AF300" s="5"/>
      <c r="AG300" s="5" t="s">
        <v>74</v>
      </c>
      <c r="AH300" s="5" t="s">
        <v>74</v>
      </c>
      <c r="AI300" s="5" t="s">
        <v>74</v>
      </c>
      <c r="AJ300" s="5" t="s">
        <v>74</v>
      </c>
      <c r="AK300" s="5">
        <v>4</v>
      </c>
      <c r="AL300" s="5"/>
      <c r="AM300" s="5"/>
      <c r="AN300" s="5"/>
      <c r="AO300" s="5"/>
      <c r="AP300" s="5"/>
      <c r="AQ300" s="5"/>
      <c r="AR300" s="5" t="s">
        <v>74</v>
      </c>
      <c r="AS300" s="5" t="s">
        <v>74</v>
      </c>
      <c r="AT300" s="5" t="s">
        <v>74</v>
      </c>
      <c r="AU300" s="5" t="s">
        <v>74</v>
      </c>
      <c r="AV300" s="5" t="s">
        <v>74</v>
      </c>
      <c r="AW300" s="5">
        <v>6</v>
      </c>
      <c r="AX300" s="5" t="s">
        <v>74</v>
      </c>
      <c r="AY300" s="5" t="s">
        <v>74</v>
      </c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 t="s">
        <v>74</v>
      </c>
      <c r="BQ300" s="5" t="s">
        <v>74</v>
      </c>
      <c r="BR300" s="5" t="s">
        <v>74</v>
      </c>
      <c r="BS300" s="5"/>
      <c r="BT300" s="5" t="s">
        <v>74</v>
      </c>
      <c r="BU300" s="6" t="s">
        <v>51</v>
      </c>
      <c r="BV300" s="5" t="s">
        <v>74</v>
      </c>
      <c r="BW300" s="5"/>
      <c r="BX300" s="5" t="s">
        <v>74</v>
      </c>
      <c r="BY300" s="5"/>
      <c r="BZ300" s="5"/>
      <c r="CA300" s="10" t="s">
        <v>74</v>
      </c>
      <c r="CB300" s="5" t="s">
        <v>74</v>
      </c>
      <c r="CC300" s="5" t="s">
        <v>74</v>
      </c>
      <c r="CD300" s="5" t="s">
        <v>74</v>
      </c>
      <c r="CE300" s="5" t="s">
        <v>74</v>
      </c>
      <c r="CF300" s="8"/>
      <c r="CG300" s="5"/>
      <c r="CH300" s="5" t="s">
        <v>74</v>
      </c>
      <c r="CI300" s="5" t="s">
        <v>74</v>
      </c>
      <c r="CJ300" s="8" t="s">
        <v>74</v>
      </c>
      <c r="CK300" s="5"/>
      <c r="CL300" s="5" t="s">
        <v>74</v>
      </c>
      <c r="CM300" s="5" t="s">
        <v>74</v>
      </c>
      <c r="CN300" s="5" t="s">
        <v>74</v>
      </c>
      <c r="CO300" s="5"/>
      <c r="CP300" s="5" t="s">
        <v>74</v>
      </c>
    </row>
    <row r="301" spans="1:94" ht="25.25" customHeight="1">
      <c r="A301" s="5">
        <v>300</v>
      </c>
      <c r="B301" s="9" t="s">
        <v>377</v>
      </c>
      <c r="C301" s="9">
        <v>2024202130</v>
      </c>
      <c r="D301" s="5" t="s">
        <v>358</v>
      </c>
      <c r="E301" s="5">
        <f>SUM(G301:$XET301)</f>
        <v>60</v>
      </c>
      <c r="F301" s="5">
        <f>COUNT(G301:$XFD301)</f>
        <v>4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 t="s">
        <v>74</v>
      </c>
      <c r="AH301" s="5" t="s">
        <v>74</v>
      </c>
      <c r="AI301" s="5" t="s">
        <v>74</v>
      </c>
      <c r="AJ301" s="5" t="s">
        <v>74</v>
      </c>
      <c r="AK301" s="5">
        <v>4</v>
      </c>
      <c r="AL301" s="5"/>
      <c r="AM301" s="5"/>
      <c r="AN301" s="5"/>
      <c r="AO301" s="5"/>
      <c r="AP301" s="5"/>
      <c r="AQ301" s="5"/>
      <c r="AR301" s="5" t="s">
        <v>74</v>
      </c>
      <c r="AS301" s="5" t="s">
        <v>74</v>
      </c>
      <c r="AT301" s="5" t="s">
        <v>74</v>
      </c>
      <c r="AU301" s="5" t="s">
        <v>74</v>
      </c>
      <c r="AV301" s="5">
        <v>2</v>
      </c>
      <c r="AW301" s="5" t="s">
        <v>74</v>
      </c>
      <c r="AX301" s="5" t="s">
        <v>74</v>
      </c>
      <c r="AY301" s="5">
        <v>50</v>
      </c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 t="s">
        <v>74</v>
      </c>
      <c r="BQ301" s="5" t="s">
        <v>74</v>
      </c>
      <c r="BR301" s="5" t="s">
        <v>74</v>
      </c>
      <c r="BS301" s="5"/>
      <c r="BT301" s="5" t="s">
        <v>74</v>
      </c>
      <c r="BU301" s="6" t="s">
        <v>51</v>
      </c>
      <c r="BV301" s="5" t="s">
        <v>74</v>
      </c>
      <c r="BW301" s="5"/>
      <c r="BX301" s="5" t="s">
        <v>74</v>
      </c>
      <c r="BY301" s="5"/>
      <c r="BZ301" s="5"/>
      <c r="CA301" s="10">
        <v>4</v>
      </c>
      <c r="CB301" s="5" t="s">
        <v>74</v>
      </c>
      <c r="CC301" s="5" t="s">
        <v>74</v>
      </c>
      <c r="CD301" s="5" t="s">
        <v>74</v>
      </c>
      <c r="CE301" s="5" t="s">
        <v>74</v>
      </c>
      <c r="CF301" s="8"/>
      <c r="CG301" s="5"/>
      <c r="CH301" s="5" t="s">
        <v>74</v>
      </c>
      <c r="CI301" s="5" t="s">
        <v>74</v>
      </c>
      <c r="CJ301" s="8" t="s">
        <v>74</v>
      </c>
      <c r="CK301" s="5"/>
      <c r="CL301" s="5" t="s">
        <v>74</v>
      </c>
      <c r="CM301" s="5" t="s">
        <v>74</v>
      </c>
      <c r="CN301" s="5" t="s">
        <v>74</v>
      </c>
      <c r="CO301" s="5"/>
      <c r="CP301" s="5" t="s">
        <v>74</v>
      </c>
    </row>
    <row r="302" spans="1:94" ht="25.25" customHeight="1">
      <c r="A302" s="5">
        <v>301</v>
      </c>
      <c r="B302" s="9" t="s">
        <v>378</v>
      </c>
      <c r="C302" s="9">
        <v>2024202167</v>
      </c>
      <c r="D302" s="5" t="s">
        <v>358</v>
      </c>
      <c r="E302" s="5">
        <f>SUM(G302:$XET302)</f>
        <v>41</v>
      </c>
      <c r="F302" s="5">
        <f>COUNT(G302:$XFD302)</f>
        <v>8</v>
      </c>
      <c r="G302" s="5"/>
      <c r="H302" s="5"/>
      <c r="I302" s="5">
        <v>4</v>
      </c>
      <c r="J302" s="5"/>
      <c r="K302" s="5"/>
      <c r="L302" s="5"/>
      <c r="M302" s="5">
        <v>8</v>
      </c>
      <c r="N302" s="5">
        <v>2</v>
      </c>
      <c r="O302" s="5"/>
      <c r="P302" s="5"/>
      <c r="Q302" s="5">
        <v>2</v>
      </c>
      <c r="R302" s="5"/>
      <c r="S302" s="5"/>
      <c r="T302" s="5"/>
      <c r="U302" s="5">
        <v>4.5</v>
      </c>
      <c r="V302" s="5"/>
      <c r="W302" s="5"/>
      <c r="X302" s="5">
        <v>16</v>
      </c>
      <c r="Y302" s="5"/>
      <c r="Z302" s="5"/>
      <c r="AA302" s="5"/>
      <c r="AB302" s="5"/>
      <c r="AC302" s="5"/>
      <c r="AD302" s="5"/>
      <c r="AE302" s="5"/>
      <c r="AF302" s="5"/>
      <c r="AG302" s="5" t="s">
        <v>74</v>
      </c>
      <c r="AH302" s="5" t="s">
        <v>74</v>
      </c>
      <c r="AI302" s="5" t="s">
        <v>74</v>
      </c>
      <c r="AJ302" s="5" t="s">
        <v>74</v>
      </c>
      <c r="AK302" s="5">
        <v>4</v>
      </c>
      <c r="AL302" s="5"/>
      <c r="AM302" s="5"/>
      <c r="AN302" s="5"/>
      <c r="AO302" s="5"/>
      <c r="AP302" s="5"/>
      <c r="AQ302" s="5"/>
      <c r="AR302" s="5" t="s">
        <v>74</v>
      </c>
      <c r="AS302" s="5" t="s">
        <v>74</v>
      </c>
      <c r="AT302" s="5" t="s">
        <v>74</v>
      </c>
      <c r="AU302" s="5" t="s">
        <v>74</v>
      </c>
      <c r="AV302" s="5" t="s">
        <v>74</v>
      </c>
      <c r="AW302" s="5" t="s">
        <v>74</v>
      </c>
      <c r="AX302" s="5" t="s">
        <v>74</v>
      </c>
      <c r="AY302" s="5" t="s">
        <v>74</v>
      </c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 t="s">
        <v>74</v>
      </c>
      <c r="BQ302" s="5" t="s">
        <v>74</v>
      </c>
      <c r="BR302" s="5" t="s">
        <v>74</v>
      </c>
      <c r="BS302" s="5"/>
      <c r="BT302" s="5" t="s">
        <v>74</v>
      </c>
      <c r="BU302" s="6" t="s">
        <v>51</v>
      </c>
      <c r="BV302" s="5" t="s">
        <v>74</v>
      </c>
      <c r="BW302" s="5"/>
      <c r="BX302" s="5" t="s">
        <v>74</v>
      </c>
      <c r="BY302" s="5"/>
      <c r="BZ302" s="5"/>
      <c r="CA302" s="10" t="s">
        <v>74</v>
      </c>
      <c r="CB302" s="5" t="s">
        <v>74</v>
      </c>
      <c r="CC302" s="5" t="s">
        <v>74</v>
      </c>
      <c r="CD302" s="5" t="s">
        <v>74</v>
      </c>
      <c r="CE302" s="5" t="s">
        <v>74</v>
      </c>
      <c r="CF302" s="8"/>
      <c r="CG302" s="5"/>
      <c r="CH302" s="5" t="s">
        <v>74</v>
      </c>
      <c r="CI302" s="5" t="s">
        <v>74</v>
      </c>
      <c r="CJ302" s="8" t="s">
        <v>74</v>
      </c>
      <c r="CK302" s="5"/>
      <c r="CL302" s="5" t="s">
        <v>74</v>
      </c>
      <c r="CM302" s="5">
        <v>0.5</v>
      </c>
      <c r="CN302" s="5" t="s">
        <v>74</v>
      </c>
      <c r="CO302" s="5"/>
      <c r="CP302" s="5" t="s">
        <v>74</v>
      </c>
    </row>
    <row r="303" spans="1:94" ht="25.25" customHeight="1">
      <c r="A303" s="5">
        <v>302</v>
      </c>
      <c r="B303" s="9" t="s">
        <v>379</v>
      </c>
      <c r="C303" s="9">
        <v>2024202140</v>
      </c>
      <c r="D303" s="5" t="s">
        <v>358</v>
      </c>
      <c r="E303" s="5">
        <f>SUM(G303:$XET303)</f>
        <v>8</v>
      </c>
      <c r="F303" s="5">
        <f>COUNT(G303:$XFD303)</f>
        <v>2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>
        <v>4</v>
      </c>
      <c r="AA303" s="5"/>
      <c r="AB303" s="5"/>
      <c r="AC303" s="5"/>
      <c r="AD303" s="5"/>
      <c r="AE303" s="5"/>
      <c r="AF303" s="5"/>
      <c r="AG303" s="5" t="s">
        <v>74</v>
      </c>
      <c r="AH303" s="5" t="s">
        <v>74</v>
      </c>
      <c r="AI303" s="5" t="s">
        <v>74</v>
      </c>
      <c r="AJ303" s="5" t="s">
        <v>74</v>
      </c>
      <c r="AK303" s="5">
        <v>4</v>
      </c>
      <c r="AL303" s="5"/>
      <c r="AM303" s="5"/>
      <c r="AN303" s="5"/>
      <c r="AO303" s="5"/>
      <c r="AP303" s="5"/>
      <c r="AQ303" s="5"/>
      <c r="AR303" s="5" t="s">
        <v>74</v>
      </c>
      <c r="AS303" s="5" t="s">
        <v>74</v>
      </c>
      <c r="AT303" s="5" t="s">
        <v>74</v>
      </c>
      <c r="AU303" s="5" t="s">
        <v>74</v>
      </c>
      <c r="AV303" s="5" t="s">
        <v>74</v>
      </c>
      <c r="AW303" s="5" t="s">
        <v>74</v>
      </c>
      <c r="AX303" s="5" t="s">
        <v>74</v>
      </c>
      <c r="AY303" s="5" t="s">
        <v>74</v>
      </c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 t="s">
        <v>74</v>
      </c>
      <c r="BQ303" s="5" t="s">
        <v>74</v>
      </c>
      <c r="BR303" s="5" t="s">
        <v>74</v>
      </c>
      <c r="BS303" s="5"/>
      <c r="BT303" s="5" t="s">
        <v>74</v>
      </c>
      <c r="BU303" s="6" t="s">
        <v>51</v>
      </c>
      <c r="BV303" s="5" t="s">
        <v>74</v>
      </c>
      <c r="BW303" s="5"/>
      <c r="BX303" s="5" t="s">
        <v>74</v>
      </c>
      <c r="BY303" s="5"/>
      <c r="BZ303" s="5"/>
      <c r="CA303" s="10" t="s">
        <v>74</v>
      </c>
      <c r="CB303" s="5" t="s">
        <v>74</v>
      </c>
      <c r="CC303" s="5" t="s">
        <v>74</v>
      </c>
      <c r="CD303" s="5" t="s">
        <v>74</v>
      </c>
      <c r="CE303" s="5" t="s">
        <v>74</v>
      </c>
      <c r="CF303" s="8"/>
      <c r="CG303" s="5"/>
      <c r="CH303" s="5" t="s">
        <v>74</v>
      </c>
      <c r="CI303" s="5" t="s">
        <v>74</v>
      </c>
      <c r="CJ303" s="8" t="s">
        <v>74</v>
      </c>
      <c r="CK303" s="5"/>
      <c r="CL303" s="5" t="s">
        <v>74</v>
      </c>
      <c r="CM303" s="5" t="s">
        <v>74</v>
      </c>
      <c r="CN303" s="5" t="s">
        <v>74</v>
      </c>
      <c r="CO303" s="5"/>
      <c r="CP303" s="5" t="s">
        <v>74</v>
      </c>
    </row>
    <row r="304" spans="1:94" ht="25.25" customHeight="1">
      <c r="A304" s="5">
        <v>303</v>
      </c>
      <c r="B304" s="9" t="s">
        <v>380</v>
      </c>
      <c r="C304" s="9">
        <v>2024202150</v>
      </c>
      <c r="D304" s="5" t="s">
        <v>358</v>
      </c>
      <c r="E304" s="5">
        <f>SUM(G304:$XET304)</f>
        <v>29</v>
      </c>
      <c r="F304" s="5">
        <f>COUNT(G304:$XFD304)</f>
        <v>2</v>
      </c>
      <c r="G304" s="5"/>
      <c r="H304" s="5"/>
      <c r="I304" s="5"/>
      <c r="J304" s="5"/>
      <c r="K304" s="5"/>
      <c r="L304" s="5"/>
      <c r="M304" s="5"/>
      <c r="N304" s="5">
        <v>2</v>
      </c>
      <c r="O304" s="5"/>
      <c r="P304" s="5"/>
      <c r="Q304" s="5"/>
      <c r="R304" s="5"/>
      <c r="S304" s="5"/>
      <c r="T304" s="5"/>
      <c r="U304" s="5"/>
      <c r="V304" s="5"/>
      <c r="W304" s="5"/>
      <c r="X304" s="5">
        <v>27</v>
      </c>
      <c r="Y304" s="5"/>
      <c r="Z304" s="5"/>
      <c r="AA304" s="5"/>
      <c r="AB304" s="5"/>
      <c r="AC304" s="5"/>
      <c r="AD304" s="5"/>
      <c r="AE304" s="5"/>
      <c r="AF304" s="5"/>
      <c r="AG304" s="5" t="s">
        <v>74</v>
      </c>
      <c r="AH304" s="5" t="s">
        <v>74</v>
      </c>
      <c r="AI304" s="5" t="s">
        <v>74</v>
      </c>
      <c r="AJ304" s="5" t="s">
        <v>74</v>
      </c>
      <c r="AK304" s="5" t="s">
        <v>74</v>
      </c>
      <c r="AL304" s="5"/>
      <c r="AM304" s="5"/>
      <c r="AN304" s="5"/>
      <c r="AO304" s="5"/>
      <c r="AP304" s="5"/>
      <c r="AQ304" s="5"/>
      <c r="AR304" s="5" t="s">
        <v>74</v>
      </c>
      <c r="AS304" s="5" t="s">
        <v>74</v>
      </c>
      <c r="AT304" s="5" t="s">
        <v>74</v>
      </c>
      <c r="AU304" s="5" t="s">
        <v>74</v>
      </c>
      <c r="AV304" s="5" t="s">
        <v>74</v>
      </c>
      <c r="AW304" s="5" t="s">
        <v>74</v>
      </c>
      <c r="AX304" s="5" t="s">
        <v>74</v>
      </c>
      <c r="AY304" s="5" t="s">
        <v>74</v>
      </c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 t="s">
        <v>74</v>
      </c>
      <c r="BQ304" s="5" t="s">
        <v>74</v>
      </c>
      <c r="BR304" s="5" t="s">
        <v>74</v>
      </c>
      <c r="BS304" s="5"/>
      <c r="BT304" s="5" t="s">
        <v>74</v>
      </c>
      <c r="BU304" s="6" t="s">
        <v>51</v>
      </c>
      <c r="BV304" s="5" t="s">
        <v>74</v>
      </c>
      <c r="BW304" s="5"/>
      <c r="BX304" s="5" t="s">
        <v>74</v>
      </c>
      <c r="BY304" s="5"/>
      <c r="BZ304" s="5"/>
      <c r="CA304" s="10" t="s">
        <v>74</v>
      </c>
      <c r="CB304" s="5" t="s">
        <v>74</v>
      </c>
      <c r="CC304" s="5" t="s">
        <v>74</v>
      </c>
      <c r="CD304" s="5" t="s">
        <v>74</v>
      </c>
      <c r="CE304" s="5" t="s">
        <v>74</v>
      </c>
      <c r="CF304" s="8"/>
      <c r="CG304" s="5"/>
      <c r="CH304" s="5" t="s">
        <v>74</v>
      </c>
      <c r="CI304" s="5" t="s">
        <v>74</v>
      </c>
      <c r="CJ304" s="8" t="s">
        <v>74</v>
      </c>
      <c r="CK304" s="5"/>
      <c r="CL304" s="5" t="s">
        <v>74</v>
      </c>
      <c r="CM304" s="5" t="s">
        <v>74</v>
      </c>
      <c r="CN304" s="5" t="s">
        <v>74</v>
      </c>
      <c r="CO304" s="5"/>
      <c r="CP304" s="5" t="s">
        <v>74</v>
      </c>
    </row>
    <row r="305" spans="1:94" ht="25.25" customHeight="1">
      <c r="A305" s="5">
        <v>304</v>
      </c>
      <c r="B305" s="9" t="s">
        <v>381</v>
      </c>
      <c r="C305" s="9">
        <v>2024202133</v>
      </c>
      <c r="D305" s="5" t="s">
        <v>358</v>
      </c>
      <c r="E305" s="5">
        <f>SUM(G305:$XET305)</f>
        <v>0</v>
      </c>
      <c r="F305" s="5">
        <f>COUNT(G305:$XFD305)</f>
        <v>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 t="s">
        <v>74</v>
      </c>
      <c r="AH305" s="5" t="s">
        <v>74</v>
      </c>
      <c r="AI305" s="5" t="s">
        <v>74</v>
      </c>
      <c r="AJ305" s="5" t="s">
        <v>74</v>
      </c>
      <c r="AK305" s="5" t="s">
        <v>74</v>
      </c>
      <c r="AL305" s="5"/>
      <c r="AM305" s="5"/>
      <c r="AN305" s="5"/>
      <c r="AO305" s="5"/>
      <c r="AP305" s="5"/>
      <c r="AQ305" s="5"/>
      <c r="AR305" s="5" t="s">
        <v>74</v>
      </c>
      <c r="AS305" s="5" t="s">
        <v>74</v>
      </c>
      <c r="AT305" s="5" t="s">
        <v>74</v>
      </c>
      <c r="AU305" s="5" t="s">
        <v>74</v>
      </c>
      <c r="AV305" s="5" t="s">
        <v>74</v>
      </c>
      <c r="AW305" s="5" t="s">
        <v>74</v>
      </c>
      <c r="AX305" s="5" t="s">
        <v>74</v>
      </c>
      <c r="AY305" s="5" t="s">
        <v>74</v>
      </c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 t="s">
        <v>74</v>
      </c>
      <c r="BQ305" s="5" t="s">
        <v>74</v>
      </c>
      <c r="BR305" s="5" t="s">
        <v>74</v>
      </c>
      <c r="BS305" s="5"/>
      <c r="BT305" s="5" t="s">
        <v>74</v>
      </c>
      <c r="BU305" s="6" t="s">
        <v>51</v>
      </c>
      <c r="BV305" s="5" t="s">
        <v>74</v>
      </c>
      <c r="BW305" s="5"/>
      <c r="BX305" s="5" t="s">
        <v>74</v>
      </c>
      <c r="BY305" s="5"/>
      <c r="BZ305" s="5"/>
      <c r="CA305" s="10" t="s">
        <v>74</v>
      </c>
      <c r="CB305" s="5" t="s">
        <v>74</v>
      </c>
      <c r="CC305" s="5" t="s">
        <v>74</v>
      </c>
      <c r="CD305" s="5" t="s">
        <v>74</v>
      </c>
      <c r="CE305" s="5" t="s">
        <v>74</v>
      </c>
      <c r="CF305" s="8"/>
      <c r="CG305" s="5"/>
      <c r="CH305" s="5" t="s">
        <v>74</v>
      </c>
      <c r="CI305" s="5" t="s">
        <v>74</v>
      </c>
      <c r="CJ305" s="8" t="s">
        <v>74</v>
      </c>
      <c r="CK305" s="5"/>
      <c r="CL305" s="5" t="s">
        <v>74</v>
      </c>
      <c r="CM305" s="5" t="s">
        <v>74</v>
      </c>
      <c r="CN305" s="5" t="s">
        <v>74</v>
      </c>
      <c r="CO305" s="5"/>
      <c r="CP305" s="5" t="s">
        <v>74</v>
      </c>
    </row>
    <row r="306" spans="1:94" ht="25.25" customHeight="1">
      <c r="A306" s="5">
        <v>305</v>
      </c>
      <c r="B306" s="9" t="s">
        <v>382</v>
      </c>
      <c r="C306" s="9">
        <v>2024202176</v>
      </c>
      <c r="D306" s="5" t="s">
        <v>358</v>
      </c>
      <c r="E306" s="5">
        <f>SUM(G306:$XET306)</f>
        <v>6</v>
      </c>
      <c r="F306" s="5">
        <f>COUNT(G306:$XFD306)</f>
        <v>1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>
        <v>6</v>
      </c>
      <c r="Y306" s="5"/>
      <c r="Z306" s="5"/>
      <c r="AA306" s="5"/>
      <c r="AB306" s="5"/>
      <c r="AC306" s="5"/>
      <c r="AD306" s="5"/>
      <c r="AE306" s="5"/>
      <c r="AF306" s="5"/>
      <c r="AG306" s="5" t="s">
        <v>74</v>
      </c>
      <c r="AH306" s="5" t="s">
        <v>74</v>
      </c>
      <c r="AI306" s="5" t="s">
        <v>74</v>
      </c>
      <c r="AJ306" s="5" t="s">
        <v>74</v>
      </c>
      <c r="AK306" s="5" t="s">
        <v>74</v>
      </c>
      <c r="AL306" s="5"/>
      <c r="AM306" s="5"/>
      <c r="AN306" s="5"/>
      <c r="AO306" s="5"/>
      <c r="AP306" s="5"/>
      <c r="AQ306" s="5"/>
      <c r="AR306" s="5" t="s">
        <v>74</v>
      </c>
      <c r="AS306" s="5" t="s">
        <v>74</v>
      </c>
      <c r="AT306" s="5" t="s">
        <v>74</v>
      </c>
      <c r="AU306" s="5" t="s">
        <v>74</v>
      </c>
      <c r="AV306" s="5" t="s">
        <v>74</v>
      </c>
      <c r="AW306" s="5" t="s">
        <v>74</v>
      </c>
      <c r="AX306" s="5" t="s">
        <v>74</v>
      </c>
      <c r="AY306" s="5" t="s">
        <v>74</v>
      </c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 t="s">
        <v>74</v>
      </c>
      <c r="BQ306" s="5" t="s">
        <v>74</v>
      </c>
      <c r="BR306" s="5" t="s">
        <v>74</v>
      </c>
      <c r="BS306" s="5"/>
      <c r="BT306" s="5" t="s">
        <v>74</v>
      </c>
      <c r="BU306" s="6" t="s">
        <v>51</v>
      </c>
      <c r="BV306" s="5" t="s">
        <v>74</v>
      </c>
      <c r="BW306" s="5"/>
      <c r="BX306" s="5" t="s">
        <v>74</v>
      </c>
      <c r="BY306" s="5"/>
      <c r="BZ306" s="5"/>
      <c r="CA306" s="10" t="s">
        <v>74</v>
      </c>
      <c r="CB306" s="5" t="s">
        <v>74</v>
      </c>
      <c r="CC306" s="5" t="s">
        <v>74</v>
      </c>
      <c r="CD306" s="5" t="s">
        <v>74</v>
      </c>
      <c r="CE306" s="5" t="s">
        <v>74</v>
      </c>
      <c r="CF306" s="8"/>
      <c r="CG306" s="5"/>
      <c r="CH306" s="5" t="s">
        <v>74</v>
      </c>
      <c r="CI306" s="5" t="s">
        <v>74</v>
      </c>
      <c r="CJ306" s="8" t="s">
        <v>74</v>
      </c>
      <c r="CK306" s="5"/>
      <c r="CL306" s="5" t="s">
        <v>74</v>
      </c>
      <c r="CM306" s="5" t="s">
        <v>74</v>
      </c>
      <c r="CN306" s="5" t="s">
        <v>74</v>
      </c>
      <c r="CO306" s="5"/>
      <c r="CP306" s="5" t="s">
        <v>74</v>
      </c>
    </row>
    <row r="307" spans="1:94" ht="25.25" customHeight="1">
      <c r="A307" s="5">
        <v>306</v>
      </c>
      <c r="B307" s="9" t="s">
        <v>383</v>
      </c>
      <c r="C307" s="9">
        <v>2024202190</v>
      </c>
      <c r="D307" s="5" t="s">
        <v>358</v>
      </c>
      <c r="E307" s="5">
        <f>SUM(G307:$XET307)</f>
        <v>19</v>
      </c>
      <c r="F307" s="5">
        <f>COUNT(G307:$XFD307)</f>
        <v>6</v>
      </c>
      <c r="G307" s="5"/>
      <c r="H307" s="5"/>
      <c r="I307" s="5"/>
      <c r="J307" s="5"/>
      <c r="K307" s="5"/>
      <c r="L307" s="5">
        <v>2</v>
      </c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>
        <v>4</v>
      </c>
      <c r="AB307" s="5"/>
      <c r="AC307" s="5" t="s">
        <v>74</v>
      </c>
      <c r="AD307" s="5"/>
      <c r="AE307" s="5"/>
      <c r="AF307" s="5"/>
      <c r="AG307" s="5" t="s">
        <v>74</v>
      </c>
      <c r="AH307" s="5" t="s">
        <v>74</v>
      </c>
      <c r="AI307" s="5" t="s">
        <v>74</v>
      </c>
      <c r="AJ307" s="5">
        <v>2</v>
      </c>
      <c r="AK307" s="5">
        <v>4</v>
      </c>
      <c r="AL307" s="5"/>
      <c r="AM307" s="5"/>
      <c r="AN307" s="5"/>
      <c r="AO307" s="5"/>
      <c r="AP307" s="5"/>
      <c r="AQ307" s="5"/>
      <c r="AR307" s="5" t="s">
        <v>74</v>
      </c>
      <c r="AS307" s="5" t="s">
        <v>74</v>
      </c>
      <c r="AT307" s="5" t="s">
        <v>74</v>
      </c>
      <c r="AU307" s="5" t="s">
        <v>74</v>
      </c>
      <c r="AV307" s="5" t="s">
        <v>74</v>
      </c>
      <c r="AW307" s="5" t="s">
        <v>74</v>
      </c>
      <c r="AX307" s="5" t="s">
        <v>74</v>
      </c>
      <c r="AY307" s="5" t="s">
        <v>74</v>
      </c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 t="s">
        <v>74</v>
      </c>
      <c r="BQ307" s="5" t="s">
        <v>74</v>
      </c>
      <c r="BR307" s="5" t="s">
        <v>74</v>
      </c>
      <c r="BS307" s="5"/>
      <c r="BT307" s="5" t="s">
        <v>74</v>
      </c>
      <c r="BU307" s="6" t="s">
        <v>51</v>
      </c>
      <c r="BV307" s="5">
        <v>1</v>
      </c>
      <c r="BW307" s="5"/>
      <c r="BX307" s="5" t="s">
        <v>74</v>
      </c>
      <c r="BY307" s="5"/>
      <c r="BZ307" s="5"/>
      <c r="CA307" s="10" t="s">
        <v>74</v>
      </c>
      <c r="CB307" s="5" t="s">
        <v>74</v>
      </c>
      <c r="CC307" s="5" t="s">
        <v>74</v>
      </c>
      <c r="CD307" s="5" t="s">
        <v>74</v>
      </c>
      <c r="CE307" s="5" t="s">
        <v>74</v>
      </c>
      <c r="CF307" s="8"/>
      <c r="CG307" s="5"/>
      <c r="CH307" s="5" t="s">
        <v>74</v>
      </c>
      <c r="CI307" s="5" t="s">
        <v>74</v>
      </c>
      <c r="CJ307" s="8">
        <v>6</v>
      </c>
      <c r="CK307" s="5"/>
      <c r="CL307" s="5" t="s">
        <v>74</v>
      </c>
      <c r="CM307" s="5" t="s">
        <v>74</v>
      </c>
      <c r="CN307" s="5" t="s">
        <v>74</v>
      </c>
      <c r="CO307" s="5"/>
      <c r="CP307" s="5" t="s">
        <v>74</v>
      </c>
    </row>
    <row r="308" spans="1:94" ht="25.25" customHeight="1">
      <c r="A308" s="5">
        <v>307</v>
      </c>
      <c r="B308" s="9" t="s">
        <v>384</v>
      </c>
      <c r="C308" s="9">
        <v>2024202206</v>
      </c>
      <c r="D308" s="5" t="s">
        <v>358</v>
      </c>
      <c r="E308" s="5">
        <f>SUM(G308:$XET308)</f>
        <v>51</v>
      </c>
      <c r="F308" s="5">
        <f>COUNT(G308:$XFD308)</f>
        <v>2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 t="s">
        <v>74</v>
      </c>
      <c r="AH308" s="5" t="s">
        <v>74</v>
      </c>
      <c r="AI308" s="5" t="s">
        <v>74</v>
      </c>
      <c r="AJ308" s="5" t="s">
        <v>74</v>
      </c>
      <c r="AK308" s="5" t="s">
        <v>74</v>
      </c>
      <c r="AL308" s="5"/>
      <c r="AM308" s="5"/>
      <c r="AN308" s="5"/>
      <c r="AO308" s="5"/>
      <c r="AP308" s="5"/>
      <c r="AQ308" s="5"/>
      <c r="AR308" s="5" t="s">
        <v>74</v>
      </c>
      <c r="AS308" s="5" t="s">
        <v>74</v>
      </c>
      <c r="AT308" s="5" t="s">
        <v>74</v>
      </c>
      <c r="AU308" s="5" t="s">
        <v>74</v>
      </c>
      <c r="AV308" s="5" t="s">
        <v>74</v>
      </c>
      <c r="AW308" s="5" t="s">
        <v>74</v>
      </c>
      <c r="AX308" s="5" t="s">
        <v>74</v>
      </c>
      <c r="AY308" s="5" t="s">
        <v>74</v>
      </c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 t="s">
        <v>74</v>
      </c>
      <c r="BQ308" s="5" t="s">
        <v>74</v>
      </c>
      <c r="BR308" s="5" t="s">
        <v>74</v>
      </c>
      <c r="BS308" s="5"/>
      <c r="BT308" s="5">
        <v>40</v>
      </c>
      <c r="BU308" s="6" t="s">
        <v>51</v>
      </c>
      <c r="BV308" s="5" t="s">
        <v>74</v>
      </c>
      <c r="BW308" s="5"/>
      <c r="BX308" s="5">
        <v>11</v>
      </c>
      <c r="BY308" s="5"/>
      <c r="BZ308" s="5"/>
      <c r="CA308" s="10" t="s">
        <v>74</v>
      </c>
      <c r="CB308" s="5" t="s">
        <v>74</v>
      </c>
      <c r="CC308" s="5" t="s">
        <v>74</v>
      </c>
      <c r="CD308" s="5" t="s">
        <v>74</v>
      </c>
      <c r="CE308" s="5" t="s">
        <v>74</v>
      </c>
      <c r="CF308" s="8"/>
      <c r="CG308" s="5"/>
      <c r="CH308" s="5" t="s">
        <v>74</v>
      </c>
      <c r="CI308" s="5" t="s">
        <v>74</v>
      </c>
      <c r="CJ308" s="8" t="s">
        <v>74</v>
      </c>
      <c r="CK308" s="5"/>
      <c r="CL308" s="5" t="s">
        <v>74</v>
      </c>
      <c r="CM308" s="5" t="s">
        <v>74</v>
      </c>
      <c r="CN308" s="5" t="s">
        <v>74</v>
      </c>
      <c r="CO308" s="5"/>
      <c r="CP308" s="5" t="s">
        <v>74</v>
      </c>
    </row>
    <row r="309" spans="1:94" ht="25.25" customHeight="1">
      <c r="A309" s="5">
        <v>308</v>
      </c>
      <c r="B309" s="9" t="s">
        <v>385</v>
      </c>
      <c r="C309" s="9">
        <v>2024202192</v>
      </c>
      <c r="D309" s="5" t="s">
        <v>358</v>
      </c>
      <c r="E309" s="5">
        <f>SUM(G309:$XET309)</f>
        <v>0</v>
      </c>
      <c r="F309" s="5">
        <f>COUNT(G309:$XFD309)</f>
        <v>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 t="s">
        <v>74</v>
      </c>
      <c r="AH309" s="5" t="s">
        <v>74</v>
      </c>
      <c r="AI309" s="5" t="s">
        <v>74</v>
      </c>
      <c r="AJ309" s="5" t="s">
        <v>74</v>
      </c>
      <c r="AK309" s="5" t="s">
        <v>74</v>
      </c>
      <c r="AL309" s="5"/>
      <c r="AM309" s="5"/>
      <c r="AN309" s="5"/>
      <c r="AO309" s="5"/>
      <c r="AP309" s="5"/>
      <c r="AQ309" s="5"/>
      <c r="AR309" s="5" t="s">
        <v>74</v>
      </c>
      <c r="AS309" s="5" t="s">
        <v>74</v>
      </c>
      <c r="AT309" s="5" t="s">
        <v>74</v>
      </c>
      <c r="AU309" s="5" t="s">
        <v>74</v>
      </c>
      <c r="AV309" s="5" t="s">
        <v>74</v>
      </c>
      <c r="AW309" s="5" t="s">
        <v>74</v>
      </c>
      <c r="AX309" s="5" t="s">
        <v>74</v>
      </c>
      <c r="AY309" s="5" t="s">
        <v>74</v>
      </c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 t="s">
        <v>74</v>
      </c>
      <c r="BQ309" s="5" t="s">
        <v>74</v>
      </c>
      <c r="BR309" s="5" t="s">
        <v>74</v>
      </c>
      <c r="BS309" s="5"/>
      <c r="BT309" s="5" t="s">
        <v>74</v>
      </c>
      <c r="BU309" s="6" t="s">
        <v>51</v>
      </c>
      <c r="BV309" s="5" t="s">
        <v>74</v>
      </c>
      <c r="BW309" s="5"/>
      <c r="BX309" s="5" t="s">
        <v>74</v>
      </c>
      <c r="BY309" s="5"/>
      <c r="BZ309" s="5"/>
      <c r="CA309" s="10" t="s">
        <v>74</v>
      </c>
      <c r="CB309" s="5" t="s">
        <v>74</v>
      </c>
      <c r="CC309" s="5" t="s">
        <v>74</v>
      </c>
      <c r="CD309" s="5" t="s">
        <v>74</v>
      </c>
      <c r="CE309" s="5" t="s">
        <v>74</v>
      </c>
      <c r="CF309" s="8"/>
      <c r="CG309" s="5"/>
      <c r="CH309" s="5" t="s">
        <v>74</v>
      </c>
      <c r="CI309" s="5" t="s">
        <v>74</v>
      </c>
      <c r="CJ309" s="8" t="s">
        <v>74</v>
      </c>
      <c r="CK309" s="5"/>
      <c r="CL309" s="5" t="s">
        <v>74</v>
      </c>
      <c r="CM309" s="5" t="s">
        <v>74</v>
      </c>
      <c r="CN309" s="5" t="s">
        <v>74</v>
      </c>
      <c r="CO309" s="5"/>
      <c r="CP309" s="5" t="s">
        <v>74</v>
      </c>
    </row>
    <row r="310" spans="1:94" ht="25.25" customHeight="1">
      <c r="A310" s="5">
        <v>309</v>
      </c>
      <c r="B310" s="9" t="s">
        <v>386</v>
      </c>
      <c r="C310" s="9">
        <v>2024202208</v>
      </c>
      <c r="D310" s="5" t="s">
        <v>358</v>
      </c>
      <c r="E310" s="5">
        <f>SUM(G310:$XET310)</f>
        <v>30.5</v>
      </c>
      <c r="F310" s="5">
        <f>COUNT(G310:$XFD310)</f>
        <v>5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>
        <v>16</v>
      </c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 t="s">
        <v>74</v>
      </c>
      <c r="AH310" s="5" t="s">
        <v>74</v>
      </c>
      <c r="AI310" s="5" t="s">
        <v>74</v>
      </c>
      <c r="AJ310" s="5">
        <v>2</v>
      </c>
      <c r="AK310" s="5">
        <v>4</v>
      </c>
      <c r="AL310" s="5"/>
      <c r="AM310" s="5"/>
      <c r="AN310" s="5"/>
      <c r="AO310" s="5"/>
      <c r="AP310" s="5"/>
      <c r="AQ310" s="5"/>
      <c r="AR310" s="5" t="s">
        <v>74</v>
      </c>
      <c r="AS310" s="5" t="s">
        <v>74</v>
      </c>
      <c r="AT310" s="5" t="s">
        <v>74</v>
      </c>
      <c r="AU310" s="5" t="s">
        <v>74</v>
      </c>
      <c r="AV310" s="5" t="s">
        <v>74</v>
      </c>
      <c r="AW310" s="5" t="s">
        <v>74</v>
      </c>
      <c r="AX310" s="5" t="s">
        <v>74</v>
      </c>
      <c r="AY310" s="5" t="s">
        <v>74</v>
      </c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 t="s">
        <v>74</v>
      </c>
      <c r="BQ310" s="5" t="s">
        <v>74</v>
      </c>
      <c r="BR310" s="5" t="s">
        <v>74</v>
      </c>
      <c r="BS310" s="5"/>
      <c r="BT310" s="5" t="s">
        <v>74</v>
      </c>
      <c r="BU310" s="6" t="s">
        <v>51</v>
      </c>
      <c r="BV310" s="5" t="s">
        <v>74</v>
      </c>
      <c r="BW310" s="5"/>
      <c r="BX310" s="5">
        <v>6.5</v>
      </c>
      <c r="BY310" s="5"/>
      <c r="BZ310" s="5"/>
      <c r="CA310" s="10" t="s">
        <v>74</v>
      </c>
      <c r="CB310" s="5" t="s">
        <v>74</v>
      </c>
      <c r="CC310" s="5" t="s">
        <v>74</v>
      </c>
      <c r="CD310" s="5" t="s">
        <v>74</v>
      </c>
      <c r="CE310" s="5" t="s">
        <v>74</v>
      </c>
      <c r="CF310" s="8"/>
      <c r="CG310" s="5">
        <v>2</v>
      </c>
      <c r="CH310" s="5" t="s">
        <v>74</v>
      </c>
      <c r="CI310" s="5" t="s">
        <v>74</v>
      </c>
      <c r="CJ310" s="8" t="s">
        <v>74</v>
      </c>
      <c r="CK310" s="5"/>
      <c r="CL310" s="5" t="s">
        <v>74</v>
      </c>
      <c r="CM310" s="5" t="s">
        <v>74</v>
      </c>
      <c r="CN310" s="5" t="s">
        <v>74</v>
      </c>
      <c r="CO310" s="5"/>
      <c r="CP310" s="5" t="s">
        <v>74</v>
      </c>
    </row>
    <row r="311" spans="1:94" ht="25.25" customHeight="1">
      <c r="A311" s="5">
        <v>310</v>
      </c>
      <c r="B311" s="9" t="s">
        <v>387</v>
      </c>
      <c r="C311" s="9">
        <v>2024202215</v>
      </c>
      <c r="D311" s="5" t="s">
        <v>358</v>
      </c>
      <c r="E311" s="5">
        <f>SUM(G311:$XET311)</f>
        <v>38</v>
      </c>
      <c r="F311" s="5">
        <f>COUNT(G311:$XFD311)</f>
        <v>3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>
        <v>16</v>
      </c>
      <c r="U311" s="5"/>
      <c r="V311" s="5"/>
      <c r="W311" s="5"/>
      <c r="X311" s="5">
        <v>6</v>
      </c>
      <c r="Y311" s="5"/>
      <c r="Z311" s="5"/>
      <c r="AA311" s="5"/>
      <c r="AB311" s="5"/>
      <c r="AC311" s="5"/>
      <c r="AD311" s="5"/>
      <c r="AE311" s="5"/>
      <c r="AF311" s="5"/>
      <c r="AG311" s="5" t="s">
        <v>74</v>
      </c>
      <c r="AH311" s="5" t="s">
        <v>74</v>
      </c>
      <c r="AI311" s="5" t="s">
        <v>74</v>
      </c>
      <c r="AJ311" s="5" t="s">
        <v>74</v>
      </c>
      <c r="AK311" s="5" t="s">
        <v>74</v>
      </c>
      <c r="AL311" s="5"/>
      <c r="AM311" s="5"/>
      <c r="AN311" s="5"/>
      <c r="AO311" s="5"/>
      <c r="AP311" s="5"/>
      <c r="AQ311" s="5"/>
      <c r="AR311" s="5" t="s">
        <v>74</v>
      </c>
      <c r="AS311" s="5" t="s">
        <v>74</v>
      </c>
      <c r="AT311" s="5" t="s">
        <v>74</v>
      </c>
      <c r="AU311" s="5" t="s">
        <v>74</v>
      </c>
      <c r="AV311" s="5" t="s">
        <v>74</v>
      </c>
      <c r="AW311" s="5" t="s">
        <v>74</v>
      </c>
      <c r="AX311" s="5" t="s">
        <v>74</v>
      </c>
      <c r="AY311" s="5" t="s">
        <v>74</v>
      </c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 t="s">
        <v>74</v>
      </c>
      <c r="BQ311" s="5" t="s">
        <v>74</v>
      </c>
      <c r="BR311" s="5" t="s">
        <v>74</v>
      </c>
      <c r="BS311" s="5"/>
      <c r="BT311" s="5" t="s">
        <v>74</v>
      </c>
      <c r="BU311" s="6" t="s">
        <v>51</v>
      </c>
      <c r="BV311" s="5" t="s">
        <v>74</v>
      </c>
      <c r="BW311" s="5"/>
      <c r="BX311" s="5" t="s">
        <v>74</v>
      </c>
      <c r="BY311" s="5"/>
      <c r="BZ311" s="5"/>
      <c r="CA311" s="10" t="s">
        <v>74</v>
      </c>
      <c r="CB311" s="5" t="s">
        <v>74</v>
      </c>
      <c r="CC311" s="5" t="s">
        <v>74</v>
      </c>
      <c r="CD311" s="5" t="s">
        <v>74</v>
      </c>
      <c r="CE311" s="5" t="s">
        <v>74</v>
      </c>
      <c r="CF311" s="8"/>
      <c r="CG311" s="5"/>
      <c r="CH311" s="5" t="s">
        <v>74</v>
      </c>
      <c r="CI311" s="5">
        <v>16</v>
      </c>
      <c r="CJ311" s="8" t="s">
        <v>74</v>
      </c>
      <c r="CK311" s="5"/>
      <c r="CL311" s="5" t="s">
        <v>74</v>
      </c>
      <c r="CM311" s="5" t="s">
        <v>74</v>
      </c>
      <c r="CN311" s="5" t="s">
        <v>74</v>
      </c>
      <c r="CO311" s="5"/>
      <c r="CP311" s="5" t="s">
        <v>74</v>
      </c>
    </row>
    <row r="312" spans="1:94" ht="25.25" customHeight="1">
      <c r="A312" s="5">
        <v>311</v>
      </c>
      <c r="B312" s="9" t="s">
        <v>388</v>
      </c>
      <c r="C312" s="9">
        <v>2024202250</v>
      </c>
      <c r="D312" s="5" t="s">
        <v>358</v>
      </c>
      <c r="E312" s="5">
        <f>SUM(G312:$XET312)</f>
        <v>37.5</v>
      </c>
      <c r="F312" s="5">
        <f>COUNT(G312:$XFD312)</f>
        <v>5</v>
      </c>
      <c r="G312" s="5"/>
      <c r="H312" s="5"/>
      <c r="I312" s="5"/>
      <c r="J312" s="5"/>
      <c r="K312" s="5"/>
      <c r="L312" s="5">
        <v>2</v>
      </c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>
        <v>17</v>
      </c>
      <c r="Y312" s="5"/>
      <c r="Z312" s="5"/>
      <c r="AA312" s="5"/>
      <c r="AB312" s="5"/>
      <c r="AC312" s="5"/>
      <c r="AD312" s="5"/>
      <c r="AE312" s="5"/>
      <c r="AF312" s="5"/>
      <c r="AG312" s="5" t="s">
        <v>74</v>
      </c>
      <c r="AH312" s="5" t="s">
        <v>74</v>
      </c>
      <c r="AI312" s="5" t="s">
        <v>74</v>
      </c>
      <c r="AJ312" s="5" t="s">
        <v>74</v>
      </c>
      <c r="AK312" s="5">
        <v>4</v>
      </c>
      <c r="AL312" s="5"/>
      <c r="AM312" s="5"/>
      <c r="AN312" s="5"/>
      <c r="AO312" s="5"/>
      <c r="AP312" s="5"/>
      <c r="AQ312" s="5"/>
      <c r="AR312" s="5" t="s">
        <v>74</v>
      </c>
      <c r="AS312" s="5" t="s">
        <v>74</v>
      </c>
      <c r="AT312" s="5" t="s">
        <v>74</v>
      </c>
      <c r="AU312" s="5" t="s">
        <v>74</v>
      </c>
      <c r="AV312" s="5" t="s">
        <v>74</v>
      </c>
      <c r="AW312" s="5" t="s">
        <v>74</v>
      </c>
      <c r="AX312" s="5" t="s">
        <v>74</v>
      </c>
      <c r="AY312" s="5" t="s">
        <v>74</v>
      </c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 t="s">
        <v>74</v>
      </c>
      <c r="BQ312" s="5" t="s">
        <v>74</v>
      </c>
      <c r="BR312" s="5">
        <v>8</v>
      </c>
      <c r="BS312" s="5"/>
      <c r="BT312" s="5" t="s">
        <v>74</v>
      </c>
      <c r="BU312" s="6" t="s">
        <v>51</v>
      </c>
      <c r="BV312" s="5" t="s">
        <v>74</v>
      </c>
      <c r="BW312" s="5"/>
      <c r="BX312" s="5">
        <v>6.5</v>
      </c>
      <c r="BY312" s="5"/>
      <c r="BZ312" s="5"/>
      <c r="CA312" s="10" t="s">
        <v>74</v>
      </c>
      <c r="CB312" s="5" t="s">
        <v>74</v>
      </c>
      <c r="CC312" s="5" t="s">
        <v>74</v>
      </c>
      <c r="CD312" s="5" t="s">
        <v>74</v>
      </c>
      <c r="CE312" s="5" t="s">
        <v>74</v>
      </c>
      <c r="CF312" s="8"/>
      <c r="CG312" s="5"/>
      <c r="CH312" s="5" t="s">
        <v>74</v>
      </c>
      <c r="CI312" s="5" t="s">
        <v>74</v>
      </c>
      <c r="CJ312" s="8" t="s">
        <v>74</v>
      </c>
      <c r="CK312" s="5"/>
      <c r="CL312" s="5" t="s">
        <v>74</v>
      </c>
      <c r="CM312" s="5" t="s">
        <v>74</v>
      </c>
      <c r="CN312" s="5" t="s">
        <v>74</v>
      </c>
      <c r="CO312" s="5"/>
      <c r="CP312" s="5" t="s">
        <v>74</v>
      </c>
    </row>
    <row r="313" spans="1:94" ht="25.25" customHeight="1">
      <c r="A313" s="5">
        <v>312</v>
      </c>
      <c r="B313" s="9" t="s">
        <v>389</v>
      </c>
      <c r="C313" s="9">
        <v>2024202216</v>
      </c>
      <c r="D313" s="5" t="s">
        <v>358</v>
      </c>
      <c r="E313" s="5">
        <f>SUM(G313:$XET313)</f>
        <v>237</v>
      </c>
      <c r="F313" s="5">
        <f>COUNT(G313:$XFD313)</f>
        <v>11</v>
      </c>
      <c r="G313" s="5"/>
      <c r="H313" s="5"/>
      <c r="I313" s="5">
        <v>4</v>
      </c>
      <c r="J313" s="5"/>
      <c r="K313" s="5">
        <v>9</v>
      </c>
      <c r="L313" s="5">
        <v>6</v>
      </c>
      <c r="M313" s="5"/>
      <c r="N313" s="5"/>
      <c r="O313" s="5"/>
      <c r="P313" s="5"/>
      <c r="Q313" s="5"/>
      <c r="R313" s="5"/>
      <c r="S313" s="5"/>
      <c r="T313" s="5">
        <v>16</v>
      </c>
      <c r="U313" s="5"/>
      <c r="V313" s="5"/>
      <c r="W313" s="5"/>
      <c r="X313" s="5">
        <v>6</v>
      </c>
      <c r="Y313" s="5"/>
      <c r="Z313" s="5"/>
      <c r="AA313" s="5"/>
      <c r="AB313" s="5"/>
      <c r="AC313" s="5"/>
      <c r="AD313" s="5"/>
      <c r="AE313" s="5"/>
      <c r="AF313" s="5"/>
      <c r="AG313" s="5" t="s">
        <v>74</v>
      </c>
      <c r="AH313" s="5" t="s">
        <v>74</v>
      </c>
      <c r="AI313" s="5" t="s">
        <v>74</v>
      </c>
      <c r="AJ313" s="5">
        <v>2</v>
      </c>
      <c r="AK313" s="5">
        <v>4</v>
      </c>
      <c r="AL313" s="5"/>
      <c r="AM313" s="5"/>
      <c r="AN313" s="5"/>
      <c r="AO313" s="5"/>
      <c r="AP313" s="5"/>
      <c r="AQ313" s="5"/>
      <c r="AR313" s="5" t="s">
        <v>74</v>
      </c>
      <c r="AS313" s="5" t="s">
        <v>74</v>
      </c>
      <c r="AT313" s="5">
        <v>72</v>
      </c>
      <c r="AU313" s="5" t="s">
        <v>74</v>
      </c>
      <c r="AV313" s="5">
        <v>2</v>
      </c>
      <c r="AW313" s="5">
        <v>6</v>
      </c>
      <c r="AX313" s="5" t="s">
        <v>74</v>
      </c>
      <c r="AY313" s="5" t="s">
        <v>74</v>
      </c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 t="s">
        <v>74</v>
      </c>
      <c r="BQ313" s="5" t="s">
        <v>74</v>
      </c>
      <c r="BR313" s="5">
        <v>110</v>
      </c>
      <c r="BS313" s="5"/>
      <c r="BT313" s="5" t="s">
        <v>74</v>
      </c>
      <c r="BU313" s="6" t="s">
        <v>51</v>
      </c>
      <c r="BV313" s="5" t="s">
        <v>74</v>
      </c>
      <c r="BW313" s="5"/>
      <c r="BX313" s="5" t="s">
        <v>74</v>
      </c>
      <c r="BY313" s="5"/>
      <c r="BZ313" s="5"/>
      <c r="CA313" s="10" t="s">
        <v>74</v>
      </c>
      <c r="CB313" s="5" t="s">
        <v>74</v>
      </c>
      <c r="CC313" s="5" t="s">
        <v>74</v>
      </c>
      <c r="CD313" s="5" t="s">
        <v>74</v>
      </c>
      <c r="CE313" s="5" t="s">
        <v>74</v>
      </c>
      <c r="CF313" s="8"/>
      <c r="CG313" s="5"/>
      <c r="CH313" s="5" t="s">
        <v>74</v>
      </c>
      <c r="CI313" s="5" t="s">
        <v>74</v>
      </c>
      <c r="CJ313" s="8" t="s">
        <v>74</v>
      </c>
      <c r="CK313" s="5"/>
      <c r="CL313" s="5" t="s">
        <v>74</v>
      </c>
      <c r="CM313" s="5" t="s">
        <v>74</v>
      </c>
      <c r="CN313" s="5" t="s">
        <v>74</v>
      </c>
      <c r="CO313" s="5"/>
      <c r="CP313" s="5" t="s">
        <v>74</v>
      </c>
    </row>
    <row r="314" spans="1:94" ht="25.25" customHeight="1">
      <c r="A314" s="5">
        <v>313</v>
      </c>
      <c r="B314" s="9" t="s">
        <v>390</v>
      </c>
      <c r="C314" s="9">
        <v>2024201972</v>
      </c>
      <c r="D314" s="5" t="s">
        <v>358</v>
      </c>
      <c r="E314" s="5">
        <f>SUM(G314:$XET314)</f>
        <v>150.5</v>
      </c>
      <c r="F314" s="5">
        <f>COUNT(G314:$XFD314)</f>
        <v>11</v>
      </c>
      <c r="G314" s="5"/>
      <c r="H314" s="5"/>
      <c r="I314" s="5"/>
      <c r="J314" s="5"/>
      <c r="K314" s="5">
        <v>9</v>
      </c>
      <c r="L314" s="5">
        <v>7</v>
      </c>
      <c r="M314" s="5"/>
      <c r="N314" s="5"/>
      <c r="O314" s="5"/>
      <c r="P314" s="5"/>
      <c r="Q314" s="5">
        <v>3</v>
      </c>
      <c r="R314" s="5"/>
      <c r="S314" s="5"/>
      <c r="T314" s="5">
        <v>16</v>
      </c>
      <c r="U314" s="5"/>
      <c r="V314" s="5"/>
      <c r="W314" s="5"/>
      <c r="X314" s="5">
        <v>8</v>
      </c>
      <c r="Y314" s="5"/>
      <c r="Z314" s="5"/>
      <c r="AA314" s="5"/>
      <c r="AB314" s="5" t="s">
        <v>74</v>
      </c>
      <c r="AC314" s="5" t="s">
        <v>74</v>
      </c>
      <c r="AD314" s="5"/>
      <c r="AE314" s="5"/>
      <c r="AF314" s="5"/>
      <c r="AG314" s="5" t="s">
        <v>74</v>
      </c>
      <c r="AH314" s="5" t="s">
        <v>74</v>
      </c>
      <c r="AI314" s="5">
        <v>12</v>
      </c>
      <c r="AJ314" s="5" t="s">
        <v>74</v>
      </c>
      <c r="AK314" s="5" t="s">
        <v>74</v>
      </c>
      <c r="AL314" s="5"/>
      <c r="AM314" s="5"/>
      <c r="AN314" s="5"/>
      <c r="AO314" s="5"/>
      <c r="AP314" s="5"/>
      <c r="AQ314" s="5"/>
      <c r="AR314" s="5" t="s">
        <v>74</v>
      </c>
      <c r="AS314" s="5">
        <v>12</v>
      </c>
      <c r="AT314" s="5" t="s">
        <v>74</v>
      </c>
      <c r="AU314" s="5" t="s">
        <v>74</v>
      </c>
      <c r="AV314" s="5" t="s">
        <v>74</v>
      </c>
      <c r="AW314" s="5" t="s">
        <v>74</v>
      </c>
      <c r="AX314" s="5" t="s">
        <v>74</v>
      </c>
      <c r="AY314" s="5">
        <v>5.5</v>
      </c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 t="s">
        <v>74</v>
      </c>
      <c r="BQ314" s="5" t="s">
        <v>74</v>
      </c>
      <c r="BR314" s="5" t="s">
        <v>74</v>
      </c>
      <c r="BS314" s="5"/>
      <c r="BT314" s="5" t="s">
        <v>74</v>
      </c>
      <c r="BU314" s="6" t="s">
        <v>51</v>
      </c>
      <c r="BV314" s="5">
        <v>60</v>
      </c>
      <c r="BW314" s="5"/>
      <c r="BX314" s="5" t="s">
        <v>74</v>
      </c>
      <c r="BY314" s="5"/>
      <c r="BZ314" s="5"/>
      <c r="CA314" s="10" t="s">
        <v>74</v>
      </c>
      <c r="CB314" s="5" t="s">
        <v>74</v>
      </c>
      <c r="CC314" s="5" t="s">
        <v>74</v>
      </c>
      <c r="CD314" s="5" t="s">
        <v>74</v>
      </c>
      <c r="CE314" s="5" t="s">
        <v>74</v>
      </c>
      <c r="CF314" s="8"/>
      <c r="CG314" s="5">
        <v>2</v>
      </c>
      <c r="CH314" s="5" t="s">
        <v>74</v>
      </c>
      <c r="CI314" s="5">
        <v>16</v>
      </c>
      <c r="CJ314" s="8" t="s">
        <v>74</v>
      </c>
      <c r="CK314" s="5"/>
      <c r="CL314" s="5" t="s">
        <v>74</v>
      </c>
      <c r="CM314" s="5" t="s">
        <v>74</v>
      </c>
      <c r="CN314" s="5" t="s">
        <v>74</v>
      </c>
      <c r="CO314" s="5"/>
      <c r="CP314" s="5" t="s">
        <v>74</v>
      </c>
    </row>
    <row r="315" spans="1:94" ht="25.25" customHeight="1">
      <c r="A315" s="5">
        <v>314</v>
      </c>
      <c r="B315" s="9" t="s">
        <v>391</v>
      </c>
      <c r="C315" s="9">
        <v>2024202109</v>
      </c>
      <c r="D315" s="5" t="s">
        <v>358</v>
      </c>
      <c r="E315" s="5">
        <f>SUM(G315:$XET315)</f>
        <v>21</v>
      </c>
      <c r="F315" s="5">
        <f>COUNT(G315:$XFD315)</f>
        <v>5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>
        <v>3</v>
      </c>
      <c r="X315" s="5">
        <v>6</v>
      </c>
      <c r="Y315" s="5"/>
      <c r="Z315" s="5"/>
      <c r="AA315" s="5"/>
      <c r="AB315" s="5" t="s">
        <v>74</v>
      </c>
      <c r="AC315" s="5" t="s">
        <v>74</v>
      </c>
      <c r="AD315" s="5"/>
      <c r="AE315" s="5"/>
      <c r="AF315" s="5"/>
      <c r="AG315" s="5" t="s">
        <v>74</v>
      </c>
      <c r="AH315" s="5" t="s">
        <v>74</v>
      </c>
      <c r="AI315" s="5" t="s">
        <v>74</v>
      </c>
      <c r="AJ315" s="5" t="s">
        <v>74</v>
      </c>
      <c r="AK315" s="5">
        <v>4</v>
      </c>
      <c r="AL315" s="5"/>
      <c r="AM315" s="5"/>
      <c r="AN315" s="5"/>
      <c r="AO315" s="5"/>
      <c r="AP315" s="5"/>
      <c r="AQ315" s="5"/>
      <c r="AR315" s="5">
        <v>6</v>
      </c>
      <c r="AS315" s="5" t="s">
        <v>74</v>
      </c>
      <c r="AT315" s="5" t="s">
        <v>74</v>
      </c>
      <c r="AU315" s="5" t="s">
        <v>74</v>
      </c>
      <c r="AV315" s="5" t="s">
        <v>74</v>
      </c>
      <c r="AW315" s="5" t="s">
        <v>74</v>
      </c>
      <c r="AX315" s="5" t="s">
        <v>74</v>
      </c>
      <c r="AY315" s="5" t="s">
        <v>74</v>
      </c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 t="s">
        <v>74</v>
      </c>
      <c r="BQ315" s="5" t="s">
        <v>74</v>
      </c>
      <c r="BR315" s="5" t="s">
        <v>74</v>
      </c>
      <c r="BS315" s="5"/>
      <c r="BT315" s="5" t="s">
        <v>74</v>
      </c>
      <c r="BU315" s="6" t="s">
        <v>51</v>
      </c>
      <c r="BV315" s="5" t="s">
        <v>74</v>
      </c>
      <c r="BW315" s="5"/>
      <c r="BX315" s="5" t="s">
        <v>74</v>
      </c>
      <c r="BY315" s="5"/>
      <c r="BZ315" s="5"/>
      <c r="CA315" s="10" t="s">
        <v>74</v>
      </c>
      <c r="CB315" s="5" t="s">
        <v>74</v>
      </c>
      <c r="CC315" s="5" t="s">
        <v>74</v>
      </c>
      <c r="CD315" s="5" t="s">
        <v>74</v>
      </c>
      <c r="CE315" s="5">
        <v>2</v>
      </c>
      <c r="CF315" s="8"/>
      <c r="CG315" s="5"/>
      <c r="CH315" s="5" t="s">
        <v>74</v>
      </c>
      <c r="CI315" s="5" t="s">
        <v>74</v>
      </c>
      <c r="CJ315" s="8" t="s">
        <v>74</v>
      </c>
      <c r="CK315" s="5"/>
      <c r="CL315" s="5" t="s">
        <v>74</v>
      </c>
      <c r="CM315" s="5" t="s">
        <v>74</v>
      </c>
      <c r="CN315" s="5" t="s">
        <v>74</v>
      </c>
      <c r="CO315" s="5"/>
      <c r="CP315" s="5" t="s">
        <v>74</v>
      </c>
    </row>
    <row r="316" spans="1:94" ht="25.25" customHeight="1">
      <c r="A316" s="5">
        <v>315</v>
      </c>
      <c r="B316" s="9" t="s">
        <v>392</v>
      </c>
      <c r="C316" s="9">
        <v>2024201956</v>
      </c>
      <c r="D316" s="5" t="s">
        <v>393</v>
      </c>
      <c r="E316" s="5">
        <f>SUM(G316:$XET316)</f>
        <v>30</v>
      </c>
      <c r="F316" s="5">
        <f>COUNT(G316:$XFD316)</f>
        <v>4</v>
      </c>
      <c r="G316" s="5"/>
      <c r="H316" s="5"/>
      <c r="I316" s="5"/>
      <c r="J316" s="5"/>
      <c r="K316" s="5"/>
      <c r="L316" s="5">
        <v>10</v>
      </c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 t="s">
        <v>74</v>
      </c>
      <c r="AC316" s="5" t="s">
        <v>74</v>
      </c>
      <c r="AD316" s="5"/>
      <c r="AE316" s="5"/>
      <c r="AF316" s="5"/>
      <c r="AG316" s="5" t="s">
        <v>74</v>
      </c>
      <c r="AH316" s="5" t="s">
        <v>74</v>
      </c>
      <c r="AI316" s="5">
        <v>12</v>
      </c>
      <c r="AJ316" s="5">
        <v>4</v>
      </c>
      <c r="AK316" s="5">
        <v>4</v>
      </c>
      <c r="AL316" s="5"/>
      <c r="AM316" s="5"/>
      <c r="AN316" s="5"/>
      <c r="AO316" s="5"/>
      <c r="AP316" s="5"/>
      <c r="AQ316" s="5"/>
      <c r="AR316" s="5" t="s">
        <v>74</v>
      </c>
      <c r="AS316" s="5" t="s">
        <v>74</v>
      </c>
      <c r="AT316" s="5" t="s">
        <v>74</v>
      </c>
      <c r="AU316" s="5" t="s">
        <v>74</v>
      </c>
      <c r="AV316" s="5" t="s">
        <v>74</v>
      </c>
      <c r="AW316" s="5" t="s">
        <v>74</v>
      </c>
      <c r="AX316" s="5" t="s">
        <v>74</v>
      </c>
      <c r="AY316" s="5" t="s">
        <v>74</v>
      </c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 t="s">
        <v>74</v>
      </c>
      <c r="BQ316" s="5" t="s">
        <v>74</v>
      </c>
      <c r="BR316" s="5" t="s">
        <v>74</v>
      </c>
      <c r="BS316" s="5"/>
      <c r="BT316" s="5" t="s">
        <v>74</v>
      </c>
      <c r="BU316" s="6" t="s">
        <v>51</v>
      </c>
      <c r="BV316" s="5" t="s">
        <v>74</v>
      </c>
      <c r="BW316" s="5"/>
      <c r="BX316" s="5" t="s">
        <v>74</v>
      </c>
      <c r="BY316" s="5"/>
      <c r="BZ316" s="5"/>
      <c r="CA316" s="10" t="s">
        <v>74</v>
      </c>
      <c r="CB316" s="5" t="s">
        <v>74</v>
      </c>
      <c r="CC316" s="5" t="s">
        <v>74</v>
      </c>
      <c r="CD316" s="5" t="s">
        <v>74</v>
      </c>
      <c r="CE316" s="5" t="s">
        <v>74</v>
      </c>
      <c r="CF316" s="8"/>
      <c r="CG316" s="5"/>
      <c r="CH316" s="5" t="s">
        <v>74</v>
      </c>
      <c r="CI316" s="5" t="s">
        <v>74</v>
      </c>
      <c r="CJ316" s="8" t="s">
        <v>74</v>
      </c>
      <c r="CK316" s="5"/>
      <c r="CL316" s="5" t="s">
        <v>74</v>
      </c>
      <c r="CM316" s="5" t="s">
        <v>74</v>
      </c>
      <c r="CN316" s="5" t="s">
        <v>74</v>
      </c>
      <c r="CO316" s="5"/>
      <c r="CP316" s="5" t="s">
        <v>74</v>
      </c>
    </row>
    <row r="317" spans="1:94" ht="25.25" customHeight="1">
      <c r="A317" s="5">
        <v>316</v>
      </c>
      <c r="B317" s="9" t="s">
        <v>394</v>
      </c>
      <c r="C317" s="9">
        <v>2024202063</v>
      </c>
      <c r="D317" s="5" t="s">
        <v>393</v>
      </c>
      <c r="E317" s="5">
        <f>SUM(G317:$XET317)</f>
        <v>16</v>
      </c>
      <c r="F317" s="5">
        <f>COUNT(G317:$XFD317)</f>
        <v>5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>
        <v>5</v>
      </c>
      <c r="X317" s="5"/>
      <c r="Y317" s="5"/>
      <c r="Z317" s="5"/>
      <c r="AA317" s="5"/>
      <c r="AB317" s="5">
        <v>3</v>
      </c>
      <c r="AC317" s="5">
        <v>2</v>
      </c>
      <c r="AD317" s="5"/>
      <c r="AE317" s="5"/>
      <c r="AF317" s="5"/>
      <c r="AG317" s="5" t="s">
        <v>74</v>
      </c>
      <c r="AH317" s="5" t="s">
        <v>74</v>
      </c>
      <c r="AI317" s="5" t="s">
        <v>74</v>
      </c>
      <c r="AJ317" s="5" t="s">
        <v>74</v>
      </c>
      <c r="AK317" s="5">
        <v>4</v>
      </c>
      <c r="AL317" s="5"/>
      <c r="AM317" s="5"/>
      <c r="AN317" s="5"/>
      <c r="AO317" s="5"/>
      <c r="AP317" s="5"/>
      <c r="AQ317" s="5"/>
      <c r="AR317" s="5" t="s">
        <v>74</v>
      </c>
      <c r="AS317" s="5" t="s">
        <v>74</v>
      </c>
      <c r="AT317" s="5" t="s">
        <v>74</v>
      </c>
      <c r="AU317" s="5" t="s">
        <v>74</v>
      </c>
      <c r="AV317" s="5" t="s">
        <v>74</v>
      </c>
      <c r="AW317" s="5" t="s">
        <v>74</v>
      </c>
      <c r="AX317" s="5" t="s">
        <v>74</v>
      </c>
      <c r="AY317" s="5" t="s">
        <v>74</v>
      </c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 t="s">
        <v>74</v>
      </c>
      <c r="BQ317" s="5" t="s">
        <v>74</v>
      </c>
      <c r="BR317" s="5" t="s">
        <v>74</v>
      </c>
      <c r="BS317" s="5"/>
      <c r="BT317" s="5" t="s">
        <v>74</v>
      </c>
      <c r="BU317" s="6" t="s">
        <v>51</v>
      </c>
      <c r="BV317" s="5" t="s">
        <v>74</v>
      </c>
      <c r="BW317" s="5"/>
      <c r="BX317" s="5" t="s">
        <v>74</v>
      </c>
      <c r="BY317" s="5"/>
      <c r="BZ317" s="5"/>
      <c r="CA317" s="10" t="s">
        <v>74</v>
      </c>
      <c r="CB317" s="5" t="s">
        <v>74</v>
      </c>
      <c r="CC317" s="5" t="s">
        <v>74</v>
      </c>
      <c r="CD317" s="5" t="s">
        <v>74</v>
      </c>
      <c r="CE317" s="5">
        <v>2</v>
      </c>
      <c r="CF317" s="8"/>
      <c r="CG317" s="5"/>
      <c r="CH317" s="5" t="s">
        <v>74</v>
      </c>
      <c r="CI317" s="5" t="s">
        <v>74</v>
      </c>
      <c r="CJ317" s="8" t="s">
        <v>74</v>
      </c>
      <c r="CK317" s="5"/>
      <c r="CL317" s="5" t="s">
        <v>74</v>
      </c>
      <c r="CM317" s="5" t="s">
        <v>74</v>
      </c>
      <c r="CN317" s="5" t="s">
        <v>74</v>
      </c>
      <c r="CO317" s="5"/>
      <c r="CP317" s="5" t="s">
        <v>74</v>
      </c>
    </row>
    <row r="318" spans="1:94" ht="25.25" customHeight="1">
      <c r="A318" s="5">
        <v>317</v>
      </c>
      <c r="B318" s="9" t="s">
        <v>395</v>
      </c>
      <c r="C318" s="9">
        <v>2024202081</v>
      </c>
      <c r="D318" s="5" t="s">
        <v>393</v>
      </c>
      <c r="E318" s="5">
        <f>SUM(G318:$XET318)</f>
        <v>28</v>
      </c>
      <c r="F318" s="5">
        <f>COUNT(G318:$XFD318)</f>
        <v>2</v>
      </c>
      <c r="G318" s="5"/>
      <c r="H318" s="5"/>
      <c r="I318" s="5"/>
      <c r="J318" s="5"/>
      <c r="K318" s="5"/>
      <c r="L318" s="5"/>
      <c r="M318" s="5"/>
      <c r="N318" s="5">
        <v>2</v>
      </c>
      <c r="O318" s="5"/>
      <c r="P318" s="5"/>
      <c r="Q318" s="5"/>
      <c r="R318" s="5"/>
      <c r="S318" s="5"/>
      <c r="T318" s="5"/>
      <c r="U318" s="5"/>
      <c r="V318" s="5"/>
      <c r="W318" s="5"/>
      <c r="X318" s="5">
        <v>26</v>
      </c>
      <c r="Y318" s="5"/>
      <c r="Z318" s="5"/>
      <c r="AA318" s="5"/>
      <c r="AB318" s="5" t="s">
        <v>74</v>
      </c>
      <c r="AC318" s="5" t="s">
        <v>74</v>
      </c>
      <c r="AD318" s="5"/>
      <c r="AE318" s="5"/>
      <c r="AF318" s="5"/>
      <c r="AG318" s="5" t="s">
        <v>74</v>
      </c>
      <c r="AH318" s="5" t="s">
        <v>74</v>
      </c>
      <c r="AI318" s="5" t="s">
        <v>74</v>
      </c>
      <c r="AJ318" s="5" t="s">
        <v>74</v>
      </c>
      <c r="AK318" s="5" t="s">
        <v>74</v>
      </c>
      <c r="AL318" s="5"/>
      <c r="AM318" s="5"/>
      <c r="AN318" s="5"/>
      <c r="AO318" s="5"/>
      <c r="AP318" s="5"/>
      <c r="AQ318" s="5"/>
      <c r="AR318" s="5" t="s">
        <v>74</v>
      </c>
      <c r="AS318" s="5" t="s">
        <v>74</v>
      </c>
      <c r="AT318" s="5" t="s">
        <v>74</v>
      </c>
      <c r="AU318" s="5" t="s">
        <v>74</v>
      </c>
      <c r="AV318" s="5" t="s">
        <v>74</v>
      </c>
      <c r="AW318" s="5" t="s">
        <v>74</v>
      </c>
      <c r="AX318" s="5" t="s">
        <v>74</v>
      </c>
      <c r="AY318" s="5" t="s">
        <v>74</v>
      </c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 t="s">
        <v>74</v>
      </c>
      <c r="BQ318" s="5" t="s">
        <v>74</v>
      </c>
      <c r="BR318" s="5" t="s">
        <v>74</v>
      </c>
      <c r="BS318" s="5"/>
      <c r="BT318" s="5" t="s">
        <v>74</v>
      </c>
      <c r="BU318" s="6" t="s">
        <v>51</v>
      </c>
      <c r="BV318" s="5" t="s">
        <v>74</v>
      </c>
      <c r="BW318" s="5"/>
      <c r="BX318" s="5" t="s">
        <v>74</v>
      </c>
      <c r="BY318" s="5"/>
      <c r="BZ318" s="5"/>
      <c r="CA318" s="10" t="s">
        <v>74</v>
      </c>
      <c r="CB318" s="5" t="s">
        <v>74</v>
      </c>
      <c r="CC318" s="5" t="s">
        <v>74</v>
      </c>
      <c r="CD318" s="5" t="s">
        <v>74</v>
      </c>
      <c r="CE318" s="5" t="s">
        <v>74</v>
      </c>
      <c r="CF318" s="8"/>
      <c r="CG318" s="5"/>
      <c r="CH318" s="5" t="s">
        <v>74</v>
      </c>
      <c r="CI318" s="5" t="s">
        <v>74</v>
      </c>
      <c r="CJ318" s="8" t="s">
        <v>74</v>
      </c>
      <c r="CK318" s="5"/>
      <c r="CL318" s="5" t="s">
        <v>74</v>
      </c>
      <c r="CM318" s="5" t="s">
        <v>74</v>
      </c>
      <c r="CN318" s="5" t="s">
        <v>74</v>
      </c>
      <c r="CO318" s="5"/>
      <c r="CP318" s="5" t="s">
        <v>74</v>
      </c>
    </row>
    <row r="319" spans="1:94" ht="25.25" customHeight="1">
      <c r="A319" s="5">
        <v>318</v>
      </c>
      <c r="B319" s="9" t="s">
        <v>396</v>
      </c>
      <c r="C319" s="9">
        <v>2024202134</v>
      </c>
      <c r="D319" s="5" t="s">
        <v>393</v>
      </c>
      <c r="E319" s="5">
        <f>SUM(G319:$XET319)</f>
        <v>26</v>
      </c>
      <c r="F319" s="5">
        <f>COUNT(G319:$XFD319)</f>
        <v>3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>
        <v>16</v>
      </c>
      <c r="U319" s="5"/>
      <c r="V319" s="5"/>
      <c r="W319" s="5"/>
      <c r="X319" s="5">
        <v>6</v>
      </c>
      <c r="Y319" s="5"/>
      <c r="Z319" s="5"/>
      <c r="AA319" s="5"/>
      <c r="AB319" s="5" t="s">
        <v>74</v>
      </c>
      <c r="AC319" s="5" t="s">
        <v>74</v>
      </c>
      <c r="AD319" s="5"/>
      <c r="AE319" s="5"/>
      <c r="AF319" s="5"/>
      <c r="AG319" s="5" t="s">
        <v>74</v>
      </c>
      <c r="AH319" s="5" t="s">
        <v>74</v>
      </c>
      <c r="AI319" s="5" t="s">
        <v>74</v>
      </c>
      <c r="AJ319" s="5" t="s">
        <v>74</v>
      </c>
      <c r="AK319" s="5">
        <v>4</v>
      </c>
      <c r="AL319" s="5"/>
      <c r="AM319" s="5"/>
      <c r="AN319" s="5"/>
      <c r="AO319" s="5"/>
      <c r="AP319" s="5"/>
      <c r="AQ319" s="5"/>
      <c r="AR319" s="5" t="s">
        <v>74</v>
      </c>
      <c r="AS319" s="5" t="s">
        <v>74</v>
      </c>
      <c r="AT319" s="5" t="s">
        <v>74</v>
      </c>
      <c r="AU319" s="5" t="s">
        <v>74</v>
      </c>
      <c r="AV319" s="5" t="s">
        <v>74</v>
      </c>
      <c r="AW319" s="5" t="s">
        <v>74</v>
      </c>
      <c r="AX319" s="5" t="s">
        <v>74</v>
      </c>
      <c r="AY319" s="5" t="s">
        <v>74</v>
      </c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 t="s">
        <v>74</v>
      </c>
      <c r="BQ319" s="5" t="s">
        <v>74</v>
      </c>
      <c r="BR319" s="5" t="s">
        <v>74</v>
      </c>
      <c r="BS319" s="5"/>
      <c r="BT319" s="5" t="s">
        <v>74</v>
      </c>
      <c r="BU319" s="6" t="s">
        <v>51</v>
      </c>
      <c r="BV319" s="5" t="s">
        <v>74</v>
      </c>
      <c r="BW319" s="5"/>
      <c r="BX319" s="5" t="s">
        <v>74</v>
      </c>
      <c r="BY319" s="5"/>
      <c r="BZ319" s="5"/>
      <c r="CA319" s="10" t="s">
        <v>74</v>
      </c>
      <c r="CB319" s="5" t="s">
        <v>74</v>
      </c>
      <c r="CC319" s="5" t="s">
        <v>74</v>
      </c>
      <c r="CD319" s="5" t="s">
        <v>74</v>
      </c>
      <c r="CE319" s="5" t="s">
        <v>74</v>
      </c>
      <c r="CF319" s="8"/>
      <c r="CG319" s="5"/>
      <c r="CH319" s="5" t="s">
        <v>74</v>
      </c>
      <c r="CI319" s="5" t="s">
        <v>74</v>
      </c>
      <c r="CJ319" s="8" t="s">
        <v>74</v>
      </c>
      <c r="CK319" s="5"/>
      <c r="CL319" s="5" t="s">
        <v>74</v>
      </c>
      <c r="CM319" s="5" t="s">
        <v>74</v>
      </c>
      <c r="CN319" s="5" t="s">
        <v>74</v>
      </c>
      <c r="CO319" s="5"/>
      <c r="CP319" s="5" t="s">
        <v>74</v>
      </c>
    </row>
    <row r="320" spans="1:94" ht="25.25" customHeight="1">
      <c r="A320" s="5">
        <v>319</v>
      </c>
      <c r="B320" s="9" t="s">
        <v>397</v>
      </c>
      <c r="C320" s="9">
        <v>2024202154</v>
      </c>
      <c r="D320" s="5" t="s">
        <v>393</v>
      </c>
      <c r="E320" s="5">
        <f>SUM(G320:$XET320)</f>
        <v>87</v>
      </c>
      <c r="F320" s="5">
        <f>COUNT(G320:$XFD320)</f>
        <v>4</v>
      </c>
      <c r="G320" s="5">
        <v>40</v>
      </c>
      <c r="H320" s="5"/>
      <c r="I320" s="5"/>
      <c r="J320" s="5"/>
      <c r="K320" s="5"/>
      <c r="L320" s="5"/>
      <c r="M320" s="5"/>
      <c r="N320" s="5">
        <v>1</v>
      </c>
      <c r="O320" s="5"/>
      <c r="P320" s="5"/>
      <c r="Q320" s="5"/>
      <c r="R320" s="5"/>
      <c r="S320" s="5"/>
      <c r="T320" s="5">
        <v>16</v>
      </c>
      <c r="U320" s="5"/>
      <c r="V320" s="5"/>
      <c r="W320" s="5"/>
      <c r="X320" s="5">
        <v>30</v>
      </c>
      <c r="Y320" s="5"/>
      <c r="Z320" s="5"/>
      <c r="AA320" s="5"/>
      <c r="AB320" s="5" t="s">
        <v>74</v>
      </c>
      <c r="AC320" s="5" t="s">
        <v>74</v>
      </c>
      <c r="AD320" s="5"/>
      <c r="AE320" s="5"/>
      <c r="AF320" s="5"/>
      <c r="AG320" s="5" t="s">
        <v>74</v>
      </c>
      <c r="AH320" s="5" t="s">
        <v>74</v>
      </c>
      <c r="AI320" s="5" t="s">
        <v>74</v>
      </c>
      <c r="AJ320" s="5" t="s">
        <v>74</v>
      </c>
      <c r="AK320" s="5" t="s">
        <v>74</v>
      </c>
      <c r="AL320" s="5"/>
      <c r="AM320" s="5"/>
      <c r="AN320" s="5"/>
      <c r="AO320" s="5"/>
      <c r="AP320" s="5"/>
      <c r="AQ320" s="5"/>
      <c r="AR320" s="5" t="s">
        <v>74</v>
      </c>
      <c r="AS320" s="5" t="s">
        <v>74</v>
      </c>
      <c r="AT320" s="5" t="s">
        <v>74</v>
      </c>
      <c r="AU320" s="5" t="s">
        <v>74</v>
      </c>
      <c r="AV320" s="5" t="s">
        <v>74</v>
      </c>
      <c r="AW320" s="5" t="s">
        <v>74</v>
      </c>
      <c r="AX320" s="5" t="s">
        <v>74</v>
      </c>
      <c r="AY320" s="5" t="s">
        <v>74</v>
      </c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 t="s">
        <v>74</v>
      </c>
      <c r="BQ320" s="5" t="s">
        <v>74</v>
      </c>
      <c r="BR320" s="5" t="s">
        <v>74</v>
      </c>
      <c r="BS320" s="5"/>
      <c r="BT320" s="5" t="s">
        <v>74</v>
      </c>
      <c r="BU320" s="6" t="s">
        <v>51</v>
      </c>
      <c r="BV320" s="5" t="s">
        <v>74</v>
      </c>
      <c r="BW320" s="5"/>
      <c r="BX320" s="5" t="s">
        <v>74</v>
      </c>
      <c r="BY320" s="5"/>
      <c r="BZ320" s="5"/>
      <c r="CA320" s="10" t="s">
        <v>74</v>
      </c>
      <c r="CB320" s="5" t="s">
        <v>74</v>
      </c>
      <c r="CC320" s="5" t="s">
        <v>74</v>
      </c>
      <c r="CD320" s="5" t="s">
        <v>74</v>
      </c>
      <c r="CE320" s="5" t="s">
        <v>74</v>
      </c>
      <c r="CF320" s="8"/>
      <c r="CG320" s="5"/>
      <c r="CH320" s="5" t="s">
        <v>74</v>
      </c>
      <c r="CI320" s="5" t="s">
        <v>74</v>
      </c>
      <c r="CJ320" s="8" t="s">
        <v>74</v>
      </c>
      <c r="CK320" s="5"/>
      <c r="CL320" s="5" t="s">
        <v>74</v>
      </c>
      <c r="CM320" s="5" t="s">
        <v>74</v>
      </c>
      <c r="CN320" s="5" t="s">
        <v>74</v>
      </c>
      <c r="CO320" s="5"/>
      <c r="CP320" s="5" t="s">
        <v>74</v>
      </c>
    </row>
    <row r="321" spans="1:94" ht="25.25" customHeight="1">
      <c r="A321" s="5">
        <v>320</v>
      </c>
      <c r="B321" s="9" t="s">
        <v>398</v>
      </c>
      <c r="C321" s="9">
        <v>2024202087</v>
      </c>
      <c r="D321" s="5" t="s">
        <v>393</v>
      </c>
      <c r="E321" s="5">
        <f>SUM(G321:$XET321)</f>
        <v>4</v>
      </c>
      <c r="F321" s="5">
        <f>COUNT(G321:$XFD321)</f>
        <v>1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 t="s">
        <v>74</v>
      </c>
      <c r="AC321" s="5" t="s">
        <v>74</v>
      </c>
      <c r="AD321" s="5"/>
      <c r="AE321" s="5"/>
      <c r="AF321" s="5"/>
      <c r="AG321" s="5" t="s">
        <v>74</v>
      </c>
      <c r="AH321" s="5" t="s">
        <v>74</v>
      </c>
      <c r="AI321" s="5" t="s">
        <v>74</v>
      </c>
      <c r="AJ321" s="5">
        <v>4</v>
      </c>
      <c r="AK321" s="5" t="s">
        <v>74</v>
      </c>
      <c r="AL321" s="5"/>
      <c r="AM321" s="5"/>
      <c r="AN321" s="5"/>
      <c r="AO321" s="5"/>
      <c r="AP321" s="5"/>
      <c r="AQ321" s="5"/>
      <c r="AR321" s="5" t="s">
        <v>74</v>
      </c>
      <c r="AS321" s="5" t="s">
        <v>74</v>
      </c>
      <c r="AT321" s="5" t="s">
        <v>74</v>
      </c>
      <c r="AU321" s="5" t="s">
        <v>74</v>
      </c>
      <c r="AV321" s="5" t="s">
        <v>74</v>
      </c>
      <c r="AW321" s="5" t="s">
        <v>74</v>
      </c>
      <c r="AX321" s="5" t="s">
        <v>74</v>
      </c>
      <c r="AY321" s="5" t="s">
        <v>74</v>
      </c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 t="s">
        <v>74</v>
      </c>
      <c r="BQ321" s="5" t="s">
        <v>74</v>
      </c>
      <c r="BR321" s="5" t="s">
        <v>74</v>
      </c>
      <c r="BS321" s="5"/>
      <c r="BT321" s="5" t="s">
        <v>74</v>
      </c>
      <c r="BU321" s="6" t="s">
        <v>51</v>
      </c>
      <c r="BV321" s="5" t="s">
        <v>74</v>
      </c>
      <c r="BW321" s="5"/>
      <c r="BX321" s="5" t="s">
        <v>74</v>
      </c>
      <c r="BY321" s="5"/>
      <c r="BZ321" s="5"/>
      <c r="CA321" s="10" t="s">
        <v>74</v>
      </c>
      <c r="CB321" s="5" t="s">
        <v>74</v>
      </c>
      <c r="CC321" s="5" t="s">
        <v>74</v>
      </c>
      <c r="CD321" s="5" t="s">
        <v>74</v>
      </c>
      <c r="CE321" s="5" t="s">
        <v>74</v>
      </c>
      <c r="CF321" s="8"/>
      <c r="CG321" s="5"/>
      <c r="CH321" s="5" t="s">
        <v>74</v>
      </c>
      <c r="CI321" s="5" t="s">
        <v>74</v>
      </c>
      <c r="CJ321" s="8" t="s">
        <v>74</v>
      </c>
      <c r="CK321" s="5"/>
      <c r="CL321" s="5" t="s">
        <v>74</v>
      </c>
      <c r="CM321" s="5" t="s">
        <v>74</v>
      </c>
      <c r="CN321" s="5" t="s">
        <v>74</v>
      </c>
      <c r="CO321" s="5"/>
      <c r="CP321" s="5" t="s">
        <v>74</v>
      </c>
    </row>
    <row r="322" spans="1:94" ht="25.25" customHeight="1">
      <c r="A322" s="5">
        <v>321</v>
      </c>
      <c r="B322" s="9" t="s">
        <v>399</v>
      </c>
      <c r="C322" s="9">
        <v>2024202219</v>
      </c>
      <c r="D322" s="5" t="s">
        <v>393</v>
      </c>
      <c r="E322" s="5">
        <f>SUM(G322:$XET322)</f>
        <v>5.5</v>
      </c>
      <c r="F322" s="5">
        <f>COUNT(G322:$XFD322)</f>
        <v>2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 t="s">
        <v>74</v>
      </c>
      <c r="AC322" s="5" t="s">
        <v>74</v>
      </c>
      <c r="AD322" s="5"/>
      <c r="AE322" s="5"/>
      <c r="AF322" s="5"/>
      <c r="AG322" s="5">
        <v>2.5</v>
      </c>
      <c r="AH322" s="5" t="s">
        <v>74</v>
      </c>
      <c r="AI322" s="5" t="s">
        <v>74</v>
      </c>
      <c r="AJ322" s="5" t="s">
        <v>74</v>
      </c>
      <c r="AK322" s="5" t="s">
        <v>74</v>
      </c>
      <c r="AL322" s="5"/>
      <c r="AM322" s="5"/>
      <c r="AN322" s="5"/>
      <c r="AO322" s="5"/>
      <c r="AP322" s="5"/>
      <c r="AQ322" s="5"/>
      <c r="AR322" s="5" t="s">
        <v>74</v>
      </c>
      <c r="AS322" s="5" t="s">
        <v>74</v>
      </c>
      <c r="AT322" s="5" t="s">
        <v>74</v>
      </c>
      <c r="AU322" s="5" t="s">
        <v>74</v>
      </c>
      <c r="AV322" s="5" t="s">
        <v>74</v>
      </c>
      <c r="AW322" s="5" t="s">
        <v>74</v>
      </c>
      <c r="AX322" s="5">
        <v>3</v>
      </c>
      <c r="AY322" s="5" t="s">
        <v>74</v>
      </c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 t="s">
        <v>74</v>
      </c>
      <c r="BQ322" s="5" t="s">
        <v>74</v>
      </c>
      <c r="BR322" s="5" t="s">
        <v>74</v>
      </c>
      <c r="BS322" s="5"/>
      <c r="BT322" s="5" t="s">
        <v>74</v>
      </c>
      <c r="BU322" s="6" t="s">
        <v>51</v>
      </c>
      <c r="BV322" s="5" t="s">
        <v>74</v>
      </c>
      <c r="BW322" s="5"/>
      <c r="BX322" s="5" t="s">
        <v>74</v>
      </c>
      <c r="BY322" s="5"/>
      <c r="BZ322" s="5"/>
      <c r="CA322" s="10" t="s">
        <v>74</v>
      </c>
      <c r="CB322" s="5" t="s">
        <v>74</v>
      </c>
      <c r="CC322" s="5" t="s">
        <v>74</v>
      </c>
      <c r="CD322" s="5" t="s">
        <v>74</v>
      </c>
      <c r="CE322" s="5" t="s">
        <v>74</v>
      </c>
      <c r="CF322" s="8"/>
      <c r="CG322" s="5"/>
      <c r="CH322" s="5" t="s">
        <v>74</v>
      </c>
      <c r="CI322" s="5" t="s">
        <v>74</v>
      </c>
      <c r="CJ322" s="8" t="s">
        <v>74</v>
      </c>
      <c r="CK322" s="5"/>
      <c r="CL322" s="5" t="s">
        <v>74</v>
      </c>
      <c r="CM322" s="5" t="s">
        <v>74</v>
      </c>
      <c r="CN322" s="5" t="s">
        <v>74</v>
      </c>
      <c r="CO322" s="5"/>
      <c r="CP322" s="5" t="s">
        <v>74</v>
      </c>
    </row>
    <row r="323" spans="1:94" ht="25.25" customHeight="1">
      <c r="A323" s="5">
        <v>322</v>
      </c>
      <c r="B323" s="9" t="s">
        <v>400</v>
      </c>
      <c r="C323" s="9">
        <v>2024202873</v>
      </c>
      <c r="D323" s="5" t="s">
        <v>393</v>
      </c>
      <c r="E323" s="5">
        <f>SUM(G323:$XET323)</f>
        <v>14</v>
      </c>
      <c r="F323" s="5">
        <f>COUNT(G323:$XFD323)</f>
        <v>3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 t="s">
        <v>74</v>
      </c>
      <c r="AC323" s="5" t="s">
        <v>74</v>
      </c>
      <c r="AD323" s="5"/>
      <c r="AE323" s="5"/>
      <c r="AF323" s="5"/>
      <c r="AG323" s="5">
        <v>7</v>
      </c>
      <c r="AH323" s="5" t="s">
        <v>74</v>
      </c>
      <c r="AI323" s="5" t="s">
        <v>74</v>
      </c>
      <c r="AJ323" s="5" t="s">
        <v>74</v>
      </c>
      <c r="AK323" s="5">
        <v>4</v>
      </c>
      <c r="AL323" s="5"/>
      <c r="AM323" s="5"/>
      <c r="AN323" s="5"/>
      <c r="AO323" s="5"/>
      <c r="AP323" s="5"/>
      <c r="AQ323" s="5"/>
      <c r="AR323" s="5" t="s">
        <v>74</v>
      </c>
      <c r="AS323" s="5" t="s">
        <v>74</v>
      </c>
      <c r="AT323" s="5" t="s">
        <v>74</v>
      </c>
      <c r="AU323" s="5" t="s">
        <v>74</v>
      </c>
      <c r="AV323" s="5" t="s">
        <v>74</v>
      </c>
      <c r="AW323" s="5" t="s">
        <v>74</v>
      </c>
      <c r="AX323" s="5">
        <v>3</v>
      </c>
      <c r="AY323" s="5" t="s">
        <v>74</v>
      </c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 t="s">
        <v>74</v>
      </c>
      <c r="BQ323" s="5" t="s">
        <v>74</v>
      </c>
      <c r="BR323" s="5" t="s">
        <v>74</v>
      </c>
      <c r="BS323" s="5"/>
      <c r="BT323" s="5" t="s">
        <v>74</v>
      </c>
      <c r="BU323" s="6" t="s">
        <v>51</v>
      </c>
      <c r="BV323" s="5" t="s">
        <v>74</v>
      </c>
      <c r="BW323" s="5"/>
      <c r="BX323" s="5" t="s">
        <v>74</v>
      </c>
      <c r="BY323" s="5"/>
      <c r="BZ323" s="5"/>
      <c r="CA323" s="10" t="s">
        <v>74</v>
      </c>
      <c r="CB323" s="5" t="s">
        <v>74</v>
      </c>
      <c r="CC323" s="5" t="s">
        <v>74</v>
      </c>
      <c r="CD323" s="5" t="s">
        <v>74</v>
      </c>
      <c r="CE323" s="5" t="s">
        <v>74</v>
      </c>
      <c r="CF323" s="8"/>
      <c r="CG323" s="5"/>
      <c r="CH323" s="5" t="s">
        <v>74</v>
      </c>
      <c r="CI323" s="5" t="s">
        <v>74</v>
      </c>
      <c r="CJ323" s="8" t="s">
        <v>74</v>
      </c>
      <c r="CK323" s="5"/>
      <c r="CL323" s="5" t="s">
        <v>74</v>
      </c>
      <c r="CM323" s="5" t="s">
        <v>74</v>
      </c>
      <c r="CN323" s="5" t="s">
        <v>74</v>
      </c>
      <c r="CO323" s="5"/>
      <c r="CP323" s="5" t="s">
        <v>74</v>
      </c>
    </row>
    <row r="324" spans="1:94" ht="25.25" customHeight="1">
      <c r="A324" s="5">
        <v>323</v>
      </c>
      <c r="B324" s="9" t="s">
        <v>401</v>
      </c>
      <c r="C324" s="9">
        <v>2024201966</v>
      </c>
      <c r="D324" s="5" t="s">
        <v>393</v>
      </c>
      <c r="E324" s="5">
        <f>SUM(G324:$XET324)</f>
        <v>36</v>
      </c>
      <c r="F324" s="5">
        <f>COUNT(G324:$XFD324)</f>
        <v>9</v>
      </c>
      <c r="G324" s="5"/>
      <c r="H324" s="5"/>
      <c r="I324" s="5"/>
      <c r="J324" s="5"/>
      <c r="K324" s="5">
        <v>16</v>
      </c>
      <c r="L324" s="5"/>
      <c r="M324" s="5"/>
      <c r="N324" s="5"/>
      <c r="O324" s="5"/>
      <c r="P324" s="5"/>
      <c r="Q324" s="5">
        <v>4</v>
      </c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 t="s">
        <v>74</v>
      </c>
      <c r="AC324" s="5">
        <v>2</v>
      </c>
      <c r="AD324" s="5"/>
      <c r="AE324" s="5"/>
      <c r="AF324" s="5"/>
      <c r="AG324" s="5" t="s">
        <v>74</v>
      </c>
      <c r="AH324" s="5" t="s">
        <v>74</v>
      </c>
      <c r="AI324" s="5" t="s">
        <v>74</v>
      </c>
      <c r="AJ324" s="5">
        <v>2</v>
      </c>
      <c r="AK324" s="5">
        <v>4</v>
      </c>
      <c r="AL324" s="5"/>
      <c r="AM324" s="5"/>
      <c r="AN324" s="5"/>
      <c r="AO324" s="5"/>
      <c r="AP324" s="5"/>
      <c r="AQ324" s="5"/>
      <c r="AR324" s="5" t="s">
        <v>74</v>
      </c>
      <c r="AS324" s="5" t="s">
        <v>74</v>
      </c>
      <c r="AT324" s="5" t="s">
        <v>74</v>
      </c>
      <c r="AU324" s="5" t="s">
        <v>74</v>
      </c>
      <c r="AV324" s="5" t="s">
        <v>74</v>
      </c>
      <c r="AW324" s="5" t="s">
        <v>74</v>
      </c>
      <c r="AX324" s="5" t="s">
        <v>74</v>
      </c>
      <c r="AY324" s="5">
        <v>8</v>
      </c>
      <c r="AZ324" s="5">
        <v>0</v>
      </c>
      <c r="BA324" s="5">
        <v>0</v>
      </c>
      <c r="BB324" s="5">
        <v>0</v>
      </c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 t="s">
        <v>74</v>
      </c>
      <c r="BQ324" s="5" t="s">
        <v>74</v>
      </c>
      <c r="BR324" s="5" t="s">
        <v>74</v>
      </c>
      <c r="BS324" s="5"/>
      <c r="BT324" s="5" t="s">
        <v>74</v>
      </c>
      <c r="BU324" s="6" t="s">
        <v>51</v>
      </c>
      <c r="BV324" s="5" t="s">
        <v>74</v>
      </c>
      <c r="BW324" s="5"/>
      <c r="BX324" s="5" t="s">
        <v>74</v>
      </c>
      <c r="BY324" s="5"/>
      <c r="BZ324" s="5"/>
      <c r="CA324" s="10" t="s">
        <v>74</v>
      </c>
      <c r="CB324" s="5" t="s">
        <v>74</v>
      </c>
      <c r="CC324" s="5" t="s">
        <v>74</v>
      </c>
      <c r="CD324" s="5" t="s">
        <v>74</v>
      </c>
      <c r="CE324" s="5" t="s">
        <v>74</v>
      </c>
      <c r="CF324" s="8"/>
      <c r="CG324" s="5"/>
      <c r="CH324" s="5" t="s">
        <v>74</v>
      </c>
      <c r="CI324" s="5" t="s">
        <v>74</v>
      </c>
      <c r="CJ324" s="8" t="s">
        <v>74</v>
      </c>
      <c r="CK324" s="5"/>
      <c r="CL324" s="5" t="s">
        <v>74</v>
      </c>
      <c r="CM324" s="5" t="s">
        <v>74</v>
      </c>
      <c r="CN324" s="5" t="s">
        <v>74</v>
      </c>
      <c r="CO324" s="5"/>
      <c r="CP324" s="5" t="s">
        <v>74</v>
      </c>
    </row>
    <row r="325" spans="1:94" ht="25.25" customHeight="1">
      <c r="A325" s="5">
        <v>324</v>
      </c>
      <c r="B325" s="9" t="s">
        <v>402</v>
      </c>
      <c r="C325" s="9">
        <v>2024201991</v>
      </c>
      <c r="D325" s="5" t="s">
        <v>393</v>
      </c>
      <c r="E325" s="5">
        <f>SUM(G325:$XET325)</f>
        <v>73</v>
      </c>
      <c r="F325" s="5">
        <f>COUNT(G325:$XFD325)</f>
        <v>12</v>
      </c>
      <c r="G325" s="5"/>
      <c r="H325" s="5"/>
      <c r="I325" s="5"/>
      <c r="J325" s="5"/>
      <c r="K325" s="5">
        <v>10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>
        <v>18</v>
      </c>
      <c r="Y325" s="5"/>
      <c r="Z325" s="5"/>
      <c r="AA325" s="5"/>
      <c r="AB325" s="5" t="s">
        <v>74</v>
      </c>
      <c r="AC325" s="5">
        <v>2</v>
      </c>
      <c r="AD325" s="5"/>
      <c r="AE325" s="5"/>
      <c r="AF325" s="5"/>
      <c r="AG325" s="5" t="s">
        <v>74</v>
      </c>
      <c r="AH325" s="5" t="s">
        <v>74</v>
      </c>
      <c r="AI325" s="5" t="s">
        <v>74</v>
      </c>
      <c r="AJ325" s="5" t="s">
        <v>74</v>
      </c>
      <c r="AK325" s="5">
        <v>4</v>
      </c>
      <c r="AL325" s="5"/>
      <c r="AM325" s="5"/>
      <c r="AN325" s="5"/>
      <c r="AO325" s="5"/>
      <c r="AP325" s="5"/>
      <c r="AQ325" s="5"/>
      <c r="AR325" s="5" t="s">
        <v>74</v>
      </c>
      <c r="AS325" s="5" t="s">
        <v>74</v>
      </c>
      <c r="AT325" s="5" t="s">
        <v>74</v>
      </c>
      <c r="AU325" s="5" t="s">
        <v>74</v>
      </c>
      <c r="AV325" s="5" t="s">
        <v>74</v>
      </c>
      <c r="AW325" s="5" t="s">
        <v>74</v>
      </c>
      <c r="AX325" s="5" t="s">
        <v>74</v>
      </c>
      <c r="AY325" s="5" t="s">
        <v>74</v>
      </c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 t="s">
        <v>74</v>
      </c>
      <c r="BQ325" s="5" t="s">
        <v>74</v>
      </c>
      <c r="BR325" s="5" t="s">
        <v>74</v>
      </c>
      <c r="BS325" s="5"/>
      <c r="BT325" s="5" t="s">
        <v>74</v>
      </c>
      <c r="BU325" s="6" t="s">
        <v>51</v>
      </c>
      <c r="BV325" s="5">
        <v>1</v>
      </c>
      <c r="BW325" s="5"/>
      <c r="BX325" s="5" t="s">
        <v>74</v>
      </c>
      <c r="BY325" s="5">
        <v>4</v>
      </c>
      <c r="BZ325" s="5"/>
      <c r="CA325" s="10">
        <v>4</v>
      </c>
      <c r="CB325" s="5">
        <v>3</v>
      </c>
      <c r="CC325" s="5">
        <v>5</v>
      </c>
      <c r="CD325" s="5" t="s">
        <v>74</v>
      </c>
      <c r="CE325" s="5">
        <v>2</v>
      </c>
      <c r="CF325" s="8"/>
      <c r="CG325" s="5"/>
      <c r="CH325" s="5" t="s">
        <v>74</v>
      </c>
      <c r="CI325" s="5">
        <v>16</v>
      </c>
      <c r="CJ325" s="8" t="s">
        <v>74</v>
      </c>
      <c r="CK325" s="5"/>
      <c r="CL325" s="5">
        <v>4</v>
      </c>
      <c r="CM325" s="5" t="s">
        <v>74</v>
      </c>
      <c r="CN325" s="5" t="s">
        <v>74</v>
      </c>
      <c r="CO325" s="5"/>
      <c r="CP325" s="5" t="s">
        <v>74</v>
      </c>
    </row>
    <row r="326" spans="1:94" ht="25.25" customHeight="1">
      <c r="A326" s="5">
        <v>325</v>
      </c>
      <c r="B326" s="9" t="s">
        <v>403</v>
      </c>
      <c r="C326" s="9">
        <v>2024201998</v>
      </c>
      <c r="D326" s="5" t="s">
        <v>393</v>
      </c>
      <c r="E326" s="5">
        <f>SUM(G326:$XET326)</f>
        <v>33</v>
      </c>
      <c r="F326" s="5">
        <f>COUNT(G326:$XFD326)</f>
        <v>7</v>
      </c>
      <c r="G326" s="5"/>
      <c r="H326" s="5"/>
      <c r="I326" s="5"/>
      <c r="J326" s="5"/>
      <c r="K326" s="5">
        <v>10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 t="s">
        <v>74</v>
      </c>
      <c r="AC326" s="5">
        <v>1.5</v>
      </c>
      <c r="AD326" s="5"/>
      <c r="AE326" s="5"/>
      <c r="AF326" s="5"/>
      <c r="AG326" s="5">
        <v>0.5</v>
      </c>
      <c r="AH326" s="5" t="s">
        <v>74</v>
      </c>
      <c r="AI326" s="5" t="s">
        <v>74</v>
      </c>
      <c r="AJ326" s="5">
        <v>2</v>
      </c>
      <c r="AK326" s="5">
        <v>4</v>
      </c>
      <c r="AL326" s="5"/>
      <c r="AM326" s="5"/>
      <c r="AN326" s="5"/>
      <c r="AO326" s="5"/>
      <c r="AP326" s="5"/>
      <c r="AQ326" s="5"/>
      <c r="AR326" s="5" t="s">
        <v>74</v>
      </c>
      <c r="AS326" s="5">
        <v>12</v>
      </c>
      <c r="AT326" s="5" t="s">
        <v>74</v>
      </c>
      <c r="AU326" s="5" t="s">
        <v>74</v>
      </c>
      <c r="AV326" s="5" t="s">
        <v>74</v>
      </c>
      <c r="AW326" s="5" t="s">
        <v>74</v>
      </c>
      <c r="AX326" s="5">
        <v>3</v>
      </c>
      <c r="AY326" s="5" t="s">
        <v>74</v>
      </c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 t="s">
        <v>74</v>
      </c>
      <c r="BQ326" s="5" t="s">
        <v>74</v>
      </c>
      <c r="BR326" s="5" t="s">
        <v>74</v>
      </c>
      <c r="BS326" s="5"/>
      <c r="BT326" s="5" t="s">
        <v>74</v>
      </c>
      <c r="BU326" s="6" t="s">
        <v>51</v>
      </c>
      <c r="BV326" s="5" t="s">
        <v>74</v>
      </c>
      <c r="BW326" s="5"/>
      <c r="BX326" s="5" t="s">
        <v>74</v>
      </c>
      <c r="BY326" s="5"/>
      <c r="BZ326" s="5"/>
      <c r="CA326" s="10" t="s">
        <v>74</v>
      </c>
      <c r="CB326" s="5" t="s">
        <v>74</v>
      </c>
      <c r="CC326" s="5" t="s">
        <v>74</v>
      </c>
      <c r="CD326" s="5" t="s">
        <v>74</v>
      </c>
      <c r="CE326" s="5" t="s">
        <v>74</v>
      </c>
      <c r="CF326" s="8"/>
      <c r="CG326" s="5"/>
      <c r="CH326" s="5" t="s">
        <v>74</v>
      </c>
      <c r="CI326" s="5" t="s">
        <v>74</v>
      </c>
      <c r="CJ326" s="8" t="s">
        <v>74</v>
      </c>
      <c r="CK326" s="5"/>
      <c r="CL326" s="5" t="s">
        <v>74</v>
      </c>
      <c r="CM326" s="5" t="s">
        <v>74</v>
      </c>
      <c r="CN326" s="5" t="s">
        <v>74</v>
      </c>
      <c r="CO326" s="5"/>
      <c r="CP326" s="5" t="s">
        <v>74</v>
      </c>
    </row>
    <row r="327" spans="1:94" ht="25.25" customHeight="1">
      <c r="A327" s="5">
        <v>326</v>
      </c>
      <c r="B327" s="9" t="s">
        <v>404</v>
      </c>
      <c r="C327" s="9">
        <v>2024202000</v>
      </c>
      <c r="D327" s="5" t="s">
        <v>393</v>
      </c>
      <c r="E327" s="5">
        <f>SUM(G327:$XET327)</f>
        <v>13.5</v>
      </c>
      <c r="F327" s="5">
        <f>COUNT(G327:$XFD327)</f>
        <v>5</v>
      </c>
      <c r="G327" s="5"/>
      <c r="H327" s="5"/>
      <c r="I327" s="5"/>
      <c r="J327" s="5"/>
      <c r="K327" s="5"/>
      <c r="L327" s="5"/>
      <c r="M327" s="5"/>
      <c r="N327" s="5">
        <v>2.5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>
        <v>4</v>
      </c>
      <c r="AB327" s="5" t="s">
        <v>74</v>
      </c>
      <c r="AC327" s="5" t="s">
        <v>74</v>
      </c>
      <c r="AD327" s="5"/>
      <c r="AE327" s="5"/>
      <c r="AF327" s="5"/>
      <c r="AG327" s="5" t="s">
        <v>74</v>
      </c>
      <c r="AH327" s="5" t="s">
        <v>74</v>
      </c>
      <c r="AI327" s="5" t="s">
        <v>74</v>
      </c>
      <c r="AJ327" s="5">
        <v>2</v>
      </c>
      <c r="AK327" s="5">
        <v>4</v>
      </c>
      <c r="AL327" s="5"/>
      <c r="AM327" s="5"/>
      <c r="AN327" s="5"/>
      <c r="AO327" s="5"/>
      <c r="AP327" s="5"/>
      <c r="AQ327" s="5"/>
      <c r="AR327" s="5" t="s">
        <v>74</v>
      </c>
      <c r="AS327" s="5" t="s">
        <v>74</v>
      </c>
      <c r="AT327" s="5" t="s">
        <v>74</v>
      </c>
      <c r="AU327" s="5" t="s">
        <v>74</v>
      </c>
      <c r="AV327" s="5" t="s">
        <v>74</v>
      </c>
      <c r="AW327" s="5" t="s">
        <v>74</v>
      </c>
      <c r="AX327" s="5" t="s">
        <v>74</v>
      </c>
      <c r="AY327" s="5" t="s">
        <v>74</v>
      </c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 t="s">
        <v>74</v>
      </c>
      <c r="BQ327" s="5" t="s">
        <v>74</v>
      </c>
      <c r="BR327" s="5" t="s">
        <v>74</v>
      </c>
      <c r="BS327" s="5"/>
      <c r="BT327" s="5" t="s">
        <v>74</v>
      </c>
      <c r="BU327" s="6" t="s">
        <v>51</v>
      </c>
      <c r="BV327" s="5">
        <v>1</v>
      </c>
      <c r="BW327" s="5"/>
      <c r="BX327" s="5" t="s">
        <v>74</v>
      </c>
      <c r="BY327" s="5"/>
      <c r="BZ327" s="5"/>
      <c r="CA327" s="10" t="s">
        <v>74</v>
      </c>
      <c r="CB327" s="5" t="s">
        <v>74</v>
      </c>
      <c r="CC327" s="5" t="s">
        <v>74</v>
      </c>
      <c r="CD327" s="5" t="s">
        <v>74</v>
      </c>
      <c r="CE327" s="5" t="s">
        <v>74</v>
      </c>
      <c r="CF327" s="8"/>
      <c r="CG327" s="5"/>
      <c r="CH327" s="5" t="s">
        <v>74</v>
      </c>
      <c r="CI327" s="5" t="s">
        <v>74</v>
      </c>
      <c r="CJ327" s="8" t="s">
        <v>74</v>
      </c>
      <c r="CK327" s="5"/>
      <c r="CL327" s="5" t="s">
        <v>74</v>
      </c>
      <c r="CM327" s="5" t="s">
        <v>74</v>
      </c>
      <c r="CN327" s="5" t="s">
        <v>74</v>
      </c>
      <c r="CO327" s="5"/>
      <c r="CP327" s="5" t="s">
        <v>74</v>
      </c>
    </row>
    <row r="328" spans="1:94" ht="25.25" customHeight="1">
      <c r="A328" s="5">
        <v>327</v>
      </c>
      <c r="B328" s="9" t="s">
        <v>405</v>
      </c>
      <c r="C328" s="9">
        <v>2024202025</v>
      </c>
      <c r="D328" s="5" t="s">
        <v>393</v>
      </c>
      <c r="E328" s="5">
        <f>SUM(G328:$XET328)</f>
        <v>6</v>
      </c>
      <c r="F328" s="5">
        <f>COUNT(G328:$XFD328)</f>
        <v>2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 t="s">
        <v>74</v>
      </c>
      <c r="AC328" s="5" t="s">
        <v>74</v>
      </c>
      <c r="AD328" s="5"/>
      <c r="AE328" s="5"/>
      <c r="AF328" s="5"/>
      <c r="AG328" s="5" t="s">
        <v>74</v>
      </c>
      <c r="AH328" s="5" t="s">
        <v>74</v>
      </c>
      <c r="AI328" s="5" t="s">
        <v>74</v>
      </c>
      <c r="AJ328" s="5">
        <v>2</v>
      </c>
      <c r="AK328" s="5">
        <v>4</v>
      </c>
      <c r="AL328" s="5"/>
      <c r="AM328" s="5"/>
      <c r="AN328" s="5"/>
      <c r="AO328" s="5"/>
      <c r="AP328" s="5"/>
      <c r="AQ328" s="5"/>
      <c r="AR328" s="5" t="s">
        <v>74</v>
      </c>
      <c r="AS328" s="5" t="s">
        <v>74</v>
      </c>
      <c r="AT328" s="5" t="s">
        <v>74</v>
      </c>
      <c r="AU328" s="5" t="s">
        <v>74</v>
      </c>
      <c r="AV328" s="5" t="s">
        <v>74</v>
      </c>
      <c r="AW328" s="5" t="s">
        <v>74</v>
      </c>
      <c r="AX328" s="5" t="s">
        <v>74</v>
      </c>
      <c r="AY328" s="5" t="s">
        <v>74</v>
      </c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 t="s">
        <v>74</v>
      </c>
      <c r="BQ328" s="5" t="s">
        <v>74</v>
      </c>
      <c r="BR328" s="5" t="s">
        <v>74</v>
      </c>
      <c r="BS328" s="5"/>
      <c r="BT328" s="5" t="s">
        <v>74</v>
      </c>
      <c r="BU328" s="6" t="s">
        <v>51</v>
      </c>
      <c r="BV328" s="5" t="s">
        <v>74</v>
      </c>
      <c r="BW328" s="5"/>
      <c r="BX328" s="5" t="s">
        <v>74</v>
      </c>
      <c r="BY328" s="5"/>
      <c r="BZ328" s="5"/>
      <c r="CA328" s="10" t="s">
        <v>74</v>
      </c>
      <c r="CB328" s="5" t="s">
        <v>74</v>
      </c>
      <c r="CC328" s="5" t="s">
        <v>74</v>
      </c>
      <c r="CD328" s="5" t="s">
        <v>74</v>
      </c>
      <c r="CE328" s="5" t="s">
        <v>74</v>
      </c>
      <c r="CF328" s="8"/>
      <c r="CG328" s="5"/>
      <c r="CH328" s="5" t="s">
        <v>74</v>
      </c>
      <c r="CI328" s="5" t="s">
        <v>74</v>
      </c>
      <c r="CJ328" s="8" t="s">
        <v>74</v>
      </c>
      <c r="CK328" s="5"/>
      <c r="CL328" s="5" t="s">
        <v>74</v>
      </c>
      <c r="CM328" s="5" t="s">
        <v>74</v>
      </c>
      <c r="CN328" s="5" t="s">
        <v>74</v>
      </c>
      <c r="CO328" s="5"/>
      <c r="CP328" s="5" t="s">
        <v>74</v>
      </c>
    </row>
    <row r="329" spans="1:94" ht="25.25" customHeight="1">
      <c r="A329" s="5">
        <v>328</v>
      </c>
      <c r="B329" s="9" t="s">
        <v>406</v>
      </c>
      <c r="C329" s="9">
        <v>2024202047</v>
      </c>
      <c r="D329" s="5" t="s">
        <v>393</v>
      </c>
      <c r="E329" s="5">
        <f>SUM(G329:$XET329)</f>
        <v>5</v>
      </c>
      <c r="F329" s="5">
        <f>COUNT(G329:$XFD329)</f>
        <v>2</v>
      </c>
      <c r="G329" s="5"/>
      <c r="H329" s="5"/>
      <c r="I329" s="5"/>
      <c r="J329" s="5"/>
      <c r="K329" s="5"/>
      <c r="L329" s="5"/>
      <c r="M329" s="5"/>
      <c r="N329" s="5">
        <v>1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 t="s">
        <v>74</v>
      </c>
      <c r="AC329" s="5" t="s">
        <v>74</v>
      </c>
      <c r="AD329" s="5"/>
      <c r="AE329" s="5"/>
      <c r="AF329" s="5"/>
      <c r="AG329" s="5" t="s">
        <v>74</v>
      </c>
      <c r="AH329" s="5" t="s">
        <v>74</v>
      </c>
      <c r="AI329" s="5" t="s">
        <v>74</v>
      </c>
      <c r="AJ329" s="5" t="s">
        <v>74</v>
      </c>
      <c r="AK329" s="5" t="s">
        <v>74</v>
      </c>
      <c r="AL329" s="5"/>
      <c r="AM329" s="5"/>
      <c r="AN329" s="5"/>
      <c r="AO329" s="5"/>
      <c r="AP329" s="5"/>
      <c r="AQ329" s="5"/>
      <c r="AR329" s="5" t="s">
        <v>74</v>
      </c>
      <c r="AS329" s="5" t="s">
        <v>74</v>
      </c>
      <c r="AT329" s="5" t="s">
        <v>74</v>
      </c>
      <c r="AU329" s="5" t="s">
        <v>74</v>
      </c>
      <c r="AV329" s="5" t="s">
        <v>74</v>
      </c>
      <c r="AW329" s="5" t="s">
        <v>74</v>
      </c>
      <c r="AX329" s="5" t="s">
        <v>74</v>
      </c>
      <c r="AY329" s="5" t="s">
        <v>74</v>
      </c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 t="s">
        <v>74</v>
      </c>
      <c r="BQ329" s="5" t="s">
        <v>74</v>
      </c>
      <c r="BR329" s="5" t="s">
        <v>74</v>
      </c>
      <c r="BS329" s="5"/>
      <c r="BT329" s="5" t="s">
        <v>74</v>
      </c>
      <c r="BU329" s="6" t="s">
        <v>51</v>
      </c>
      <c r="BV329" s="5" t="s">
        <v>74</v>
      </c>
      <c r="BW329" s="5"/>
      <c r="BX329" s="5" t="s">
        <v>74</v>
      </c>
      <c r="BY329" s="5"/>
      <c r="BZ329" s="5"/>
      <c r="CA329" s="10">
        <v>4</v>
      </c>
      <c r="CB329" s="5" t="s">
        <v>74</v>
      </c>
      <c r="CC329" s="5" t="s">
        <v>74</v>
      </c>
      <c r="CD329" s="5" t="s">
        <v>74</v>
      </c>
      <c r="CE329" s="5" t="s">
        <v>74</v>
      </c>
      <c r="CF329" s="8"/>
      <c r="CG329" s="5"/>
      <c r="CH329" s="5" t="s">
        <v>74</v>
      </c>
      <c r="CI329" s="5" t="s">
        <v>74</v>
      </c>
      <c r="CJ329" s="8" t="s">
        <v>74</v>
      </c>
      <c r="CK329" s="5"/>
      <c r="CL329" s="5" t="s">
        <v>74</v>
      </c>
      <c r="CM329" s="5" t="s">
        <v>74</v>
      </c>
      <c r="CN329" s="5" t="s">
        <v>74</v>
      </c>
      <c r="CO329" s="5"/>
      <c r="CP329" s="5" t="s">
        <v>74</v>
      </c>
    </row>
    <row r="330" spans="1:94" ht="25.25" customHeight="1">
      <c r="A330" s="5">
        <v>329</v>
      </c>
      <c r="B330" s="9" t="s">
        <v>407</v>
      </c>
      <c r="C330" s="9">
        <v>2024202066</v>
      </c>
      <c r="D330" s="5" t="s">
        <v>393</v>
      </c>
      <c r="E330" s="5">
        <f>SUM(G330:$XET330)</f>
        <v>0</v>
      </c>
      <c r="F330" s="5">
        <f>COUNT(G330:$XFD330)</f>
        <v>0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 t="s">
        <v>74</v>
      </c>
      <c r="AC330" s="5" t="s">
        <v>74</v>
      </c>
      <c r="AD330" s="5"/>
      <c r="AE330" s="5"/>
      <c r="AF330" s="5"/>
      <c r="AG330" s="5" t="s">
        <v>74</v>
      </c>
      <c r="AH330" s="5" t="s">
        <v>74</v>
      </c>
      <c r="AI330" s="5" t="s">
        <v>74</v>
      </c>
      <c r="AJ330" s="5" t="s">
        <v>74</v>
      </c>
      <c r="AK330" s="5" t="s">
        <v>74</v>
      </c>
      <c r="AL330" s="5"/>
      <c r="AM330" s="5"/>
      <c r="AN330" s="5"/>
      <c r="AO330" s="5"/>
      <c r="AP330" s="5"/>
      <c r="AQ330" s="5"/>
      <c r="AR330" s="5" t="s">
        <v>74</v>
      </c>
      <c r="AS330" s="5" t="s">
        <v>74</v>
      </c>
      <c r="AT330" s="5" t="s">
        <v>74</v>
      </c>
      <c r="AU330" s="5" t="s">
        <v>74</v>
      </c>
      <c r="AV330" s="5" t="s">
        <v>74</v>
      </c>
      <c r="AW330" s="5" t="s">
        <v>74</v>
      </c>
      <c r="AX330" s="5" t="s">
        <v>74</v>
      </c>
      <c r="AY330" s="5" t="s">
        <v>74</v>
      </c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 t="s">
        <v>74</v>
      </c>
      <c r="BQ330" s="5" t="s">
        <v>74</v>
      </c>
      <c r="BR330" s="5" t="s">
        <v>74</v>
      </c>
      <c r="BS330" s="5"/>
      <c r="BT330" s="5" t="s">
        <v>74</v>
      </c>
      <c r="BU330" s="6" t="s">
        <v>51</v>
      </c>
      <c r="BV330" s="5" t="s">
        <v>74</v>
      </c>
      <c r="BW330" s="5"/>
      <c r="BX330" s="5" t="s">
        <v>74</v>
      </c>
      <c r="BY330" s="5"/>
      <c r="BZ330" s="5"/>
      <c r="CA330" s="10" t="s">
        <v>74</v>
      </c>
      <c r="CB330" s="5" t="s">
        <v>74</v>
      </c>
      <c r="CC330" s="5" t="s">
        <v>74</v>
      </c>
      <c r="CD330" s="5" t="s">
        <v>74</v>
      </c>
      <c r="CE330" s="5" t="s">
        <v>74</v>
      </c>
      <c r="CF330" s="8"/>
      <c r="CG330" s="5"/>
      <c r="CH330" s="5" t="s">
        <v>74</v>
      </c>
      <c r="CI330" s="5" t="s">
        <v>74</v>
      </c>
      <c r="CJ330" s="8" t="s">
        <v>74</v>
      </c>
      <c r="CK330" s="5"/>
      <c r="CL330" s="5" t="s">
        <v>74</v>
      </c>
      <c r="CM330" s="5" t="s">
        <v>74</v>
      </c>
      <c r="CN330" s="5" t="s">
        <v>74</v>
      </c>
      <c r="CO330" s="5"/>
      <c r="CP330" s="5" t="s">
        <v>74</v>
      </c>
    </row>
    <row r="331" spans="1:94" ht="25.25" customHeight="1">
      <c r="A331" s="5">
        <v>330</v>
      </c>
      <c r="B331" s="9" t="s">
        <v>408</v>
      </c>
      <c r="C331" s="9">
        <v>2024202100</v>
      </c>
      <c r="D331" s="5" t="s">
        <v>393</v>
      </c>
      <c r="E331" s="5">
        <f>SUM(G331:$XET331)</f>
        <v>50</v>
      </c>
      <c r="F331" s="5">
        <f>COUNT(G331:$XFD331)</f>
        <v>4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>
        <v>26</v>
      </c>
      <c r="Y331" s="5"/>
      <c r="Z331" s="5"/>
      <c r="AA331" s="5"/>
      <c r="AB331" s="5" t="s">
        <v>74</v>
      </c>
      <c r="AC331" s="5" t="s">
        <v>74</v>
      </c>
      <c r="AD331" s="5"/>
      <c r="AE331" s="5"/>
      <c r="AF331" s="5"/>
      <c r="AG331" s="5" t="s">
        <v>74</v>
      </c>
      <c r="AH331" s="5" t="s">
        <v>74</v>
      </c>
      <c r="AI331" s="5" t="s">
        <v>74</v>
      </c>
      <c r="AJ331" s="5">
        <v>2</v>
      </c>
      <c r="AK331" s="5">
        <v>4</v>
      </c>
      <c r="AL331" s="5"/>
      <c r="AM331" s="5"/>
      <c r="AN331" s="5"/>
      <c r="AO331" s="5"/>
      <c r="AP331" s="5"/>
      <c r="AQ331" s="5"/>
      <c r="AR331" s="5" t="s">
        <v>74</v>
      </c>
      <c r="AS331" s="5" t="s">
        <v>74</v>
      </c>
      <c r="AT331" s="5" t="s">
        <v>74</v>
      </c>
      <c r="AU331" s="5" t="s">
        <v>74</v>
      </c>
      <c r="AV331" s="5" t="s">
        <v>74</v>
      </c>
      <c r="AW331" s="5" t="s">
        <v>74</v>
      </c>
      <c r="AX331" s="5" t="s">
        <v>74</v>
      </c>
      <c r="AY331" s="5" t="s">
        <v>74</v>
      </c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 t="s">
        <v>74</v>
      </c>
      <c r="BQ331" s="5" t="s">
        <v>74</v>
      </c>
      <c r="BR331" s="5">
        <v>18</v>
      </c>
      <c r="BS331" s="5"/>
      <c r="BT331" s="5" t="s">
        <v>74</v>
      </c>
      <c r="BU331" s="6" t="s">
        <v>51</v>
      </c>
      <c r="BV331" s="5" t="s">
        <v>74</v>
      </c>
      <c r="BW331" s="5"/>
      <c r="BX331" s="5" t="s">
        <v>74</v>
      </c>
      <c r="BY331" s="5"/>
      <c r="BZ331" s="5"/>
      <c r="CA331" s="10" t="s">
        <v>74</v>
      </c>
      <c r="CB331" s="5" t="s">
        <v>74</v>
      </c>
      <c r="CC331" s="5" t="s">
        <v>74</v>
      </c>
      <c r="CD331" s="5" t="s">
        <v>74</v>
      </c>
      <c r="CE331" s="5" t="s">
        <v>74</v>
      </c>
      <c r="CF331" s="8"/>
      <c r="CG331" s="5"/>
      <c r="CH331" s="5" t="s">
        <v>74</v>
      </c>
      <c r="CI331" s="5" t="s">
        <v>74</v>
      </c>
      <c r="CJ331" s="8" t="s">
        <v>74</v>
      </c>
      <c r="CK331" s="5"/>
      <c r="CL331" s="5" t="s">
        <v>74</v>
      </c>
      <c r="CM331" s="5" t="s">
        <v>74</v>
      </c>
      <c r="CN331" s="5" t="s">
        <v>74</v>
      </c>
      <c r="CO331" s="5"/>
      <c r="CP331" s="5" t="s">
        <v>74</v>
      </c>
    </row>
    <row r="332" spans="1:94" ht="25.25" customHeight="1">
      <c r="A332" s="5">
        <v>331</v>
      </c>
      <c r="B332" s="9" t="s">
        <v>409</v>
      </c>
      <c r="C332" s="9">
        <v>2024202112</v>
      </c>
      <c r="D332" s="5" t="s">
        <v>393</v>
      </c>
      <c r="E332" s="5">
        <f>SUM(G332:$XET332)</f>
        <v>140.5</v>
      </c>
      <c r="F332" s="5">
        <f>COUNT(G332:$XFD332)</f>
        <v>12</v>
      </c>
      <c r="G332" s="5"/>
      <c r="H332" s="5"/>
      <c r="I332" s="5"/>
      <c r="J332" s="5"/>
      <c r="K332" s="5">
        <v>9</v>
      </c>
      <c r="L332" s="5">
        <v>14</v>
      </c>
      <c r="M332" s="5"/>
      <c r="N332" s="5"/>
      <c r="O332" s="5"/>
      <c r="P332" s="5"/>
      <c r="Q332" s="5"/>
      <c r="R332" s="5"/>
      <c r="S332" s="5"/>
      <c r="T332" s="5"/>
      <c r="U332" s="5"/>
      <c r="V332" s="5">
        <v>4</v>
      </c>
      <c r="W332" s="5"/>
      <c r="X332" s="5">
        <v>16</v>
      </c>
      <c r="Y332" s="5"/>
      <c r="Z332" s="5"/>
      <c r="AA332" s="5"/>
      <c r="AB332" s="5" t="s">
        <v>74</v>
      </c>
      <c r="AC332" s="5" t="s">
        <v>74</v>
      </c>
      <c r="AD332" s="5"/>
      <c r="AE332" s="5"/>
      <c r="AF332" s="5"/>
      <c r="AG332" s="5">
        <v>0.5</v>
      </c>
      <c r="AH332" s="5" t="s">
        <v>74</v>
      </c>
      <c r="AI332" s="5" t="s">
        <v>74</v>
      </c>
      <c r="AJ332" s="5">
        <v>2</v>
      </c>
      <c r="AK332" s="5">
        <v>4</v>
      </c>
      <c r="AL332" s="5"/>
      <c r="AM332" s="5"/>
      <c r="AN332" s="5"/>
      <c r="AO332" s="5"/>
      <c r="AP332" s="5"/>
      <c r="AQ332" s="5"/>
      <c r="AR332" s="5" t="s">
        <v>74</v>
      </c>
      <c r="AS332" s="5" t="s">
        <v>74</v>
      </c>
      <c r="AT332" s="5" t="s">
        <v>74</v>
      </c>
      <c r="AU332" s="5" t="s">
        <v>74</v>
      </c>
      <c r="AV332" s="5" t="s">
        <v>74</v>
      </c>
      <c r="AW332" s="5" t="s">
        <v>74</v>
      </c>
      <c r="AX332" s="5">
        <v>4</v>
      </c>
      <c r="AY332" s="5" t="s">
        <v>74</v>
      </c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 t="s">
        <v>74</v>
      </c>
      <c r="BQ332" s="5" t="s">
        <v>74</v>
      </c>
      <c r="BR332" s="5">
        <v>40</v>
      </c>
      <c r="BS332" s="5"/>
      <c r="BT332" s="5">
        <v>40</v>
      </c>
      <c r="BU332" s="6" t="s">
        <v>51</v>
      </c>
      <c r="BV332" s="5" t="s">
        <v>74</v>
      </c>
      <c r="BW332" s="5"/>
      <c r="BX332" s="5" t="s">
        <v>74</v>
      </c>
      <c r="BY332" s="5"/>
      <c r="BZ332" s="5"/>
      <c r="CA332" s="10" t="s">
        <v>74</v>
      </c>
      <c r="CB332" s="5">
        <v>3</v>
      </c>
      <c r="CC332" s="5" t="s">
        <v>74</v>
      </c>
      <c r="CD332" s="5" t="s">
        <v>74</v>
      </c>
      <c r="CE332" s="5" t="s">
        <v>74</v>
      </c>
      <c r="CF332" s="8"/>
      <c r="CG332" s="5"/>
      <c r="CH332" s="5" t="s">
        <v>74</v>
      </c>
      <c r="CI332" s="5" t="s">
        <v>74</v>
      </c>
      <c r="CJ332" s="8" t="s">
        <v>74</v>
      </c>
      <c r="CK332" s="5">
        <v>4</v>
      </c>
      <c r="CL332" s="5" t="s">
        <v>74</v>
      </c>
      <c r="CM332" s="5" t="s">
        <v>74</v>
      </c>
      <c r="CN332" s="5" t="s">
        <v>74</v>
      </c>
      <c r="CO332" s="5"/>
      <c r="CP332" s="5" t="s">
        <v>74</v>
      </c>
    </row>
    <row r="333" spans="1:94" ht="25.25" customHeight="1">
      <c r="A333" s="5">
        <v>332</v>
      </c>
      <c r="B333" s="9" t="s">
        <v>410</v>
      </c>
      <c r="C333" s="9">
        <v>2024202148</v>
      </c>
      <c r="D333" s="5" t="s">
        <v>393</v>
      </c>
      <c r="E333" s="5">
        <f>SUM(G333:$XET333)</f>
        <v>15.5</v>
      </c>
      <c r="F333" s="5">
        <f>COUNT(G333:$XFD333)</f>
        <v>3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>
        <v>6</v>
      </c>
      <c r="Y333" s="5"/>
      <c r="Z333" s="5"/>
      <c r="AA333" s="5"/>
      <c r="AB333" s="5" t="s">
        <v>74</v>
      </c>
      <c r="AC333" s="5" t="s">
        <v>74</v>
      </c>
      <c r="AD333" s="5"/>
      <c r="AE333" s="5"/>
      <c r="AF333" s="5"/>
      <c r="AG333" s="5">
        <v>5.5</v>
      </c>
      <c r="AH333" s="5" t="s">
        <v>74</v>
      </c>
      <c r="AI333" s="5" t="s">
        <v>74</v>
      </c>
      <c r="AJ333" s="5" t="s">
        <v>74</v>
      </c>
      <c r="AK333" s="5" t="s">
        <v>74</v>
      </c>
      <c r="AL333" s="5"/>
      <c r="AM333" s="5"/>
      <c r="AN333" s="5"/>
      <c r="AO333" s="5"/>
      <c r="AP333" s="5"/>
      <c r="AQ333" s="5"/>
      <c r="AR333" s="5" t="s">
        <v>74</v>
      </c>
      <c r="AS333" s="5" t="s">
        <v>74</v>
      </c>
      <c r="AT333" s="5" t="s">
        <v>74</v>
      </c>
      <c r="AU333" s="5" t="s">
        <v>74</v>
      </c>
      <c r="AV333" s="5" t="s">
        <v>74</v>
      </c>
      <c r="AW333" s="5" t="s">
        <v>74</v>
      </c>
      <c r="AX333" s="5">
        <v>4</v>
      </c>
      <c r="AY333" s="5" t="s">
        <v>74</v>
      </c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 t="s">
        <v>74</v>
      </c>
      <c r="BQ333" s="5" t="s">
        <v>74</v>
      </c>
      <c r="BR333" s="5" t="s">
        <v>74</v>
      </c>
      <c r="BS333" s="5"/>
      <c r="BT333" s="5" t="s">
        <v>74</v>
      </c>
      <c r="BU333" s="6" t="s">
        <v>51</v>
      </c>
      <c r="BV333" s="5" t="s">
        <v>74</v>
      </c>
      <c r="BW333" s="5"/>
      <c r="BX333" s="5" t="s">
        <v>74</v>
      </c>
      <c r="BY333" s="5"/>
      <c r="BZ333" s="5"/>
      <c r="CA333" s="10" t="s">
        <v>74</v>
      </c>
      <c r="CB333" s="5" t="s">
        <v>74</v>
      </c>
      <c r="CC333" s="5" t="s">
        <v>74</v>
      </c>
      <c r="CD333" s="5" t="s">
        <v>74</v>
      </c>
      <c r="CE333" s="5" t="s">
        <v>74</v>
      </c>
      <c r="CF333" s="8"/>
      <c r="CG333" s="5"/>
      <c r="CH333" s="5" t="s">
        <v>74</v>
      </c>
      <c r="CI333" s="5" t="s">
        <v>74</v>
      </c>
      <c r="CJ333" s="8" t="s">
        <v>74</v>
      </c>
      <c r="CK333" s="5"/>
      <c r="CL333" s="5" t="s">
        <v>74</v>
      </c>
      <c r="CM333" s="5" t="s">
        <v>74</v>
      </c>
      <c r="CN333" s="5" t="s">
        <v>74</v>
      </c>
      <c r="CO333" s="5"/>
      <c r="CP333" s="5" t="s">
        <v>74</v>
      </c>
    </row>
    <row r="334" spans="1:94" ht="25.25" customHeight="1">
      <c r="A334" s="5">
        <v>333</v>
      </c>
      <c r="B334" s="9" t="s">
        <v>411</v>
      </c>
      <c r="C334" s="9">
        <v>2024202187</v>
      </c>
      <c r="D334" s="5" t="s">
        <v>393</v>
      </c>
      <c r="E334" s="5">
        <f>SUM(G334:$XET334)</f>
        <v>16</v>
      </c>
      <c r="F334" s="5">
        <f>COUNT(G334:$XFD334)</f>
        <v>1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>
        <v>16</v>
      </c>
      <c r="Y334" s="5"/>
      <c r="Z334" s="5"/>
      <c r="AA334" s="5"/>
      <c r="AB334" s="5" t="s">
        <v>74</v>
      </c>
      <c r="AC334" s="5" t="s">
        <v>74</v>
      </c>
      <c r="AD334" s="5"/>
      <c r="AE334" s="5"/>
      <c r="AF334" s="5"/>
      <c r="AG334" s="5" t="s">
        <v>74</v>
      </c>
      <c r="AH334" s="5" t="s">
        <v>74</v>
      </c>
      <c r="AI334" s="5" t="s">
        <v>74</v>
      </c>
      <c r="AJ334" s="5" t="s">
        <v>74</v>
      </c>
      <c r="AK334" s="5" t="s">
        <v>74</v>
      </c>
      <c r="AL334" s="5"/>
      <c r="AM334" s="5"/>
      <c r="AN334" s="5"/>
      <c r="AO334" s="5"/>
      <c r="AP334" s="5"/>
      <c r="AQ334" s="5"/>
      <c r="AR334" s="5" t="s">
        <v>74</v>
      </c>
      <c r="AS334" s="5" t="s">
        <v>74</v>
      </c>
      <c r="AT334" s="5" t="s">
        <v>74</v>
      </c>
      <c r="AU334" s="5" t="s">
        <v>74</v>
      </c>
      <c r="AV334" s="5" t="s">
        <v>74</v>
      </c>
      <c r="AW334" s="5" t="s">
        <v>74</v>
      </c>
      <c r="AX334" s="5" t="s">
        <v>74</v>
      </c>
      <c r="AY334" s="5" t="s">
        <v>74</v>
      </c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 t="s">
        <v>74</v>
      </c>
      <c r="BQ334" s="5" t="s">
        <v>74</v>
      </c>
      <c r="BR334" s="5" t="s">
        <v>74</v>
      </c>
      <c r="BS334" s="5"/>
      <c r="BT334" s="5" t="s">
        <v>74</v>
      </c>
      <c r="BU334" s="6" t="s">
        <v>51</v>
      </c>
      <c r="BV334" s="5" t="s">
        <v>74</v>
      </c>
      <c r="BW334" s="5"/>
      <c r="BX334" s="5" t="s">
        <v>74</v>
      </c>
      <c r="BY334" s="5"/>
      <c r="BZ334" s="5"/>
      <c r="CA334" s="10" t="s">
        <v>74</v>
      </c>
      <c r="CB334" s="5" t="s">
        <v>74</v>
      </c>
      <c r="CC334" s="5" t="s">
        <v>74</v>
      </c>
      <c r="CD334" s="5" t="s">
        <v>74</v>
      </c>
      <c r="CE334" s="5" t="s">
        <v>74</v>
      </c>
      <c r="CF334" s="8"/>
      <c r="CG334" s="5"/>
      <c r="CH334" s="5" t="s">
        <v>74</v>
      </c>
      <c r="CI334" s="5" t="s">
        <v>74</v>
      </c>
      <c r="CJ334" s="8" t="s">
        <v>74</v>
      </c>
      <c r="CK334" s="5"/>
      <c r="CL334" s="5" t="s">
        <v>74</v>
      </c>
      <c r="CM334" s="5" t="s">
        <v>74</v>
      </c>
      <c r="CN334" s="5" t="s">
        <v>74</v>
      </c>
      <c r="CO334" s="5"/>
      <c r="CP334" s="5" t="s">
        <v>74</v>
      </c>
    </row>
    <row r="335" spans="1:94" ht="25.25" customHeight="1">
      <c r="A335" s="5">
        <v>334</v>
      </c>
      <c r="B335" s="9" t="s">
        <v>412</v>
      </c>
      <c r="C335" s="9">
        <v>2024202122</v>
      </c>
      <c r="D335" s="5" t="s">
        <v>393</v>
      </c>
      <c r="E335" s="5">
        <f>SUM(G335:$XET335)</f>
        <v>40.5</v>
      </c>
      <c r="F335" s="5">
        <f>COUNT(G335:$XFD335)</f>
        <v>10</v>
      </c>
      <c r="G335" s="5"/>
      <c r="H335" s="5"/>
      <c r="I335" s="5"/>
      <c r="J335" s="5">
        <v>3</v>
      </c>
      <c r="K335" s="5">
        <v>10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>
        <v>5</v>
      </c>
      <c r="X335" s="5"/>
      <c r="Y335" s="5"/>
      <c r="Z335" s="5"/>
      <c r="AA335" s="5"/>
      <c r="AB335" s="5" t="s">
        <v>74</v>
      </c>
      <c r="AC335" s="5">
        <v>0.5</v>
      </c>
      <c r="AD335" s="5"/>
      <c r="AE335" s="5"/>
      <c r="AF335" s="5"/>
      <c r="AG335" s="5" t="s">
        <v>74</v>
      </c>
      <c r="AH335" s="5" t="s">
        <v>74</v>
      </c>
      <c r="AI335" s="5" t="s">
        <v>74</v>
      </c>
      <c r="AJ335" s="5">
        <v>4</v>
      </c>
      <c r="AK335" s="5">
        <v>4</v>
      </c>
      <c r="AL335" s="5"/>
      <c r="AM335" s="5"/>
      <c r="AN335" s="5"/>
      <c r="AO335" s="5"/>
      <c r="AP335" s="5"/>
      <c r="AQ335" s="5"/>
      <c r="AR335" s="5" t="s">
        <v>74</v>
      </c>
      <c r="AS335" s="5" t="s">
        <v>74</v>
      </c>
      <c r="AT335" s="5" t="s">
        <v>74</v>
      </c>
      <c r="AU335" s="5" t="s">
        <v>74</v>
      </c>
      <c r="AV335" s="5" t="s">
        <v>74</v>
      </c>
      <c r="AW335" s="5" t="s">
        <v>74</v>
      </c>
      <c r="AX335" s="5" t="s">
        <v>74</v>
      </c>
      <c r="AY335" s="5" t="s">
        <v>74</v>
      </c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 t="s">
        <v>74</v>
      </c>
      <c r="BQ335" s="5" t="s">
        <v>74</v>
      </c>
      <c r="BR335" s="5" t="s">
        <v>74</v>
      </c>
      <c r="BS335" s="5"/>
      <c r="BT335" s="5" t="s">
        <v>74</v>
      </c>
      <c r="BU335" s="6" t="s">
        <v>51</v>
      </c>
      <c r="BV335" s="5" t="s">
        <v>74</v>
      </c>
      <c r="BW335" s="5"/>
      <c r="BX335" s="5">
        <v>5</v>
      </c>
      <c r="BY335" s="5"/>
      <c r="BZ335" s="5"/>
      <c r="CA335" s="10">
        <v>4</v>
      </c>
      <c r="CB335" s="5">
        <v>3</v>
      </c>
      <c r="CC335" s="5" t="s">
        <v>74</v>
      </c>
      <c r="CD335" s="5" t="s">
        <v>74</v>
      </c>
      <c r="CE335" s="5">
        <v>2</v>
      </c>
      <c r="CF335" s="8"/>
      <c r="CG335" s="5"/>
      <c r="CH335" s="5" t="s">
        <v>74</v>
      </c>
      <c r="CI335" s="5" t="s">
        <v>74</v>
      </c>
      <c r="CJ335" s="8" t="s">
        <v>74</v>
      </c>
      <c r="CK335" s="5"/>
      <c r="CL335" s="5" t="s">
        <v>74</v>
      </c>
      <c r="CM335" s="5" t="s">
        <v>74</v>
      </c>
      <c r="CN335" s="5" t="s">
        <v>74</v>
      </c>
      <c r="CO335" s="5"/>
      <c r="CP335" s="5" t="s">
        <v>74</v>
      </c>
    </row>
    <row r="336" spans="1:94" ht="25.25" customHeight="1">
      <c r="A336" s="5">
        <v>335</v>
      </c>
      <c r="B336" s="9" t="s">
        <v>413</v>
      </c>
      <c r="C336" s="9">
        <v>2024202193</v>
      </c>
      <c r="D336" s="5" t="s">
        <v>393</v>
      </c>
      <c r="E336" s="5">
        <f>SUM(G336:$XET336)</f>
        <v>72</v>
      </c>
      <c r="F336" s="5">
        <f>COUNT(G336:$XFD336)</f>
        <v>10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>
        <v>14.5</v>
      </c>
      <c r="S336" s="5">
        <v>15</v>
      </c>
      <c r="T336" s="5">
        <v>16</v>
      </c>
      <c r="U336" s="5"/>
      <c r="V336" s="5"/>
      <c r="W336" s="5">
        <v>5</v>
      </c>
      <c r="X336" s="5"/>
      <c r="Y336" s="5">
        <v>0.5</v>
      </c>
      <c r="Z336" s="5"/>
      <c r="AA336" s="5"/>
      <c r="AB336" s="5">
        <v>6.5</v>
      </c>
      <c r="AC336" s="5" t="s">
        <v>74</v>
      </c>
      <c r="AD336" s="5"/>
      <c r="AE336" s="5"/>
      <c r="AF336" s="5"/>
      <c r="AG336" s="5" t="s">
        <v>74</v>
      </c>
      <c r="AH336" s="5" t="s">
        <v>74</v>
      </c>
      <c r="AI336" s="5" t="s">
        <v>74</v>
      </c>
      <c r="AJ336" s="5">
        <v>4</v>
      </c>
      <c r="AK336" s="5">
        <v>4</v>
      </c>
      <c r="AL336" s="5"/>
      <c r="AM336" s="5"/>
      <c r="AN336" s="5"/>
      <c r="AO336" s="5"/>
      <c r="AP336" s="5"/>
      <c r="AQ336" s="5"/>
      <c r="AR336" s="5" t="s">
        <v>74</v>
      </c>
      <c r="AS336" s="5" t="s">
        <v>74</v>
      </c>
      <c r="AT336" s="5" t="s">
        <v>74</v>
      </c>
      <c r="AU336" s="5">
        <v>5</v>
      </c>
      <c r="AV336" s="5" t="s">
        <v>74</v>
      </c>
      <c r="AW336" s="5" t="s">
        <v>74</v>
      </c>
      <c r="AX336" s="5" t="s">
        <v>74</v>
      </c>
      <c r="AY336" s="5" t="s">
        <v>74</v>
      </c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 t="s">
        <v>74</v>
      </c>
      <c r="BQ336" s="5" t="s">
        <v>74</v>
      </c>
      <c r="BR336" s="5" t="s">
        <v>74</v>
      </c>
      <c r="BS336" s="5"/>
      <c r="BT336" s="5" t="s">
        <v>74</v>
      </c>
      <c r="BU336" s="6" t="s">
        <v>51</v>
      </c>
      <c r="BV336" s="5" t="s">
        <v>74</v>
      </c>
      <c r="BW336" s="5"/>
      <c r="BX336" s="5" t="s">
        <v>74</v>
      </c>
      <c r="BY336" s="5"/>
      <c r="BZ336" s="5"/>
      <c r="CA336" s="10" t="s">
        <v>74</v>
      </c>
      <c r="CB336" s="5" t="s">
        <v>74</v>
      </c>
      <c r="CC336" s="5" t="s">
        <v>74</v>
      </c>
      <c r="CD336" s="5" t="s">
        <v>74</v>
      </c>
      <c r="CE336" s="5">
        <v>1.5</v>
      </c>
      <c r="CF336" s="8"/>
      <c r="CG336" s="5"/>
      <c r="CH336" s="5" t="s">
        <v>74</v>
      </c>
      <c r="CI336" s="5" t="s">
        <v>74</v>
      </c>
      <c r="CJ336" s="8" t="s">
        <v>74</v>
      </c>
      <c r="CK336" s="5"/>
      <c r="CL336" s="5" t="s">
        <v>74</v>
      </c>
      <c r="CM336" s="5" t="s">
        <v>74</v>
      </c>
      <c r="CN336" s="5" t="s">
        <v>74</v>
      </c>
      <c r="CO336" s="5"/>
      <c r="CP336" s="5" t="s">
        <v>74</v>
      </c>
    </row>
    <row r="337" spans="1:94" ht="25.25" customHeight="1">
      <c r="A337" s="5">
        <v>336</v>
      </c>
      <c r="B337" s="9" t="s">
        <v>414</v>
      </c>
      <c r="C337" s="9">
        <v>2024202211</v>
      </c>
      <c r="D337" s="5" t="s">
        <v>393</v>
      </c>
      <c r="E337" s="5">
        <f>SUM(G337:$XET337)</f>
        <v>99.5</v>
      </c>
      <c r="F337" s="5">
        <f>COUNT(G337:$XFD337)</f>
        <v>12</v>
      </c>
      <c r="G337" s="5"/>
      <c r="H337" s="5"/>
      <c r="I337" s="5"/>
      <c r="J337" s="5"/>
      <c r="K337" s="5">
        <v>10</v>
      </c>
      <c r="L337" s="5"/>
      <c r="M337" s="5"/>
      <c r="N337" s="5"/>
      <c r="O337" s="5"/>
      <c r="P337" s="5">
        <v>6</v>
      </c>
      <c r="Q337" s="5"/>
      <c r="R337" s="5">
        <v>0.5</v>
      </c>
      <c r="S337" s="5"/>
      <c r="T337" s="5"/>
      <c r="U337" s="5">
        <v>5</v>
      </c>
      <c r="V337" s="5"/>
      <c r="W337" s="5">
        <v>5</v>
      </c>
      <c r="X337" s="5">
        <v>12</v>
      </c>
      <c r="Y337" s="5"/>
      <c r="Z337" s="5">
        <v>4</v>
      </c>
      <c r="AA337" s="5">
        <v>4</v>
      </c>
      <c r="AB337" s="5" t="s">
        <v>74</v>
      </c>
      <c r="AC337" s="5" t="s">
        <v>74</v>
      </c>
      <c r="AD337" s="5"/>
      <c r="AE337" s="5"/>
      <c r="AF337" s="5"/>
      <c r="AG337" s="5" t="s">
        <v>74</v>
      </c>
      <c r="AH337" s="5" t="s">
        <v>74</v>
      </c>
      <c r="AI337" s="5" t="s">
        <v>74</v>
      </c>
      <c r="AJ337" s="5" t="s">
        <v>74</v>
      </c>
      <c r="AK337" s="5">
        <v>4</v>
      </c>
      <c r="AL337" s="5"/>
      <c r="AM337" s="5"/>
      <c r="AN337" s="5"/>
      <c r="AO337" s="5"/>
      <c r="AP337" s="5"/>
      <c r="AQ337" s="5"/>
      <c r="AR337" s="5" t="s">
        <v>74</v>
      </c>
      <c r="AS337" s="5" t="s">
        <v>74</v>
      </c>
      <c r="AT337" s="5" t="s">
        <v>74</v>
      </c>
      <c r="AU337" s="5" t="s">
        <v>74</v>
      </c>
      <c r="AV337" s="5" t="s">
        <v>74</v>
      </c>
      <c r="AW337" s="5" t="s">
        <v>74</v>
      </c>
      <c r="AX337" s="5" t="s">
        <v>74</v>
      </c>
      <c r="AY337" s="5" t="s">
        <v>74</v>
      </c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 t="s">
        <v>74</v>
      </c>
      <c r="BQ337" s="5" t="s">
        <v>74</v>
      </c>
      <c r="BR337" s="5" t="s">
        <v>74</v>
      </c>
      <c r="BS337" s="5"/>
      <c r="BT337" s="5">
        <v>40</v>
      </c>
      <c r="BU337" s="6" t="s">
        <v>51</v>
      </c>
      <c r="BV337" s="5" t="s">
        <v>74</v>
      </c>
      <c r="BW337" s="5"/>
      <c r="BX337" s="5">
        <v>5</v>
      </c>
      <c r="BY337" s="5">
        <v>4</v>
      </c>
      <c r="BZ337" s="5"/>
      <c r="CA337" s="10" t="s">
        <v>74</v>
      </c>
      <c r="CB337" s="5" t="s">
        <v>74</v>
      </c>
      <c r="CC337" s="5" t="s">
        <v>74</v>
      </c>
      <c r="CD337" s="5" t="s">
        <v>74</v>
      </c>
      <c r="CE337" s="5" t="s">
        <v>74</v>
      </c>
      <c r="CF337" s="8"/>
      <c r="CG337" s="5"/>
      <c r="CH337" s="5" t="s">
        <v>74</v>
      </c>
      <c r="CI337" s="5" t="s">
        <v>74</v>
      </c>
      <c r="CJ337" s="8" t="s">
        <v>74</v>
      </c>
      <c r="CK337" s="5"/>
      <c r="CL337" s="5" t="s">
        <v>74</v>
      </c>
      <c r="CM337" s="5" t="s">
        <v>74</v>
      </c>
      <c r="CN337" s="5" t="s">
        <v>74</v>
      </c>
      <c r="CO337" s="5"/>
      <c r="CP337" s="5" t="s">
        <v>74</v>
      </c>
    </row>
    <row r="338" spans="1:94" ht="25.25" customHeight="1">
      <c r="A338" s="5">
        <v>337</v>
      </c>
      <c r="B338" s="9" t="s">
        <v>415</v>
      </c>
      <c r="C338" s="9">
        <v>2024202128</v>
      </c>
      <c r="D338" s="5" t="s">
        <v>393</v>
      </c>
      <c r="E338" s="5">
        <f>SUM(G338:$XET338)</f>
        <v>16</v>
      </c>
      <c r="F338" s="5">
        <f>COUNT(G338:$XFD338)</f>
        <v>3</v>
      </c>
      <c r="G338" s="5"/>
      <c r="H338" s="5"/>
      <c r="I338" s="5"/>
      <c r="J338" s="5"/>
      <c r="K338" s="5"/>
      <c r="L338" s="5"/>
      <c r="M338" s="5"/>
      <c r="N338" s="5">
        <v>2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 t="s">
        <v>74</v>
      </c>
      <c r="AC338" s="5">
        <v>2</v>
      </c>
      <c r="AD338" s="5"/>
      <c r="AE338" s="5"/>
      <c r="AF338" s="5"/>
      <c r="AG338" s="5" t="s">
        <v>74</v>
      </c>
      <c r="AH338" s="5" t="s">
        <v>74</v>
      </c>
      <c r="AI338" s="5" t="s">
        <v>74</v>
      </c>
      <c r="AJ338" s="5" t="s">
        <v>74</v>
      </c>
      <c r="AK338" s="5" t="s">
        <v>74</v>
      </c>
      <c r="AL338" s="5"/>
      <c r="AM338" s="5"/>
      <c r="AN338" s="5"/>
      <c r="AO338" s="5"/>
      <c r="AP338" s="5"/>
      <c r="AQ338" s="5"/>
      <c r="AR338" s="5" t="s">
        <v>74</v>
      </c>
      <c r="AS338" s="5">
        <v>12</v>
      </c>
      <c r="AT338" s="5" t="s">
        <v>74</v>
      </c>
      <c r="AU338" s="5" t="s">
        <v>74</v>
      </c>
      <c r="AV338" s="5" t="s">
        <v>74</v>
      </c>
      <c r="AW338" s="5" t="s">
        <v>74</v>
      </c>
      <c r="AX338" s="5" t="s">
        <v>74</v>
      </c>
      <c r="AY338" s="5" t="s">
        <v>74</v>
      </c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 t="s">
        <v>74</v>
      </c>
      <c r="BQ338" s="5" t="s">
        <v>74</v>
      </c>
      <c r="BR338" s="5" t="s">
        <v>74</v>
      </c>
      <c r="BS338" s="5"/>
      <c r="BT338" s="5" t="s">
        <v>74</v>
      </c>
      <c r="BU338" s="6" t="s">
        <v>51</v>
      </c>
      <c r="BV338" s="5" t="s">
        <v>74</v>
      </c>
      <c r="BW338" s="5"/>
      <c r="BX338" s="5" t="s">
        <v>74</v>
      </c>
      <c r="BY338" s="5"/>
      <c r="BZ338" s="5"/>
      <c r="CA338" s="10" t="s">
        <v>74</v>
      </c>
      <c r="CB338" s="5" t="s">
        <v>74</v>
      </c>
      <c r="CC338" s="5" t="s">
        <v>74</v>
      </c>
      <c r="CD338" s="5" t="s">
        <v>74</v>
      </c>
      <c r="CE338" s="5" t="s">
        <v>74</v>
      </c>
      <c r="CF338" s="8"/>
      <c r="CG338" s="5"/>
      <c r="CH338" s="5" t="s">
        <v>74</v>
      </c>
      <c r="CI338" s="5" t="s">
        <v>74</v>
      </c>
      <c r="CJ338" s="8" t="s">
        <v>74</v>
      </c>
      <c r="CK338" s="5"/>
      <c r="CL338" s="5" t="s">
        <v>74</v>
      </c>
      <c r="CM338" s="5" t="s">
        <v>74</v>
      </c>
      <c r="CN338" s="5" t="s">
        <v>74</v>
      </c>
      <c r="CO338" s="5"/>
      <c r="CP338" s="5" t="s">
        <v>74</v>
      </c>
    </row>
    <row r="339" spans="1:94" ht="25.25" customHeight="1">
      <c r="A339" s="5">
        <v>338</v>
      </c>
      <c r="B339" s="9" t="s">
        <v>416</v>
      </c>
      <c r="C339" s="9">
        <v>2024202233</v>
      </c>
      <c r="D339" s="5" t="s">
        <v>393</v>
      </c>
      <c r="E339" s="5">
        <f>SUM(G339:$XET339)</f>
        <v>34.5</v>
      </c>
      <c r="F339" s="5">
        <f>COUNT(G339:$XFD339)</f>
        <v>5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 t="s">
        <v>74</v>
      </c>
      <c r="AC339" s="5">
        <v>0.5</v>
      </c>
      <c r="AD339" s="5"/>
      <c r="AE339" s="5"/>
      <c r="AF339" s="5"/>
      <c r="AG339" s="5" t="s">
        <v>74</v>
      </c>
      <c r="AH339" s="5" t="s">
        <v>74</v>
      </c>
      <c r="AI339" s="5" t="s">
        <v>74</v>
      </c>
      <c r="AJ339" s="5">
        <v>2</v>
      </c>
      <c r="AK339" s="5">
        <v>4</v>
      </c>
      <c r="AL339" s="5"/>
      <c r="AM339" s="5"/>
      <c r="AN339" s="5"/>
      <c r="AO339" s="5"/>
      <c r="AP339" s="5"/>
      <c r="AQ339" s="5"/>
      <c r="AR339" s="5" t="s">
        <v>74</v>
      </c>
      <c r="AS339" s="5" t="s">
        <v>74</v>
      </c>
      <c r="AT339" s="5" t="s">
        <v>74</v>
      </c>
      <c r="AU339" s="5" t="s">
        <v>74</v>
      </c>
      <c r="AV339" s="5" t="s">
        <v>74</v>
      </c>
      <c r="AW339" s="5" t="s">
        <v>74</v>
      </c>
      <c r="AX339" s="5" t="s">
        <v>74</v>
      </c>
      <c r="AY339" s="5">
        <v>24</v>
      </c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 t="s">
        <v>74</v>
      </c>
      <c r="BQ339" s="5" t="s">
        <v>74</v>
      </c>
      <c r="BR339" s="5" t="s">
        <v>74</v>
      </c>
      <c r="BS339" s="5"/>
      <c r="BT339" s="5" t="s">
        <v>74</v>
      </c>
      <c r="BU339" s="6" t="s">
        <v>51</v>
      </c>
      <c r="BV339" s="5" t="s">
        <v>74</v>
      </c>
      <c r="BW339" s="5"/>
      <c r="BX339" s="5" t="s">
        <v>74</v>
      </c>
      <c r="BY339" s="5"/>
      <c r="BZ339" s="5"/>
      <c r="CA339" s="10" t="s">
        <v>74</v>
      </c>
      <c r="CB339" s="5" t="s">
        <v>74</v>
      </c>
      <c r="CC339" s="5" t="s">
        <v>74</v>
      </c>
      <c r="CD339" s="5" t="s">
        <v>74</v>
      </c>
      <c r="CE339" s="5" t="s">
        <v>74</v>
      </c>
      <c r="CF339" s="8"/>
      <c r="CG339" s="5"/>
      <c r="CH339" s="5" t="s">
        <v>74</v>
      </c>
      <c r="CI339" s="5" t="s">
        <v>74</v>
      </c>
      <c r="CJ339" s="8" t="s">
        <v>74</v>
      </c>
      <c r="CK339" s="5"/>
      <c r="CL339" s="5" t="s">
        <v>74</v>
      </c>
      <c r="CM339" s="5" t="s">
        <v>74</v>
      </c>
      <c r="CN339" s="5" t="s">
        <v>74</v>
      </c>
      <c r="CO339" s="5"/>
      <c r="CP339" s="5">
        <v>4</v>
      </c>
    </row>
    <row r="340" spans="1:94" ht="25.25" customHeight="1">
      <c r="A340" s="5">
        <v>339</v>
      </c>
      <c r="B340" s="9" t="s">
        <v>417</v>
      </c>
      <c r="C340" s="9">
        <v>2024202236</v>
      </c>
      <c r="D340" s="5" t="s">
        <v>393</v>
      </c>
      <c r="E340" s="5">
        <f>SUM(G340:$XET340)</f>
        <v>136</v>
      </c>
      <c r="F340" s="5">
        <f>COUNT(G340:$XFD340)</f>
        <v>10</v>
      </c>
      <c r="G340" s="5"/>
      <c r="H340" s="5"/>
      <c r="I340" s="5">
        <v>3</v>
      </c>
      <c r="J340" s="5"/>
      <c r="K340" s="5"/>
      <c r="L340" s="5"/>
      <c r="M340" s="5"/>
      <c r="N340" s="5">
        <v>2</v>
      </c>
      <c r="O340" s="5"/>
      <c r="P340" s="5">
        <v>6</v>
      </c>
      <c r="Q340" s="5"/>
      <c r="R340" s="5"/>
      <c r="S340" s="5">
        <v>10.5</v>
      </c>
      <c r="T340" s="5"/>
      <c r="U340" s="5"/>
      <c r="V340" s="5"/>
      <c r="W340" s="5">
        <v>5</v>
      </c>
      <c r="X340" s="5">
        <v>32</v>
      </c>
      <c r="Y340" s="5"/>
      <c r="Z340" s="5"/>
      <c r="AA340" s="5">
        <v>4</v>
      </c>
      <c r="AB340" s="5" t="s">
        <v>74</v>
      </c>
      <c r="AC340" s="5" t="s">
        <v>74</v>
      </c>
      <c r="AD340" s="5"/>
      <c r="AE340" s="5"/>
      <c r="AF340" s="5"/>
      <c r="AG340" s="5" t="s">
        <v>74</v>
      </c>
      <c r="AH340" s="5" t="s">
        <v>74</v>
      </c>
      <c r="AI340" s="5" t="s">
        <v>74</v>
      </c>
      <c r="AJ340" s="5" t="s">
        <v>74</v>
      </c>
      <c r="AK340" s="5">
        <v>4</v>
      </c>
      <c r="AL340" s="5"/>
      <c r="AM340" s="5"/>
      <c r="AN340" s="5"/>
      <c r="AO340" s="5"/>
      <c r="AP340" s="5"/>
      <c r="AQ340" s="5"/>
      <c r="AR340" s="5" t="s">
        <v>74</v>
      </c>
      <c r="AS340" s="5" t="s">
        <v>74</v>
      </c>
      <c r="AT340" s="5" t="s">
        <v>74</v>
      </c>
      <c r="AU340" s="5" t="s">
        <v>74</v>
      </c>
      <c r="AV340" s="5" t="s">
        <v>74</v>
      </c>
      <c r="AW340" s="5" t="s">
        <v>74</v>
      </c>
      <c r="AX340" s="5" t="s">
        <v>74</v>
      </c>
      <c r="AY340" s="5">
        <v>64.5</v>
      </c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 t="s">
        <v>74</v>
      </c>
      <c r="BQ340" s="5" t="s">
        <v>74</v>
      </c>
      <c r="BR340" s="5" t="s">
        <v>74</v>
      </c>
      <c r="BS340" s="5"/>
      <c r="BT340" s="5" t="s">
        <v>74</v>
      </c>
      <c r="BU340" s="6" t="s">
        <v>51</v>
      </c>
      <c r="BV340" s="5" t="s">
        <v>74</v>
      </c>
      <c r="BW340" s="5"/>
      <c r="BX340" s="5">
        <v>5</v>
      </c>
      <c r="BY340" s="5"/>
      <c r="BZ340" s="5"/>
      <c r="CA340" s="10" t="s">
        <v>74</v>
      </c>
      <c r="CB340" s="5" t="s">
        <v>74</v>
      </c>
      <c r="CC340" s="5" t="s">
        <v>74</v>
      </c>
      <c r="CD340" s="5" t="s">
        <v>74</v>
      </c>
      <c r="CE340" s="5" t="s">
        <v>74</v>
      </c>
      <c r="CF340" s="8"/>
      <c r="CG340" s="5"/>
      <c r="CH340" s="5" t="s">
        <v>74</v>
      </c>
      <c r="CI340" s="5" t="s">
        <v>74</v>
      </c>
      <c r="CJ340" s="8" t="s">
        <v>74</v>
      </c>
      <c r="CK340" s="5"/>
      <c r="CL340" s="5" t="s">
        <v>74</v>
      </c>
      <c r="CM340" s="5" t="s">
        <v>74</v>
      </c>
      <c r="CN340" s="5" t="s">
        <v>74</v>
      </c>
      <c r="CO340" s="5"/>
      <c r="CP340" s="5" t="s">
        <v>74</v>
      </c>
    </row>
    <row r="341" spans="1:94" ht="25.25" customHeight="1">
      <c r="A341" s="5">
        <v>340</v>
      </c>
      <c r="B341" s="9" t="s">
        <v>418</v>
      </c>
      <c r="C341" s="9">
        <v>2024202266</v>
      </c>
      <c r="D341" s="5" t="s">
        <v>393</v>
      </c>
      <c r="E341" s="5">
        <f>SUM(G341:$XET341)</f>
        <v>53.5</v>
      </c>
      <c r="F341" s="5">
        <f>COUNT(G341:$XFD341)</f>
        <v>7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 t="s">
        <v>74</v>
      </c>
      <c r="AC341" s="5" t="s">
        <v>74</v>
      </c>
      <c r="AD341" s="5"/>
      <c r="AE341" s="5"/>
      <c r="AF341" s="5"/>
      <c r="AG341" s="5" t="s">
        <v>74</v>
      </c>
      <c r="AH341" s="5">
        <v>20</v>
      </c>
      <c r="AI341" s="5" t="s">
        <v>74</v>
      </c>
      <c r="AJ341" s="5" t="s">
        <v>74</v>
      </c>
      <c r="AK341" s="5">
        <v>4</v>
      </c>
      <c r="AL341" s="5"/>
      <c r="AM341" s="5"/>
      <c r="AN341" s="5"/>
      <c r="AO341" s="5"/>
      <c r="AP341" s="5"/>
      <c r="AQ341" s="5"/>
      <c r="AR341" s="5" t="s">
        <v>74</v>
      </c>
      <c r="AS341" s="5" t="s">
        <v>74</v>
      </c>
      <c r="AT341" s="5" t="s">
        <v>74</v>
      </c>
      <c r="AU341" s="5" t="s">
        <v>74</v>
      </c>
      <c r="AV341" s="5" t="s">
        <v>74</v>
      </c>
      <c r="AW341" s="5" t="s">
        <v>74</v>
      </c>
      <c r="AX341" s="5" t="s">
        <v>74</v>
      </c>
      <c r="AY341" s="5" t="s">
        <v>74</v>
      </c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>
        <v>4</v>
      </c>
      <c r="BQ341" s="5" t="s">
        <v>74</v>
      </c>
      <c r="BR341" s="5" t="s">
        <v>74</v>
      </c>
      <c r="BS341" s="5"/>
      <c r="BT341" s="5" t="s">
        <v>74</v>
      </c>
      <c r="BU341" s="6" t="s">
        <v>51</v>
      </c>
      <c r="BV341" s="5">
        <v>20</v>
      </c>
      <c r="BW341" s="5"/>
      <c r="BX341" s="5" t="s">
        <v>74</v>
      </c>
      <c r="BY341" s="5"/>
      <c r="BZ341" s="5"/>
      <c r="CA341" s="10" t="s">
        <v>74</v>
      </c>
      <c r="CB341" s="5">
        <v>3</v>
      </c>
      <c r="CC341" s="5" t="s">
        <v>74</v>
      </c>
      <c r="CD341" s="5" t="s">
        <v>74</v>
      </c>
      <c r="CE341" s="5" t="s">
        <v>74</v>
      </c>
      <c r="CF341" s="8"/>
      <c r="CG341" s="5"/>
      <c r="CH341" s="5" t="s">
        <v>74</v>
      </c>
      <c r="CI341" s="5" t="s">
        <v>74</v>
      </c>
      <c r="CJ341" s="8" t="s">
        <v>74</v>
      </c>
      <c r="CK341" s="5"/>
      <c r="CL341" s="5" t="s">
        <v>74</v>
      </c>
      <c r="CM341" s="5">
        <v>0.5</v>
      </c>
      <c r="CN341" s="5">
        <v>2</v>
      </c>
      <c r="CO341" s="5"/>
      <c r="CP341" s="5" t="s">
        <v>74</v>
      </c>
    </row>
    <row r="342" spans="1:94" ht="25.25" customHeight="1">
      <c r="A342" s="5">
        <v>341</v>
      </c>
      <c r="B342" s="9" t="s">
        <v>419</v>
      </c>
      <c r="C342" s="9">
        <v>2024202243</v>
      </c>
      <c r="D342" s="5" t="s">
        <v>393</v>
      </c>
      <c r="E342" s="5">
        <f>SUM(G342:$XET342)</f>
        <v>3</v>
      </c>
      <c r="F342" s="5">
        <f>COUNT(G342:$XFD342)</f>
        <v>1</v>
      </c>
      <c r="G342" s="5"/>
      <c r="H342" s="5"/>
      <c r="I342" s="5"/>
      <c r="J342" s="5">
        <v>3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 t="s">
        <v>74</v>
      </c>
      <c r="AC342" s="5" t="s">
        <v>74</v>
      </c>
      <c r="AD342" s="5"/>
      <c r="AE342" s="5"/>
      <c r="AF342" s="5"/>
      <c r="AG342" s="5" t="s">
        <v>74</v>
      </c>
      <c r="AH342" s="5" t="s">
        <v>74</v>
      </c>
      <c r="AI342" s="5" t="s">
        <v>74</v>
      </c>
      <c r="AJ342" s="5" t="s">
        <v>74</v>
      </c>
      <c r="AK342" s="5" t="s">
        <v>74</v>
      </c>
      <c r="AL342" s="5"/>
      <c r="AM342" s="5"/>
      <c r="AN342" s="5"/>
      <c r="AO342" s="5"/>
      <c r="AP342" s="5"/>
      <c r="AQ342" s="5"/>
      <c r="AR342" s="5" t="s">
        <v>74</v>
      </c>
      <c r="AS342" s="5" t="s">
        <v>74</v>
      </c>
      <c r="AT342" s="5" t="s">
        <v>74</v>
      </c>
      <c r="AU342" s="5" t="s">
        <v>74</v>
      </c>
      <c r="AV342" s="5" t="s">
        <v>74</v>
      </c>
      <c r="AW342" s="5" t="s">
        <v>74</v>
      </c>
      <c r="AX342" s="5" t="s">
        <v>74</v>
      </c>
      <c r="AY342" s="5" t="s">
        <v>74</v>
      </c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 t="s">
        <v>74</v>
      </c>
      <c r="BQ342" s="5" t="s">
        <v>74</v>
      </c>
      <c r="BR342" s="5" t="s">
        <v>74</v>
      </c>
      <c r="BS342" s="5"/>
      <c r="BT342" s="5" t="s">
        <v>74</v>
      </c>
      <c r="BU342" s="6" t="s">
        <v>51</v>
      </c>
      <c r="BV342" s="5" t="s">
        <v>74</v>
      </c>
      <c r="BW342" s="5"/>
      <c r="BX342" s="5" t="s">
        <v>74</v>
      </c>
      <c r="BY342" s="5"/>
      <c r="BZ342" s="5"/>
      <c r="CA342" s="10" t="s">
        <v>74</v>
      </c>
      <c r="CB342" s="5" t="s">
        <v>74</v>
      </c>
      <c r="CC342" s="5" t="s">
        <v>74</v>
      </c>
      <c r="CD342" s="5" t="s">
        <v>74</v>
      </c>
      <c r="CE342" s="5" t="s">
        <v>74</v>
      </c>
      <c r="CF342" s="8"/>
      <c r="CG342" s="5"/>
      <c r="CH342" s="5" t="s">
        <v>74</v>
      </c>
      <c r="CI342" s="5" t="s">
        <v>74</v>
      </c>
      <c r="CJ342" s="8" t="s">
        <v>74</v>
      </c>
      <c r="CK342" s="5"/>
      <c r="CL342" s="5" t="s">
        <v>74</v>
      </c>
      <c r="CM342" s="5" t="s">
        <v>74</v>
      </c>
      <c r="CN342" s="5" t="s">
        <v>74</v>
      </c>
      <c r="CO342" s="5"/>
      <c r="CP342" s="5" t="s">
        <v>74</v>
      </c>
    </row>
    <row r="343" spans="1:94" ht="25.25" customHeight="1">
      <c r="A343" s="5">
        <v>342</v>
      </c>
      <c r="B343" s="9" t="s">
        <v>420</v>
      </c>
      <c r="C343" s="9">
        <v>2024202872</v>
      </c>
      <c r="D343" s="5" t="s">
        <v>393</v>
      </c>
      <c r="E343" s="5">
        <f>SUM(G343:$XET343)</f>
        <v>48</v>
      </c>
      <c r="F343" s="5">
        <f>COUNT(G343:$XFD343)</f>
        <v>6</v>
      </c>
      <c r="G343" s="5"/>
      <c r="H343" s="5"/>
      <c r="I343" s="5"/>
      <c r="J343" s="5">
        <v>3</v>
      </c>
      <c r="K343" s="5"/>
      <c r="L343" s="5"/>
      <c r="M343" s="5"/>
      <c r="N343" s="5">
        <v>1</v>
      </c>
      <c r="O343" s="5"/>
      <c r="P343" s="5"/>
      <c r="Q343" s="5"/>
      <c r="R343" s="5"/>
      <c r="S343" s="5"/>
      <c r="T343" s="5"/>
      <c r="U343" s="5"/>
      <c r="V343" s="5"/>
      <c r="W343" s="5"/>
      <c r="X343" s="5">
        <v>7</v>
      </c>
      <c r="Y343" s="5"/>
      <c r="Z343" s="5"/>
      <c r="AA343" s="5"/>
      <c r="AB343" s="5" t="s">
        <v>74</v>
      </c>
      <c r="AC343" s="5">
        <v>1</v>
      </c>
      <c r="AD343" s="5"/>
      <c r="AE343" s="5"/>
      <c r="AF343" s="5"/>
      <c r="AG343" s="5" t="s">
        <v>74</v>
      </c>
      <c r="AH343" s="5" t="s">
        <v>74</v>
      </c>
      <c r="AI343" s="5" t="s">
        <v>74</v>
      </c>
      <c r="AJ343" s="5" t="s">
        <v>74</v>
      </c>
      <c r="AK343" s="5">
        <v>4</v>
      </c>
      <c r="AL343" s="5"/>
      <c r="AM343" s="5"/>
      <c r="AN343" s="5"/>
      <c r="AO343" s="5"/>
      <c r="AP343" s="5"/>
      <c r="AQ343" s="5"/>
      <c r="AR343" s="5" t="s">
        <v>74</v>
      </c>
      <c r="AS343" s="5" t="s">
        <v>74</v>
      </c>
      <c r="AT343" s="5" t="s">
        <v>74</v>
      </c>
      <c r="AU343" s="5" t="s">
        <v>74</v>
      </c>
      <c r="AV343" s="5" t="s">
        <v>74</v>
      </c>
      <c r="AW343" s="5" t="s">
        <v>74</v>
      </c>
      <c r="AX343" s="5" t="s">
        <v>74</v>
      </c>
      <c r="AY343" s="5" t="s">
        <v>74</v>
      </c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 t="s">
        <v>74</v>
      </c>
      <c r="BQ343" s="5" t="s">
        <v>74</v>
      </c>
      <c r="BR343" s="5">
        <v>32</v>
      </c>
      <c r="BS343" s="5"/>
      <c r="BT343" s="5" t="s">
        <v>74</v>
      </c>
      <c r="BU343" s="6" t="s">
        <v>51</v>
      </c>
      <c r="BV343" s="5" t="s">
        <v>74</v>
      </c>
      <c r="BW343" s="5"/>
      <c r="BX343" s="5" t="s">
        <v>74</v>
      </c>
      <c r="BY343" s="5"/>
      <c r="BZ343" s="5"/>
      <c r="CA343" s="10" t="s">
        <v>74</v>
      </c>
      <c r="CB343" s="5" t="s">
        <v>74</v>
      </c>
      <c r="CC343" s="5" t="s">
        <v>74</v>
      </c>
      <c r="CD343" s="5" t="s">
        <v>74</v>
      </c>
      <c r="CE343" s="5" t="s">
        <v>74</v>
      </c>
      <c r="CF343" s="8"/>
      <c r="CG343" s="5"/>
      <c r="CH343" s="5" t="s">
        <v>74</v>
      </c>
      <c r="CI343" s="5" t="s">
        <v>74</v>
      </c>
      <c r="CJ343" s="8" t="s">
        <v>74</v>
      </c>
      <c r="CK343" s="5"/>
      <c r="CL343" s="5" t="s">
        <v>74</v>
      </c>
      <c r="CM343" s="5" t="s">
        <v>74</v>
      </c>
      <c r="CN343" s="5" t="s">
        <v>74</v>
      </c>
      <c r="CO343" s="5"/>
      <c r="CP343" s="5" t="s">
        <v>74</v>
      </c>
    </row>
    <row r="344" spans="1:94" ht="25.25" customHeight="1">
      <c r="A344" s="5">
        <v>343</v>
      </c>
      <c r="B344" s="9" t="s">
        <v>421</v>
      </c>
      <c r="C344" s="9">
        <v>2024201982</v>
      </c>
      <c r="D344" s="5" t="s">
        <v>393</v>
      </c>
      <c r="E344" s="5">
        <f>SUM(G344:$XET344)</f>
        <v>51</v>
      </c>
      <c r="F344" s="5">
        <f>COUNT(G344:$XFD344)</f>
        <v>4</v>
      </c>
      <c r="G344" s="5"/>
      <c r="H344" s="5"/>
      <c r="I344" s="5"/>
      <c r="J344" s="5">
        <v>3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>
        <v>4</v>
      </c>
      <c r="W344" s="5"/>
      <c r="X344" s="5"/>
      <c r="Y344" s="5"/>
      <c r="Z344" s="5"/>
      <c r="AA344" s="5"/>
      <c r="AB344" s="5" t="s">
        <v>74</v>
      </c>
      <c r="AC344" s="5">
        <v>4</v>
      </c>
      <c r="AD344" s="5"/>
      <c r="AE344" s="5"/>
      <c r="AF344" s="5"/>
      <c r="AG344" s="5" t="s">
        <v>74</v>
      </c>
      <c r="AH344" s="5" t="s">
        <v>74</v>
      </c>
      <c r="AI344" s="5" t="s">
        <v>74</v>
      </c>
      <c r="AJ344" s="5" t="s">
        <v>74</v>
      </c>
      <c r="AK344" s="5" t="s">
        <v>74</v>
      </c>
      <c r="AL344" s="5"/>
      <c r="AM344" s="5"/>
      <c r="AN344" s="5"/>
      <c r="AO344" s="5"/>
      <c r="AP344" s="5"/>
      <c r="AQ344" s="5"/>
      <c r="AR344" s="5" t="s">
        <v>74</v>
      </c>
      <c r="AS344" s="5" t="s">
        <v>74</v>
      </c>
      <c r="AT344" s="5" t="s">
        <v>74</v>
      </c>
      <c r="AU344" s="5" t="s">
        <v>74</v>
      </c>
      <c r="AV344" s="5" t="s">
        <v>74</v>
      </c>
      <c r="AW344" s="5" t="s">
        <v>74</v>
      </c>
      <c r="AX344" s="5" t="s">
        <v>74</v>
      </c>
      <c r="AY344" s="5" t="s">
        <v>74</v>
      </c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 t="s">
        <v>74</v>
      </c>
      <c r="BQ344" s="5" t="s">
        <v>74</v>
      </c>
      <c r="BR344" s="5" t="s">
        <v>74</v>
      </c>
      <c r="BS344" s="5"/>
      <c r="BT344" s="5">
        <v>40</v>
      </c>
      <c r="BU344" s="6" t="s">
        <v>51</v>
      </c>
      <c r="BV344" s="5" t="s">
        <v>74</v>
      </c>
      <c r="BW344" s="5"/>
      <c r="BX344" s="5" t="s">
        <v>74</v>
      </c>
      <c r="BY344" s="5"/>
      <c r="BZ344" s="5"/>
      <c r="CA344" s="10" t="s">
        <v>74</v>
      </c>
      <c r="CB344" s="5" t="s">
        <v>74</v>
      </c>
      <c r="CC344" s="5" t="s">
        <v>74</v>
      </c>
      <c r="CD344" s="5" t="s">
        <v>74</v>
      </c>
      <c r="CE344" s="5" t="s">
        <v>74</v>
      </c>
      <c r="CF344" s="8"/>
      <c r="CG344" s="13"/>
      <c r="CH344" s="5" t="s">
        <v>74</v>
      </c>
      <c r="CI344" s="5" t="s">
        <v>74</v>
      </c>
      <c r="CJ344" s="8" t="s">
        <v>74</v>
      </c>
      <c r="CK344" s="5"/>
      <c r="CL344" s="5" t="s">
        <v>74</v>
      </c>
      <c r="CM344" s="5" t="s">
        <v>74</v>
      </c>
      <c r="CN344" s="5" t="s">
        <v>74</v>
      </c>
      <c r="CO344" s="5"/>
      <c r="CP344" s="5" t="s">
        <v>74</v>
      </c>
    </row>
    <row r="345" spans="1:94" ht="25.25" customHeight="1">
      <c r="A345" s="5">
        <v>344</v>
      </c>
      <c r="B345" s="5" t="s">
        <v>422</v>
      </c>
      <c r="C345" s="5">
        <v>2023202491</v>
      </c>
      <c r="D345" s="5" t="s">
        <v>393</v>
      </c>
      <c r="E345" s="5">
        <f>SUM(G345:$XET345)</f>
        <v>69.5</v>
      </c>
      <c r="F345" s="5">
        <f>COUNT(G345:$XFD345)</f>
        <v>11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>
        <v>5</v>
      </c>
      <c r="W345" s="5"/>
      <c r="X345" s="5"/>
      <c r="Y345" s="5"/>
      <c r="Z345" s="5"/>
      <c r="AA345" s="5"/>
      <c r="AB345" s="5" t="s">
        <v>74</v>
      </c>
      <c r="AC345" s="5">
        <v>1</v>
      </c>
      <c r="AD345" s="5"/>
      <c r="AE345" s="5"/>
      <c r="AF345" s="5"/>
      <c r="AG345" s="5" t="s">
        <v>74</v>
      </c>
      <c r="AH345" s="5" t="s">
        <v>74</v>
      </c>
      <c r="AI345" s="5" t="s">
        <v>74</v>
      </c>
      <c r="AJ345" s="5" t="s">
        <v>74</v>
      </c>
      <c r="AK345" s="5">
        <v>4</v>
      </c>
      <c r="AL345" s="5">
        <v>43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 t="s">
        <v>74</v>
      </c>
      <c r="AS345" s="5" t="s">
        <v>74</v>
      </c>
      <c r="AT345" s="5" t="s">
        <v>74</v>
      </c>
      <c r="AU345" s="5" t="s">
        <v>74</v>
      </c>
      <c r="AV345" s="5" t="s">
        <v>74</v>
      </c>
      <c r="AW345" s="5" t="s">
        <v>74</v>
      </c>
      <c r="AX345" s="5" t="s">
        <v>74</v>
      </c>
      <c r="AY345" s="5" t="s">
        <v>74</v>
      </c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 t="s">
        <v>74</v>
      </c>
      <c r="BQ345" s="5" t="s">
        <v>74</v>
      </c>
      <c r="BR345" s="5" t="s">
        <v>74</v>
      </c>
      <c r="BS345" s="5"/>
      <c r="BT345" s="5" t="s">
        <v>74</v>
      </c>
      <c r="BU345" s="6" t="s">
        <v>51</v>
      </c>
      <c r="BV345" s="5" t="s">
        <v>74</v>
      </c>
      <c r="BW345" s="5"/>
      <c r="BX345" s="5" t="s">
        <v>74</v>
      </c>
      <c r="BY345" s="5"/>
      <c r="BZ345" s="5"/>
      <c r="CA345" s="10" t="s">
        <v>74</v>
      </c>
      <c r="CB345" s="5" t="s">
        <v>74</v>
      </c>
      <c r="CC345" s="5" t="s">
        <v>74</v>
      </c>
      <c r="CD345" s="5" t="s">
        <v>74</v>
      </c>
      <c r="CE345" s="5" t="s">
        <v>74</v>
      </c>
      <c r="CF345" s="8"/>
      <c r="CG345" s="5"/>
      <c r="CH345" s="5" t="s">
        <v>74</v>
      </c>
      <c r="CI345" s="5">
        <v>16</v>
      </c>
      <c r="CJ345" s="8" t="s">
        <v>74</v>
      </c>
      <c r="CK345" s="5"/>
      <c r="CL345" s="5" t="s">
        <v>74</v>
      </c>
      <c r="CM345" s="5">
        <v>0.5</v>
      </c>
      <c r="CN345" s="5" t="s">
        <v>74</v>
      </c>
      <c r="CO345" s="5"/>
      <c r="CP345" s="5" t="s">
        <v>74</v>
      </c>
    </row>
    <row r="346" spans="1:94">
      <c r="AJ346" s="1" t="s">
        <v>74</v>
      </c>
      <c r="CP346" s="2" t="s">
        <v>74</v>
      </c>
    </row>
    <row r="347" spans="1:94">
      <c r="CP347" s="2" t="s">
        <v>74</v>
      </c>
    </row>
    <row r="348" spans="1:94">
      <c r="CP348" s="2" t="s">
        <v>74</v>
      </c>
    </row>
    <row r="349" spans="1:94">
      <c r="CP349" s="2" t="s">
        <v>74</v>
      </c>
    </row>
    <row r="350" spans="1:94">
      <c r="CP350" s="2" t="s">
        <v>74</v>
      </c>
    </row>
    <row r="351" spans="1:94">
      <c r="CP351" s="2" t="s">
        <v>74</v>
      </c>
    </row>
    <row r="352" spans="1:94">
      <c r="CP352" s="2" t="s">
        <v>74</v>
      </c>
    </row>
    <row r="353" spans="94:94">
      <c r="CP353" s="2" t="s">
        <v>74</v>
      </c>
    </row>
    <row r="354" spans="94:94">
      <c r="CP354" s="2" t="s">
        <v>74</v>
      </c>
    </row>
    <row r="355" spans="94:94">
      <c r="CP355" s="2" t="s">
        <v>74</v>
      </c>
    </row>
    <row r="356" spans="94:94">
      <c r="CP356" s="2" t="s">
        <v>74</v>
      </c>
    </row>
    <row r="357" spans="94:94">
      <c r="CP357" s="2" t="s">
        <v>74</v>
      </c>
    </row>
    <row r="358" spans="94:94">
      <c r="CP358" s="2" t="s">
        <v>74</v>
      </c>
    </row>
    <row r="359" spans="94:94">
      <c r="CP359" s="2" t="s">
        <v>74</v>
      </c>
    </row>
    <row r="360" spans="94:94">
      <c r="CP360" s="2" t="s">
        <v>74</v>
      </c>
    </row>
    <row r="361" spans="94:94">
      <c r="CP361" s="2" t="s">
        <v>74</v>
      </c>
    </row>
    <row r="362" spans="94:94">
      <c r="CP362" s="2" t="s">
        <v>74</v>
      </c>
    </row>
    <row r="363" spans="94:94">
      <c r="CP363" s="2" t="s">
        <v>74</v>
      </c>
    </row>
    <row r="364" spans="94:94">
      <c r="CP364" s="2" t="s">
        <v>74</v>
      </c>
    </row>
    <row r="365" spans="94:94">
      <c r="CP365" s="2" t="s">
        <v>74</v>
      </c>
    </row>
    <row r="366" spans="94:94">
      <c r="CP366" s="2" t="s">
        <v>74</v>
      </c>
    </row>
    <row r="367" spans="94:94">
      <c r="CP367" s="2" t="s">
        <v>74</v>
      </c>
    </row>
    <row r="368" spans="94:94">
      <c r="CP368" s="2" t="s">
        <v>74</v>
      </c>
    </row>
    <row r="369" spans="94:94">
      <c r="CP369" s="2" t="s">
        <v>74</v>
      </c>
    </row>
    <row r="370" spans="94:94">
      <c r="CP370" s="2" t="s">
        <v>74</v>
      </c>
    </row>
    <row r="371" spans="94:94">
      <c r="CP371" s="2" t="s">
        <v>74</v>
      </c>
    </row>
    <row r="372" spans="94:94">
      <c r="CP372" s="2" t="s">
        <v>74</v>
      </c>
    </row>
    <row r="373" spans="94:94">
      <c r="CP373" s="2" t="s">
        <v>74</v>
      </c>
    </row>
    <row r="374" spans="94:94">
      <c r="CP374" s="2" t="s">
        <v>74</v>
      </c>
    </row>
    <row r="375" spans="94:94">
      <c r="CP375" s="2" t="s">
        <v>74</v>
      </c>
    </row>
    <row r="376" spans="94:94">
      <c r="CP376" s="2" t="s">
        <v>74</v>
      </c>
    </row>
    <row r="377" spans="94:94">
      <c r="CP377" s="2" t="s">
        <v>74</v>
      </c>
    </row>
    <row r="378" spans="94:94">
      <c r="CP378" s="2" t="s">
        <v>74</v>
      </c>
    </row>
    <row r="379" spans="94:94">
      <c r="CP379" s="2" t="s">
        <v>74</v>
      </c>
    </row>
    <row r="380" spans="94:94">
      <c r="CP380" s="2" t="s">
        <v>74</v>
      </c>
    </row>
    <row r="381" spans="94:94">
      <c r="CP381" s="2" t="s">
        <v>74</v>
      </c>
    </row>
    <row r="382" spans="94:94">
      <c r="CP382" s="2" t="s">
        <v>74</v>
      </c>
    </row>
    <row r="383" spans="94:94">
      <c r="CP383" s="2" t="s">
        <v>74</v>
      </c>
    </row>
    <row r="384" spans="94:94">
      <c r="CP384" s="2" t="s">
        <v>74</v>
      </c>
    </row>
    <row r="385" spans="94:94">
      <c r="CP385" s="2" t="s">
        <v>74</v>
      </c>
    </row>
    <row r="386" spans="94:94">
      <c r="CP386" s="2" t="s">
        <v>74</v>
      </c>
    </row>
    <row r="387" spans="94:94">
      <c r="CP387" s="2" t="s">
        <v>74</v>
      </c>
    </row>
    <row r="388" spans="94:94">
      <c r="CP388" s="2" t="s">
        <v>74</v>
      </c>
    </row>
    <row r="389" spans="94:94">
      <c r="CP389" s="2" t="s">
        <v>74</v>
      </c>
    </row>
    <row r="390" spans="94:94">
      <c r="CP390" s="2" t="s">
        <v>74</v>
      </c>
    </row>
    <row r="391" spans="94:94">
      <c r="CP391" s="2" t="s">
        <v>74</v>
      </c>
    </row>
    <row r="392" spans="94:94">
      <c r="CP392" s="2" t="s">
        <v>74</v>
      </c>
    </row>
    <row r="393" spans="94:94">
      <c r="CP393" s="2" t="s">
        <v>74</v>
      </c>
    </row>
    <row r="394" spans="94:94">
      <c r="CP394" s="2" t="s">
        <v>74</v>
      </c>
    </row>
    <row r="395" spans="94:94">
      <c r="CP395" s="2" t="s">
        <v>74</v>
      </c>
    </row>
    <row r="396" spans="94:94">
      <c r="CP396" s="2" t="s">
        <v>74</v>
      </c>
    </row>
    <row r="397" spans="94:94">
      <c r="CP397" s="2" t="s">
        <v>74</v>
      </c>
    </row>
    <row r="398" spans="94:94">
      <c r="CP398" s="2" t="s">
        <v>74</v>
      </c>
    </row>
    <row r="399" spans="94:94">
      <c r="CP399" s="2" t="s">
        <v>74</v>
      </c>
    </row>
    <row r="400" spans="94:94">
      <c r="CP400" s="2" t="s">
        <v>74</v>
      </c>
    </row>
    <row r="401" spans="94:94">
      <c r="CP401" s="2" t="s">
        <v>74</v>
      </c>
    </row>
    <row r="402" spans="94:94">
      <c r="CP402" s="2" t="s">
        <v>74</v>
      </c>
    </row>
    <row r="403" spans="94:94">
      <c r="CP403" s="2" t="s">
        <v>74</v>
      </c>
    </row>
    <row r="404" spans="94:94">
      <c r="CP404" s="2" t="s">
        <v>74</v>
      </c>
    </row>
    <row r="405" spans="94:94">
      <c r="CP405" s="2" t="s">
        <v>74</v>
      </c>
    </row>
    <row r="406" spans="94:94">
      <c r="CP406" s="2" t="s">
        <v>74</v>
      </c>
    </row>
    <row r="407" spans="94:94">
      <c r="CP407" s="2" t="s">
        <v>74</v>
      </c>
    </row>
    <row r="408" spans="94:94">
      <c r="CP408" s="2" t="s">
        <v>74</v>
      </c>
    </row>
    <row r="409" spans="94:94">
      <c r="CP409" s="2" t="s">
        <v>74</v>
      </c>
    </row>
    <row r="410" spans="94:94">
      <c r="CP410" s="2" t="s">
        <v>74</v>
      </c>
    </row>
    <row r="411" spans="94:94">
      <c r="CP411" s="2" t="s">
        <v>74</v>
      </c>
    </row>
    <row r="412" spans="94:94">
      <c r="CP412" s="2" t="s">
        <v>74</v>
      </c>
    </row>
    <row r="413" spans="94:94">
      <c r="CP413" s="2" t="s">
        <v>74</v>
      </c>
    </row>
    <row r="414" spans="94:94">
      <c r="CP414" s="2" t="s">
        <v>74</v>
      </c>
    </row>
    <row r="415" spans="94:94">
      <c r="CP415" s="2" t="s">
        <v>74</v>
      </c>
    </row>
    <row r="416" spans="94:94">
      <c r="CP416" s="2" t="s">
        <v>74</v>
      </c>
    </row>
    <row r="417" spans="94:94">
      <c r="CP417" s="2" t="s">
        <v>74</v>
      </c>
    </row>
    <row r="418" spans="94:94">
      <c r="CP418" s="2" t="s">
        <v>74</v>
      </c>
    </row>
    <row r="419" spans="94:94">
      <c r="CP419" s="2" t="s">
        <v>74</v>
      </c>
    </row>
    <row r="420" spans="94:94">
      <c r="CP420" s="2" t="s">
        <v>74</v>
      </c>
    </row>
    <row r="421" spans="94:94">
      <c r="CP421" s="2" t="s">
        <v>74</v>
      </c>
    </row>
    <row r="422" spans="94:94">
      <c r="CP422" s="2" t="s">
        <v>74</v>
      </c>
    </row>
    <row r="423" spans="94:94">
      <c r="CP423" s="2" t="s">
        <v>74</v>
      </c>
    </row>
    <row r="424" spans="94:94">
      <c r="CP424" s="2" t="s">
        <v>74</v>
      </c>
    </row>
    <row r="425" spans="94:94">
      <c r="CP425" s="2" t="s">
        <v>74</v>
      </c>
    </row>
    <row r="426" spans="94:94">
      <c r="CP426" s="2" t="s">
        <v>74</v>
      </c>
    </row>
    <row r="427" spans="94:94">
      <c r="CP427" s="2" t="s">
        <v>74</v>
      </c>
    </row>
    <row r="428" spans="94:94">
      <c r="CP428" s="2" t="s">
        <v>74</v>
      </c>
    </row>
    <row r="429" spans="94:94">
      <c r="CP429" s="2" t="s">
        <v>74</v>
      </c>
    </row>
    <row r="430" spans="94:94">
      <c r="CP430" s="2" t="s">
        <v>74</v>
      </c>
    </row>
    <row r="431" spans="94:94">
      <c r="CP431" s="2" t="s">
        <v>74</v>
      </c>
    </row>
    <row r="432" spans="94:94">
      <c r="CP432" s="2" t="s">
        <v>74</v>
      </c>
    </row>
    <row r="433" spans="94:94">
      <c r="CP433" s="2" t="s">
        <v>74</v>
      </c>
    </row>
    <row r="434" spans="94:94">
      <c r="CP434" s="2" t="s">
        <v>74</v>
      </c>
    </row>
    <row r="435" spans="94:94">
      <c r="CP435" s="2" t="s">
        <v>74</v>
      </c>
    </row>
    <row r="436" spans="94:94">
      <c r="CP436" s="2" t="s">
        <v>74</v>
      </c>
    </row>
    <row r="437" spans="94:94">
      <c r="CP437" s="2" t="s">
        <v>74</v>
      </c>
    </row>
    <row r="438" spans="94:94">
      <c r="CP438" s="2" t="s">
        <v>74</v>
      </c>
    </row>
    <row r="439" spans="94:94">
      <c r="CP439" s="2" t="s">
        <v>74</v>
      </c>
    </row>
    <row r="440" spans="94:94">
      <c r="CP440" s="2" t="s">
        <v>74</v>
      </c>
    </row>
    <row r="441" spans="94:94">
      <c r="CP441" s="2" t="s">
        <v>74</v>
      </c>
    </row>
    <row r="442" spans="94:94">
      <c r="CP442" s="2" t="s">
        <v>74</v>
      </c>
    </row>
    <row r="443" spans="94:94">
      <c r="CP443" s="2" t="s">
        <v>74</v>
      </c>
    </row>
    <row r="444" spans="94:94">
      <c r="CP444" s="2" t="s">
        <v>74</v>
      </c>
    </row>
    <row r="445" spans="94:94">
      <c r="CP445" s="2" t="s">
        <v>74</v>
      </c>
    </row>
    <row r="446" spans="94:94">
      <c r="CP446" s="2" t="s">
        <v>74</v>
      </c>
    </row>
    <row r="447" spans="94:94">
      <c r="CP447" s="2" t="s">
        <v>74</v>
      </c>
    </row>
    <row r="448" spans="94:94">
      <c r="CP448" s="2" t="s">
        <v>74</v>
      </c>
    </row>
    <row r="449" spans="94:94">
      <c r="CP449" s="2" t="s">
        <v>74</v>
      </c>
    </row>
    <row r="450" spans="94:94">
      <c r="CP450" s="2" t="s">
        <v>74</v>
      </c>
    </row>
    <row r="451" spans="94:94">
      <c r="CP451" s="2" t="s">
        <v>74</v>
      </c>
    </row>
    <row r="452" spans="94:94">
      <c r="CP452" s="2" t="s">
        <v>74</v>
      </c>
    </row>
    <row r="453" spans="94:94">
      <c r="CP453" s="2" t="s">
        <v>74</v>
      </c>
    </row>
    <row r="454" spans="94:94">
      <c r="CP454" s="2" t="s">
        <v>74</v>
      </c>
    </row>
    <row r="455" spans="94:94">
      <c r="CP455" s="2" t="s">
        <v>74</v>
      </c>
    </row>
    <row r="456" spans="94:94">
      <c r="CP456" s="2" t="s">
        <v>74</v>
      </c>
    </row>
    <row r="457" spans="94:94">
      <c r="CP457" s="2" t="s">
        <v>74</v>
      </c>
    </row>
    <row r="458" spans="94:94">
      <c r="CP458" s="2" t="s">
        <v>74</v>
      </c>
    </row>
    <row r="459" spans="94:94">
      <c r="CP459" s="2" t="s">
        <v>74</v>
      </c>
    </row>
    <row r="460" spans="94:94">
      <c r="CP460" s="2" t="s">
        <v>74</v>
      </c>
    </row>
    <row r="461" spans="94:94">
      <c r="CP461" s="2" t="s">
        <v>74</v>
      </c>
    </row>
    <row r="462" spans="94:94">
      <c r="CP462" s="2" t="s">
        <v>74</v>
      </c>
    </row>
    <row r="463" spans="94:94">
      <c r="CP463" s="2" t="s">
        <v>74</v>
      </c>
    </row>
    <row r="464" spans="94:94">
      <c r="CP464" s="2" t="s">
        <v>74</v>
      </c>
    </row>
    <row r="465" spans="94:94">
      <c r="CP465" s="2" t="s">
        <v>74</v>
      </c>
    </row>
    <row r="466" spans="94:94">
      <c r="CP466" s="2" t="s">
        <v>74</v>
      </c>
    </row>
    <row r="467" spans="94:94">
      <c r="CP467" s="2" t="s">
        <v>74</v>
      </c>
    </row>
    <row r="468" spans="94:94">
      <c r="CP468" s="2" t="s">
        <v>74</v>
      </c>
    </row>
    <row r="469" spans="94:94">
      <c r="CP469" s="2" t="s">
        <v>74</v>
      </c>
    </row>
    <row r="470" spans="94:94">
      <c r="CP470" s="2" t="s">
        <v>74</v>
      </c>
    </row>
    <row r="471" spans="94:94">
      <c r="CP471" s="2" t="s">
        <v>74</v>
      </c>
    </row>
    <row r="472" spans="94:94">
      <c r="CP472" s="2" t="s">
        <v>74</v>
      </c>
    </row>
    <row r="473" spans="94:94">
      <c r="CP473" s="2" t="s">
        <v>74</v>
      </c>
    </row>
    <row r="474" spans="94:94">
      <c r="CP474" s="2" t="s">
        <v>74</v>
      </c>
    </row>
    <row r="475" spans="94:94">
      <c r="CP475" s="2" t="s">
        <v>74</v>
      </c>
    </row>
    <row r="476" spans="94:94">
      <c r="CP476" s="2" t="s">
        <v>74</v>
      </c>
    </row>
    <row r="477" spans="94:94">
      <c r="CP477" s="2" t="s">
        <v>74</v>
      </c>
    </row>
    <row r="478" spans="94:94">
      <c r="CP478" s="2" t="s">
        <v>74</v>
      </c>
    </row>
    <row r="479" spans="94:94">
      <c r="CP479" s="2" t="s">
        <v>74</v>
      </c>
    </row>
    <row r="480" spans="94:94">
      <c r="CP480" s="2" t="s">
        <v>74</v>
      </c>
    </row>
    <row r="481" spans="94:94">
      <c r="CP481" s="2" t="s">
        <v>74</v>
      </c>
    </row>
    <row r="482" spans="94:94">
      <c r="CP482" s="2" t="s">
        <v>74</v>
      </c>
    </row>
    <row r="483" spans="94:94">
      <c r="CP483" s="2" t="s">
        <v>74</v>
      </c>
    </row>
    <row r="484" spans="94:94">
      <c r="CP484" s="2" t="s">
        <v>74</v>
      </c>
    </row>
    <row r="485" spans="94:94">
      <c r="CP485" s="2" t="s">
        <v>74</v>
      </c>
    </row>
    <row r="486" spans="94:94">
      <c r="CP486" s="2" t="s">
        <v>74</v>
      </c>
    </row>
    <row r="487" spans="94:94">
      <c r="CP487" s="2" t="s">
        <v>74</v>
      </c>
    </row>
    <row r="488" spans="94:94">
      <c r="CP488" s="2" t="s">
        <v>74</v>
      </c>
    </row>
    <row r="489" spans="94:94">
      <c r="CP489" s="2" t="s">
        <v>74</v>
      </c>
    </row>
    <row r="490" spans="94:94">
      <c r="CP490" s="2" t="s">
        <v>74</v>
      </c>
    </row>
    <row r="491" spans="94:94">
      <c r="CP491" s="2" t="s">
        <v>74</v>
      </c>
    </row>
    <row r="492" spans="94:94">
      <c r="CP492" s="2" t="s">
        <v>74</v>
      </c>
    </row>
    <row r="493" spans="94:94">
      <c r="CP493" s="2" t="s">
        <v>74</v>
      </c>
    </row>
    <row r="494" spans="94:94">
      <c r="CP494" s="2" t="s">
        <v>74</v>
      </c>
    </row>
    <row r="495" spans="94:94">
      <c r="CP495" s="2" t="s">
        <v>74</v>
      </c>
    </row>
    <row r="496" spans="94:94">
      <c r="CP496" s="2" t="s">
        <v>74</v>
      </c>
    </row>
    <row r="497" spans="94:94">
      <c r="CP497" s="2" t="s">
        <v>74</v>
      </c>
    </row>
    <row r="498" spans="94:94">
      <c r="CP498" s="2" t="s">
        <v>74</v>
      </c>
    </row>
    <row r="499" spans="94:94">
      <c r="CP499" s="2" t="s">
        <v>74</v>
      </c>
    </row>
    <row r="500" spans="94:94">
      <c r="CP500" s="2" t="s">
        <v>74</v>
      </c>
    </row>
    <row r="501" spans="94:94">
      <c r="CP501" s="2" t="s">
        <v>74</v>
      </c>
    </row>
    <row r="502" spans="94:94">
      <c r="CP502" s="2" t="s">
        <v>74</v>
      </c>
    </row>
    <row r="503" spans="94:94">
      <c r="CP503" s="2" t="s">
        <v>74</v>
      </c>
    </row>
    <row r="504" spans="94:94">
      <c r="CP504" s="2" t="s">
        <v>74</v>
      </c>
    </row>
    <row r="505" spans="94:94">
      <c r="CP505" s="2" t="s">
        <v>74</v>
      </c>
    </row>
    <row r="506" spans="94:94">
      <c r="CP506" s="2" t="s">
        <v>74</v>
      </c>
    </row>
    <row r="507" spans="94:94">
      <c r="CP507" s="2" t="s">
        <v>74</v>
      </c>
    </row>
    <row r="508" spans="94:94">
      <c r="CP508" s="2" t="s">
        <v>74</v>
      </c>
    </row>
    <row r="509" spans="94:94">
      <c r="CP509" s="2" t="s">
        <v>74</v>
      </c>
    </row>
    <row r="510" spans="94:94">
      <c r="CP510" s="2" t="s">
        <v>74</v>
      </c>
    </row>
    <row r="511" spans="94:94">
      <c r="CP511" s="2" t="s">
        <v>74</v>
      </c>
    </row>
    <row r="512" spans="94:94">
      <c r="CP512" s="2" t="s">
        <v>74</v>
      </c>
    </row>
    <row r="513" spans="94:94">
      <c r="CP513" s="2" t="s">
        <v>74</v>
      </c>
    </row>
    <row r="514" spans="94:94">
      <c r="CP514" s="2" t="s">
        <v>74</v>
      </c>
    </row>
    <row r="515" spans="94:94">
      <c r="CP515" s="2" t="s">
        <v>74</v>
      </c>
    </row>
    <row r="516" spans="94:94">
      <c r="CP516" s="2" t="s">
        <v>74</v>
      </c>
    </row>
    <row r="517" spans="94:94">
      <c r="CP517" s="2" t="s">
        <v>74</v>
      </c>
    </row>
    <row r="518" spans="94:94">
      <c r="CP518" s="2" t="s">
        <v>74</v>
      </c>
    </row>
    <row r="519" spans="94:94">
      <c r="CP519" s="2" t="s">
        <v>74</v>
      </c>
    </row>
    <row r="520" spans="94:94">
      <c r="CP520" s="2" t="s">
        <v>74</v>
      </c>
    </row>
    <row r="521" spans="94:94">
      <c r="CP521" s="2" t="s">
        <v>74</v>
      </c>
    </row>
    <row r="522" spans="94:94">
      <c r="CP522" s="2" t="s">
        <v>74</v>
      </c>
    </row>
    <row r="523" spans="94:94">
      <c r="CP523" s="2" t="s">
        <v>74</v>
      </c>
    </row>
    <row r="524" spans="94:94">
      <c r="CP524" s="2" t="s">
        <v>74</v>
      </c>
    </row>
    <row r="525" spans="94:94">
      <c r="CP525" s="2" t="s">
        <v>74</v>
      </c>
    </row>
    <row r="526" spans="94:94">
      <c r="CP526" s="2" t="s">
        <v>74</v>
      </c>
    </row>
    <row r="527" spans="94:94">
      <c r="CP527" s="2" t="s">
        <v>74</v>
      </c>
    </row>
    <row r="528" spans="94:94">
      <c r="CP528" s="2" t="s">
        <v>74</v>
      </c>
    </row>
    <row r="529" spans="94:94">
      <c r="CP529" s="2" t="s">
        <v>74</v>
      </c>
    </row>
    <row r="530" spans="94:94">
      <c r="CP530" s="2" t="s">
        <v>74</v>
      </c>
    </row>
    <row r="531" spans="94:94">
      <c r="CP531" s="2" t="s">
        <v>74</v>
      </c>
    </row>
    <row r="532" spans="94:94">
      <c r="CP532" s="2" t="s">
        <v>74</v>
      </c>
    </row>
    <row r="533" spans="94:94">
      <c r="CP533" s="2" t="s">
        <v>74</v>
      </c>
    </row>
    <row r="534" spans="94:94">
      <c r="CP534" s="2" t="s">
        <v>74</v>
      </c>
    </row>
    <row r="535" spans="94:94">
      <c r="CP535" s="2" t="s">
        <v>74</v>
      </c>
    </row>
    <row r="536" spans="94:94">
      <c r="CP536" s="2" t="s">
        <v>74</v>
      </c>
    </row>
    <row r="537" spans="94:94">
      <c r="CP537" s="2" t="s">
        <v>74</v>
      </c>
    </row>
    <row r="538" spans="94:94">
      <c r="CP538" s="2" t="s">
        <v>74</v>
      </c>
    </row>
    <row r="539" spans="94:94">
      <c r="CP539" s="2" t="s">
        <v>74</v>
      </c>
    </row>
    <row r="540" spans="94:94">
      <c r="CP540" s="2" t="s">
        <v>74</v>
      </c>
    </row>
    <row r="541" spans="94:94">
      <c r="CP541" s="2" t="s">
        <v>74</v>
      </c>
    </row>
    <row r="542" spans="94:94">
      <c r="CP542" s="2" t="s">
        <v>74</v>
      </c>
    </row>
    <row r="543" spans="94:94">
      <c r="CP543" s="2" t="s">
        <v>74</v>
      </c>
    </row>
    <row r="544" spans="94:94">
      <c r="CP544" s="2" t="s">
        <v>74</v>
      </c>
    </row>
    <row r="545" spans="94:94">
      <c r="CP545" s="2" t="s">
        <v>74</v>
      </c>
    </row>
    <row r="546" spans="94:94">
      <c r="CP546" s="2" t="s">
        <v>74</v>
      </c>
    </row>
    <row r="547" spans="94:94">
      <c r="CP547" s="2" t="s">
        <v>74</v>
      </c>
    </row>
    <row r="548" spans="94:94">
      <c r="CP548" s="2" t="s">
        <v>74</v>
      </c>
    </row>
    <row r="549" spans="94:94">
      <c r="CP549" s="2" t="s">
        <v>74</v>
      </c>
    </row>
    <row r="550" spans="94:94">
      <c r="CP550" s="2" t="s">
        <v>74</v>
      </c>
    </row>
    <row r="551" spans="94:94">
      <c r="CP551" s="2" t="s">
        <v>74</v>
      </c>
    </row>
    <row r="552" spans="94:94">
      <c r="CP552" s="2" t="s">
        <v>74</v>
      </c>
    </row>
    <row r="553" spans="94:94">
      <c r="CP553" s="2" t="s">
        <v>74</v>
      </c>
    </row>
    <row r="554" spans="94:94">
      <c r="CP554" s="2" t="s">
        <v>74</v>
      </c>
    </row>
    <row r="555" spans="94:94">
      <c r="CP555" s="2" t="s">
        <v>74</v>
      </c>
    </row>
    <row r="556" spans="94:94">
      <c r="CP556" s="2" t="s">
        <v>74</v>
      </c>
    </row>
    <row r="557" spans="94:94">
      <c r="CP557" s="2" t="s">
        <v>74</v>
      </c>
    </row>
    <row r="558" spans="94:94">
      <c r="CP558" s="2" t="s">
        <v>74</v>
      </c>
    </row>
    <row r="559" spans="94:94">
      <c r="CP559" s="2" t="s">
        <v>74</v>
      </c>
    </row>
    <row r="560" spans="94:94">
      <c r="CP560" s="2" t="s">
        <v>74</v>
      </c>
    </row>
    <row r="561" spans="94:94">
      <c r="CP561" s="2" t="s">
        <v>74</v>
      </c>
    </row>
    <row r="562" spans="94:94">
      <c r="CP562" s="2" t="s">
        <v>74</v>
      </c>
    </row>
    <row r="563" spans="94:94">
      <c r="CP563" s="2" t="s">
        <v>74</v>
      </c>
    </row>
    <row r="564" spans="94:94">
      <c r="CP564" s="2" t="s">
        <v>74</v>
      </c>
    </row>
    <row r="565" spans="94:94">
      <c r="CP565" s="2" t="s">
        <v>74</v>
      </c>
    </row>
    <row r="566" spans="94:94">
      <c r="CP566" s="2" t="s">
        <v>74</v>
      </c>
    </row>
    <row r="567" spans="94:94">
      <c r="CP567" s="2" t="s">
        <v>74</v>
      </c>
    </row>
    <row r="568" spans="94:94">
      <c r="CP568" s="2" t="s">
        <v>74</v>
      </c>
    </row>
    <row r="569" spans="94:94">
      <c r="CP569" s="2" t="s">
        <v>74</v>
      </c>
    </row>
    <row r="570" spans="94:94">
      <c r="CP570" s="2" t="s">
        <v>74</v>
      </c>
    </row>
    <row r="571" spans="94:94">
      <c r="CP571" s="2" t="s">
        <v>74</v>
      </c>
    </row>
    <row r="572" spans="94:94">
      <c r="CP572" s="2" t="s">
        <v>74</v>
      </c>
    </row>
    <row r="573" spans="94:94">
      <c r="CP573" s="2" t="s">
        <v>74</v>
      </c>
    </row>
    <row r="574" spans="94:94">
      <c r="CP574" s="2" t="s">
        <v>74</v>
      </c>
    </row>
    <row r="575" spans="94:94">
      <c r="CP575" s="2" t="s">
        <v>74</v>
      </c>
    </row>
    <row r="576" spans="94:94">
      <c r="CP576" s="2" t="s">
        <v>74</v>
      </c>
    </row>
    <row r="577" spans="94:94">
      <c r="CP577" s="2" t="s">
        <v>74</v>
      </c>
    </row>
    <row r="578" spans="94:94">
      <c r="CP578" s="2" t="s">
        <v>74</v>
      </c>
    </row>
    <row r="579" spans="94:94">
      <c r="CP579" s="2" t="s">
        <v>74</v>
      </c>
    </row>
    <row r="580" spans="94:94">
      <c r="CP580" s="2" t="s">
        <v>74</v>
      </c>
    </row>
    <row r="581" spans="94:94">
      <c r="CP581" s="2" t="s">
        <v>74</v>
      </c>
    </row>
    <row r="582" spans="94:94">
      <c r="CP582" s="2" t="s">
        <v>74</v>
      </c>
    </row>
    <row r="583" spans="94:94">
      <c r="CP583" s="2" t="s">
        <v>74</v>
      </c>
    </row>
    <row r="584" spans="94:94">
      <c r="CP584" s="2" t="s">
        <v>74</v>
      </c>
    </row>
    <row r="585" spans="94:94">
      <c r="CP585" s="2" t="s">
        <v>74</v>
      </c>
    </row>
    <row r="586" spans="94:94">
      <c r="CP586" s="2" t="s">
        <v>74</v>
      </c>
    </row>
    <row r="587" spans="94:94">
      <c r="CP587" s="2" t="s">
        <v>74</v>
      </c>
    </row>
    <row r="588" spans="94:94">
      <c r="CP588" s="2" t="s">
        <v>74</v>
      </c>
    </row>
    <row r="589" spans="94:94">
      <c r="CP589" s="2" t="s">
        <v>74</v>
      </c>
    </row>
    <row r="590" spans="94:94">
      <c r="CP590" s="2" t="s">
        <v>74</v>
      </c>
    </row>
    <row r="591" spans="94:94">
      <c r="CP591" s="2" t="s">
        <v>74</v>
      </c>
    </row>
    <row r="592" spans="94:94">
      <c r="CP592" s="2" t="s">
        <v>74</v>
      </c>
    </row>
    <row r="593" spans="94:94">
      <c r="CP593" s="2" t="s">
        <v>74</v>
      </c>
    </row>
    <row r="594" spans="94:94">
      <c r="CP594" s="2" t="s">
        <v>74</v>
      </c>
    </row>
    <row r="595" spans="94:94">
      <c r="CP595" s="2" t="s">
        <v>74</v>
      </c>
    </row>
    <row r="596" spans="94:94">
      <c r="CP596" s="2" t="s">
        <v>74</v>
      </c>
    </row>
    <row r="597" spans="94:94">
      <c r="CP597" s="2" t="s">
        <v>74</v>
      </c>
    </row>
    <row r="598" spans="94:94">
      <c r="CP598" s="2" t="s">
        <v>74</v>
      </c>
    </row>
    <row r="599" spans="94:94">
      <c r="CP599" s="2" t="s">
        <v>74</v>
      </c>
    </row>
    <row r="600" spans="94:94">
      <c r="CP600" s="2" t="s">
        <v>74</v>
      </c>
    </row>
    <row r="601" spans="94:94">
      <c r="CP601" s="2" t="s">
        <v>74</v>
      </c>
    </row>
    <row r="602" spans="94:94">
      <c r="CP602" s="2" t="s">
        <v>74</v>
      </c>
    </row>
    <row r="603" spans="94:94">
      <c r="CP603" s="2" t="s">
        <v>74</v>
      </c>
    </row>
    <row r="604" spans="94:94">
      <c r="CP604" s="2" t="s">
        <v>74</v>
      </c>
    </row>
    <row r="605" spans="94:94">
      <c r="CP605" s="2" t="s">
        <v>74</v>
      </c>
    </row>
    <row r="606" spans="94:94">
      <c r="CP606" s="2" t="s">
        <v>74</v>
      </c>
    </row>
    <row r="607" spans="94:94">
      <c r="CP607" s="2" t="s">
        <v>74</v>
      </c>
    </row>
    <row r="608" spans="94:94">
      <c r="CP608" s="2" t="s">
        <v>74</v>
      </c>
    </row>
    <row r="609" spans="94:94">
      <c r="CP609" s="2" t="s">
        <v>74</v>
      </c>
    </row>
    <row r="610" spans="94:94">
      <c r="CP610" s="2" t="s">
        <v>74</v>
      </c>
    </row>
    <row r="611" spans="94:94">
      <c r="CP611" s="2" t="s">
        <v>74</v>
      </c>
    </row>
    <row r="612" spans="94:94">
      <c r="CP612" s="2" t="s">
        <v>74</v>
      </c>
    </row>
    <row r="613" spans="94:94">
      <c r="CP613" s="2" t="s">
        <v>74</v>
      </c>
    </row>
    <row r="614" spans="94:94">
      <c r="CP614" s="2" t="s">
        <v>74</v>
      </c>
    </row>
    <row r="615" spans="94:94">
      <c r="CP615" s="2" t="s">
        <v>74</v>
      </c>
    </row>
    <row r="616" spans="94:94">
      <c r="CP616" s="2" t="s">
        <v>74</v>
      </c>
    </row>
    <row r="617" spans="94:94">
      <c r="CP617" s="2" t="s">
        <v>74</v>
      </c>
    </row>
    <row r="618" spans="94:94">
      <c r="CP618" s="2" t="s">
        <v>74</v>
      </c>
    </row>
    <row r="619" spans="94:94">
      <c r="CP619" s="2" t="s">
        <v>74</v>
      </c>
    </row>
    <row r="620" spans="94:94">
      <c r="CP620" s="2" t="s">
        <v>74</v>
      </c>
    </row>
    <row r="621" spans="94:94">
      <c r="CP621" s="2" t="s">
        <v>74</v>
      </c>
    </row>
    <row r="622" spans="94:94">
      <c r="CP622" s="2" t="s">
        <v>74</v>
      </c>
    </row>
    <row r="623" spans="94:94">
      <c r="CP623" s="2" t="s">
        <v>74</v>
      </c>
    </row>
    <row r="624" spans="94:94">
      <c r="CP624" s="2" t="s">
        <v>74</v>
      </c>
    </row>
    <row r="625" spans="94:94">
      <c r="CP625" s="2" t="s">
        <v>74</v>
      </c>
    </row>
    <row r="626" spans="94:94">
      <c r="CP626" s="2" t="s">
        <v>74</v>
      </c>
    </row>
    <row r="627" spans="94:94">
      <c r="CP627" s="2" t="s">
        <v>74</v>
      </c>
    </row>
    <row r="628" spans="94:94">
      <c r="CP628" s="2" t="s">
        <v>74</v>
      </c>
    </row>
    <row r="629" spans="94:94">
      <c r="CP629" s="2" t="s">
        <v>74</v>
      </c>
    </row>
    <row r="630" spans="94:94">
      <c r="CP630" s="2" t="s">
        <v>74</v>
      </c>
    </row>
    <row r="631" spans="94:94">
      <c r="CP631" s="2" t="s">
        <v>74</v>
      </c>
    </row>
    <row r="632" spans="94:94">
      <c r="CP632" s="2" t="s">
        <v>74</v>
      </c>
    </row>
    <row r="633" spans="94:94">
      <c r="CP633" s="2" t="s">
        <v>74</v>
      </c>
    </row>
    <row r="634" spans="94:94">
      <c r="CP634" s="2" t="s">
        <v>74</v>
      </c>
    </row>
    <row r="635" spans="94:94">
      <c r="CP635" s="2" t="s">
        <v>74</v>
      </c>
    </row>
    <row r="636" spans="94:94">
      <c r="CP636" s="2" t="s">
        <v>74</v>
      </c>
    </row>
    <row r="637" spans="94:94">
      <c r="CP637" s="2" t="s">
        <v>74</v>
      </c>
    </row>
    <row r="638" spans="94:94">
      <c r="CP638" s="2" t="s">
        <v>74</v>
      </c>
    </row>
    <row r="639" spans="94:94">
      <c r="CP639" s="2" t="s">
        <v>74</v>
      </c>
    </row>
    <row r="640" spans="94:94">
      <c r="CP640" s="2" t="s">
        <v>74</v>
      </c>
    </row>
    <row r="641" spans="94:94">
      <c r="CP641" s="2" t="s">
        <v>74</v>
      </c>
    </row>
    <row r="642" spans="94:94">
      <c r="CP642" s="2" t="s">
        <v>74</v>
      </c>
    </row>
    <row r="643" spans="94:94">
      <c r="CP643" s="2" t="s">
        <v>74</v>
      </c>
    </row>
    <row r="644" spans="94:94">
      <c r="CP644" s="2" t="s">
        <v>74</v>
      </c>
    </row>
    <row r="645" spans="94:94">
      <c r="CP645" s="2" t="s">
        <v>74</v>
      </c>
    </row>
    <row r="646" spans="94:94">
      <c r="CP646" s="2" t="s">
        <v>74</v>
      </c>
    </row>
    <row r="647" spans="94:94">
      <c r="CP647" s="2" t="s">
        <v>74</v>
      </c>
    </row>
    <row r="648" spans="94:94">
      <c r="CP648" s="2" t="s">
        <v>74</v>
      </c>
    </row>
    <row r="649" spans="94:94">
      <c r="CP649" s="2" t="s">
        <v>74</v>
      </c>
    </row>
    <row r="650" spans="94:94">
      <c r="CP650" s="2" t="s">
        <v>74</v>
      </c>
    </row>
    <row r="651" spans="94:94">
      <c r="CP651" s="2" t="s">
        <v>74</v>
      </c>
    </row>
    <row r="652" spans="94:94">
      <c r="CP652" s="2" t="s">
        <v>74</v>
      </c>
    </row>
    <row r="653" spans="94:94">
      <c r="CP653" s="2" t="s">
        <v>74</v>
      </c>
    </row>
    <row r="654" spans="94:94">
      <c r="CP654" s="2" t="s">
        <v>74</v>
      </c>
    </row>
    <row r="655" spans="94:94">
      <c r="CP655" s="2" t="s">
        <v>74</v>
      </c>
    </row>
    <row r="656" spans="94:94">
      <c r="CP656" s="2" t="s">
        <v>74</v>
      </c>
    </row>
    <row r="657" spans="94:94">
      <c r="CP657" s="2" t="s">
        <v>74</v>
      </c>
    </row>
    <row r="658" spans="94:94">
      <c r="CP658" s="2" t="s">
        <v>74</v>
      </c>
    </row>
    <row r="659" spans="94:94">
      <c r="CP659" s="2" t="s">
        <v>74</v>
      </c>
    </row>
    <row r="660" spans="94:94">
      <c r="CP660" s="2" t="s">
        <v>74</v>
      </c>
    </row>
    <row r="661" spans="94:94">
      <c r="CP661" s="2" t="s">
        <v>74</v>
      </c>
    </row>
    <row r="662" spans="94:94">
      <c r="CP662" s="2" t="s">
        <v>74</v>
      </c>
    </row>
    <row r="663" spans="94:94">
      <c r="CP663" s="2" t="s">
        <v>74</v>
      </c>
    </row>
    <row r="664" spans="94:94">
      <c r="CP664" s="2" t="s">
        <v>74</v>
      </c>
    </row>
    <row r="665" spans="94:94">
      <c r="CP665" s="2" t="s">
        <v>74</v>
      </c>
    </row>
    <row r="666" spans="94:94">
      <c r="CP666" s="2" t="s">
        <v>74</v>
      </c>
    </row>
    <row r="667" spans="94:94">
      <c r="CP667" s="2" t="s">
        <v>74</v>
      </c>
    </row>
    <row r="668" spans="94:94">
      <c r="CP668" s="2" t="s">
        <v>74</v>
      </c>
    </row>
    <row r="669" spans="94:94">
      <c r="CP669" s="2" t="s">
        <v>74</v>
      </c>
    </row>
    <row r="670" spans="94:94">
      <c r="CP670" s="2" t="s">
        <v>74</v>
      </c>
    </row>
    <row r="671" spans="94:94">
      <c r="CP671" s="2" t="s">
        <v>74</v>
      </c>
    </row>
    <row r="672" spans="94:94">
      <c r="CP672" s="2" t="s">
        <v>74</v>
      </c>
    </row>
    <row r="673" spans="94:94">
      <c r="CP673" s="2" t="s">
        <v>74</v>
      </c>
    </row>
    <row r="674" spans="94:94">
      <c r="CP674" s="2" t="s">
        <v>74</v>
      </c>
    </row>
    <row r="675" spans="94:94">
      <c r="CP675" s="2" t="s">
        <v>74</v>
      </c>
    </row>
    <row r="676" spans="94:94">
      <c r="CP676" s="2" t="s">
        <v>74</v>
      </c>
    </row>
    <row r="677" spans="94:94">
      <c r="CP677" s="2" t="s">
        <v>74</v>
      </c>
    </row>
    <row r="678" spans="94:94">
      <c r="CP678" s="2" t="s">
        <v>74</v>
      </c>
    </row>
    <row r="679" spans="94:94">
      <c r="CP679" s="2" t="s">
        <v>74</v>
      </c>
    </row>
    <row r="680" spans="94:94">
      <c r="CP680" s="2" t="s">
        <v>74</v>
      </c>
    </row>
    <row r="681" spans="94:94">
      <c r="CP681" s="2" t="s">
        <v>74</v>
      </c>
    </row>
    <row r="682" spans="94:94">
      <c r="CP682" s="2" t="s">
        <v>74</v>
      </c>
    </row>
    <row r="683" spans="94:94">
      <c r="CP683" s="2" t="s">
        <v>74</v>
      </c>
    </row>
    <row r="684" spans="94:94">
      <c r="CP684" s="2" t="s">
        <v>74</v>
      </c>
    </row>
    <row r="685" spans="94:94">
      <c r="CP685" s="2" t="s">
        <v>74</v>
      </c>
    </row>
    <row r="686" spans="94:94">
      <c r="CP686" s="2" t="s">
        <v>74</v>
      </c>
    </row>
    <row r="687" spans="94:94">
      <c r="CP687" s="2" t="s">
        <v>74</v>
      </c>
    </row>
    <row r="688" spans="94:94">
      <c r="CP688" s="2" t="s">
        <v>74</v>
      </c>
    </row>
  </sheetData>
  <sortState xmlns:xlrd2="http://schemas.microsoft.com/office/spreadsheetml/2017/richdata2" ref="A1:BU345">
    <sortCondition descending="1" ref="D1"/>
  </sortState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Marius Li</cp:lastModifiedBy>
  <dcterms:created xsi:type="dcterms:W3CDTF">2024-09-01T10:19:00Z</dcterms:created>
  <dcterms:modified xsi:type="dcterms:W3CDTF">2026-03-21T03:12:45Z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0337B55C1D6A4989843079B24C74EF17_13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