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oormi/Downloads/"/>
    </mc:Choice>
  </mc:AlternateContent>
  <xr:revisionPtr revIDLastSave="0" documentId="13_ncr:1_{CBC26865-3800-3640-AD67-B3E114CDA354}" xr6:coauthVersionLast="47" xr6:coauthVersionMax="47" xr10:uidLastSave="{00000000-0000-0000-0000-000000000000}"/>
  <bookViews>
    <workbookView xWindow="1560" yWindow="2540" windowWidth="23240" windowHeight="13880" tabRatio="827" xr2:uid="{00000000-000D-0000-FFFF-FFFF00000000}"/>
  </bookViews>
  <sheets>
    <sheet name="法语班" sheetId="1" r:id="rId1"/>
    <sheet name="国管班" sheetId="2" r:id="rId2"/>
    <sheet name="传播学" sheetId="3" r:id="rId3"/>
    <sheet name="金融1班" sheetId="4" r:id="rId4"/>
    <sheet name="金融2班" sheetId="5" r:id="rId5"/>
    <sheet name="金融3班" sheetId="6" r:id="rId6"/>
    <sheet name="人管班" sheetId="7" r:id="rId7"/>
    <sheet name="数学班" sheetId="8" r:id="rId8"/>
  </sheets>
  <externalReferences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26" i="7" l="1"/>
  <c r="F26" i="7" s="1"/>
  <c r="CD25" i="7"/>
  <c r="F25" i="7" s="1"/>
  <c r="E25" i="7"/>
  <c r="CD24" i="7"/>
  <c r="F24" i="7" s="1"/>
  <c r="CD23" i="7"/>
  <c r="E23" i="7" s="1"/>
  <c r="F23" i="7"/>
  <c r="CD22" i="7"/>
  <c r="F22" i="7" s="1"/>
  <c r="CD21" i="7"/>
  <c r="F21" i="7"/>
  <c r="E21" i="7"/>
  <c r="CD20" i="7"/>
  <c r="E20" i="7" s="1"/>
  <c r="CD19" i="7"/>
  <c r="F19" i="7" s="1"/>
  <c r="CD18" i="7"/>
  <c r="F18" i="7"/>
  <c r="E18" i="7"/>
  <c r="CD17" i="7"/>
  <c r="E17" i="7" s="1"/>
  <c r="F17" i="7"/>
  <c r="CD16" i="7"/>
  <c r="E16" i="7" s="1"/>
  <c r="F16" i="7"/>
  <c r="CD15" i="7"/>
  <c r="F15" i="7"/>
  <c r="E15" i="7"/>
  <c r="CD14" i="7"/>
  <c r="F14" i="7" s="1"/>
  <c r="CD13" i="7"/>
  <c r="F13" i="7" s="1"/>
  <c r="E13" i="7"/>
  <c r="CD12" i="7"/>
  <c r="F12" i="7" s="1"/>
  <c r="CD11" i="7"/>
  <c r="F11" i="7"/>
  <c r="E11" i="7"/>
  <c r="CD10" i="7"/>
  <c r="E10" i="7" s="1"/>
  <c r="CD9" i="7"/>
  <c r="F9" i="7" s="1"/>
  <c r="CD8" i="7"/>
  <c r="F8" i="7"/>
  <c r="E8" i="7"/>
  <c r="F7" i="7"/>
  <c r="E7" i="7"/>
  <c r="CD6" i="7"/>
  <c r="F6" i="7" s="1"/>
  <c r="E6" i="7"/>
  <c r="CD5" i="7"/>
  <c r="F5" i="7" s="1"/>
  <c r="E5" i="7"/>
  <c r="CD4" i="7"/>
  <c r="F4" i="7"/>
  <c r="E4" i="7"/>
  <c r="CD3" i="7"/>
  <c r="E3" i="7" s="1"/>
  <c r="CD2" i="7"/>
  <c r="F2" i="7" s="1"/>
  <c r="F54" i="6"/>
  <c r="F53" i="6"/>
  <c r="F52" i="6"/>
  <c r="F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F42" i="6"/>
  <c r="E42" i="6"/>
  <c r="F41" i="6"/>
  <c r="E41" i="6"/>
  <c r="F40" i="6"/>
  <c r="E40" i="6"/>
  <c r="F39" i="6"/>
  <c r="E39" i="6"/>
  <c r="F38" i="6"/>
  <c r="E38" i="6"/>
  <c r="F37" i="6"/>
  <c r="E37" i="6"/>
  <c r="F36" i="6"/>
  <c r="E36" i="6"/>
  <c r="F35" i="6"/>
  <c r="E35" i="6"/>
  <c r="F34" i="6"/>
  <c r="E34" i="6"/>
  <c r="F33" i="6"/>
  <c r="E33" i="6"/>
  <c r="F32" i="6"/>
  <c r="E32" i="6"/>
  <c r="F31" i="6"/>
  <c r="E31" i="6"/>
  <c r="F30" i="6"/>
  <c r="E30" i="6"/>
  <c r="F29" i="6"/>
  <c r="E29" i="6"/>
  <c r="F28" i="6"/>
  <c r="E28" i="6"/>
  <c r="F27" i="6"/>
  <c r="E27" i="6"/>
  <c r="F26" i="6"/>
  <c r="E26" i="6"/>
  <c r="F25" i="6"/>
  <c r="E25" i="6"/>
  <c r="F24" i="6"/>
  <c r="E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F6" i="6"/>
  <c r="E6" i="6"/>
  <c r="F5" i="6"/>
  <c r="E5" i="6"/>
  <c r="F4" i="6"/>
  <c r="E4" i="6"/>
  <c r="F3" i="6"/>
  <c r="E3" i="6"/>
  <c r="F2" i="6"/>
  <c r="E2" i="6"/>
  <c r="F53" i="5"/>
  <c r="E53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F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F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BR3" i="1"/>
  <c r="F3" i="1" s="1"/>
  <c r="F2" i="1"/>
  <c r="E2" i="1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F3" i="7" l="1"/>
  <c r="F10" i="7"/>
  <c r="F20" i="7"/>
  <c r="E14" i="7"/>
  <c r="E24" i="7"/>
  <c r="E12" i="7"/>
  <c r="E22" i="7"/>
  <c r="E3" i="1"/>
  <c r="E2" i="7"/>
  <c r="E9" i="7"/>
  <c r="E19" i="7"/>
  <c r="E26" i="7"/>
</calcChain>
</file>

<file path=xl/sharedStrings.xml><?xml version="1.0" encoding="utf-8"?>
<sst xmlns="http://schemas.openxmlformats.org/spreadsheetml/2006/main" count="2082" uniqueCount="480">
  <si>
    <t>序号</t>
  </si>
  <si>
    <t>学号</t>
  </si>
  <si>
    <t>姓名</t>
  </si>
  <si>
    <t>专业</t>
  </si>
  <si>
    <t>总时长</t>
  </si>
  <si>
    <t>项数</t>
  </si>
  <si>
    <t>2022.9-2023.6.30校外志愿</t>
  </si>
  <si>
    <t>2022.10.29-10.30志愿搬宿舍</t>
  </si>
  <si>
    <t>2022蓝天救援</t>
  </si>
  <si>
    <t>一路邮你5.0</t>
  </si>
  <si>
    <t>2023捐步植树</t>
  </si>
  <si>
    <t>2023种春天</t>
  </si>
  <si>
    <t>2023.5.1拙政园</t>
  </si>
  <si>
    <t>23.6 爱心明信片</t>
  </si>
  <si>
    <t>2023暑期支教</t>
  </si>
  <si>
    <t>学生组织参与</t>
  </si>
  <si>
    <t>学生组织留任</t>
  </si>
  <si>
    <t>班委</t>
  </si>
  <si>
    <t>搬寝2.0</t>
  </si>
  <si>
    <t>2022-2023一二九合唱</t>
  </si>
  <si>
    <t>23暑期招生</t>
  </si>
  <si>
    <t>22-23寒假返校宣讲</t>
  </si>
  <si>
    <t>2023声入你心</t>
  </si>
  <si>
    <t>23千人百村</t>
  </si>
  <si>
    <t>22-23学年</t>
  </si>
  <si>
    <t>2023新生迎新</t>
  </si>
  <si>
    <t>携爱“童”行</t>
  </si>
  <si>
    <t>“儿童留乡，人苏守情”</t>
  </si>
  <si>
    <t>中法文化论坛</t>
  </si>
  <si>
    <t>世界汉学大会</t>
  </si>
  <si>
    <t>阿坝支教</t>
  </si>
  <si>
    <t>2023-2024一二九合唱</t>
  </si>
  <si>
    <t>校友亲子游</t>
  </si>
  <si>
    <t>2024捐步植树</t>
  </si>
  <si>
    <t>2024寒假支教项目</t>
  </si>
  <si>
    <t>模联仁溯</t>
  </si>
  <si>
    <t>2024万人健步走</t>
  </si>
  <si>
    <t>2024数字马拉松</t>
  </si>
  <si>
    <t>拙政园活动</t>
  </si>
  <si>
    <t>2024暑期支教</t>
  </si>
  <si>
    <t>2024五月夜跑</t>
  </si>
  <si>
    <t>23-24学长来了</t>
  </si>
  <si>
    <t>2024寒假社会实践</t>
  </si>
  <si>
    <t>第三届法语活动节</t>
  </si>
  <si>
    <t>青年对话会</t>
  </si>
  <si>
    <t>大二班干部</t>
  </si>
  <si>
    <t>朋辈辅导员</t>
  </si>
  <si>
    <t>学协主讲人</t>
  </si>
  <si>
    <t>24暑期招生</t>
  </si>
  <si>
    <t>2023.9-2024.6.30校外志愿</t>
  </si>
  <si>
    <t>24千村百巷</t>
  </si>
  <si>
    <t>23-24学年</t>
  </si>
  <si>
    <t>25寒假宣讲</t>
  </si>
  <si>
    <t>大三学生组织参与</t>
  </si>
  <si>
    <t>大三班委</t>
  </si>
  <si>
    <t>2025.7-2025.8校外志愿</t>
  </si>
  <si>
    <t>调整年级前的时长</t>
  </si>
  <si>
    <t>24-25学年</t>
  </si>
  <si>
    <t>拙政园12.0</t>
  </si>
  <si>
    <t>蓝天救援</t>
  </si>
  <si>
    <t>留园沧浪亭11.8-11.9</t>
  </si>
  <si>
    <t>11.19捐物</t>
  </si>
  <si>
    <t>11月狮子林</t>
  </si>
  <si>
    <t>“你的江南我的心”</t>
  </si>
  <si>
    <t>一分钟支教</t>
  </si>
  <si>
    <t>260323植树捐步</t>
  </si>
  <si>
    <t>陈思因</t>
  </si>
  <si>
    <t>数学与应用数学</t>
  </si>
  <si>
    <t>李可心</t>
  </si>
  <si>
    <t>汪峰宇</t>
  </si>
  <si>
    <t>史力夫</t>
  </si>
  <si>
    <t>董智文</t>
  </si>
  <si>
    <t>李梦冉</t>
  </si>
  <si>
    <t>李泽华</t>
  </si>
  <si>
    <t>闫志贺</t>
  </si>
  <si>
    <t>李熠辉</t>
  </si>
  <si>
    <t>刘铭然</t>
  </si>
  <si>
    <t>李禹澄</t>
  </si>
  <si>
    <t>于文博</t>
  </si>
  <si>
    <t>印杜洋</t>
  </si>
  <si>
    <t>韩舜毅</t>
  </si>
  <si>
    <t>闵稚菲</t>
  </si>
  <si>
    <t>郁李阳</t>
  </si>
  <si>
    <t>王珂</t>
  </si>
  <si>
    <t>陈浩楠</t>
  </si>
  <si>
    <t>钱翼虎</t>
  </si>
  <si>
    <t>吴珂莹</t>
  </si>
  <si>
    <t>蔡奕辰</t>
  </si>
  <si>
    <t>揭译淳</t>
  </si>
  <si>
    <t>张艺馨</t>
  </si>
  <si>
    <t>韩成彬</t>
  </si>
  <si>
    <t>龚雨欣</t>
  </si>
  <si>
    <t>王玺凯</t>
  </si>
  <si>
    <t>刘佳保</t>
  </si>
  <si>
    <t>伍祖佳</t>
  </si>
  <si>
    <t>庞希然</t>
  </si>
  <si>
    <t>郝宇轩</t>
  </si>
  <si>
    <t>王子骏</t>
  </si>
  <si>
    <t>陆星源</t>
  </si>
  <si>
    <t>杜云贺</t>
  </si>
  <si>
    <t>黄紫萱</t>
  </si>
  <si>
    <t>吴羡</t>
  </si>
  <si>
    <t>2022.10.29-10.30噢啦旧物回收</t>
  </si>
  <si>
    <t>2022手绘童心</t>
  </si>
  <si>
    <t>2023学位授予仪式</t>
  </si>
  <si>
    <t>班委、团支部</t>
  </si>
  <si>
    <t>23捐步植树</t>
  </si>
  <si>
    <t>拙政园</t>
  </si>
  <si>
    <t>种春天</t>
  </si>
  <si>
    <t>捐校服</t>
  </si>
  <si>
    <t>22-23本科生招生</t>
  </si>
  <si>
    <t>22-23学长来了</t>
  </si>
  <si>
    <t>健美操</t>
  </si>
  <si>
    <t>儿童留乡，人苏守情</t>
  </si>
  <si>
    <t>军训服捐赠</t>
  </si>
  <si>
    <t>噢啦旧物义卖</t>
  </si>
  <si>
    <t>阿坝线上支教</t>
  </si>
  <si>
    <t>2024模联仁溯</t>
  </si>
  <si>
    <t>青协之声 2.0</t>
  </si>
  <si>
    <t>2024学位授予仪式</t>
  </si>
  <si>
    <t>文缘宿舍装饰大赛</t>
  </si>
  <si>
    <t>拙政园7.0</t>
  </si>
  <si>
    <t>春季学期支教</t>
  </si>
  <si>
    <t>2023.9-2024.7.30校外志愿</t>
  </si>
  <si>
    <t>2024.8-2025.6校外志愿</t>
  </si>
  <si>
    <t>转换年级前的志愿</t>
  </si>
  <si>
    <t>王子欣</t>
  </si>
  <si>
    <t>法语</t>
  </si>
  <si>
    <t>刘笑滢</t>
  </si>
  <si>
    <t>孙殊宜</t>
  </si>
  <si>
    <t>李梓萌</t>
  </si>
  <si>
    <t>黄梓晗</t>
  </si>
  <si>
    <t>付熙宸</t>
  </si>
  <si>
    <t>方柳童</t>
  </si>
  <si>
    <t>姜欣然</t>
  </si>
  <si>
    <t>田雨浵</t>
  </si>
  <si>
    <t>陈叶蓁</t>
  </si>
  <si>
    <t>顾熙</t>
  </si>
  <si>
    <t>张慕衡</t>
  </si>
  <si>
    <t>陈鹤赟</t>
  </si>
  <si>
    <t>吕睿洋</t>
  </si>
  <si>
    <t>宣妍钰</t>
  </si>
  <si>
    <t>罗逸</t>
  </si>
  <si>
    <t>邱梦娇</t>
  </si>
  <si>
    <t>秦雨轩</t>
  </si>
  <si>
    <t>屈皓晴</t>
  </si>
  <si>
    <t>谌柳廷</t>
  </si>
  <si>
    <t>丁煜蕾</t>
  </si>
  <si>
    <t>冯璐</t>
  </si>
  <si>
    <t>肖钟烨</t>
  </si>
  <si>
    <t>何雨泽</t>
  </si>
  <si>
    <t>王喜悦</t>
  </si>
  <si>
    <t>黄俊杰</t>
  </si>
  <si>
    <t>姚越</t>
  </si>
  <si>
    <t>樊浩磊</t>
  </si>
  <si>
    <t>贺心恬</t>
  </si>
  <si>
    <t>朋辈学业辅导员</t>
  </si>
  <si>
    <t>”儿童留乡，人苏守情“</t>
  </si>
  <si>
    <t>拙政园8.0</t>
  </si>
  <si>
    <t>2024蓝天救援</t>
  </si>
  <si>
    <t>话剧团演出</t>
  </si>
  <si>
    <t>调整年级前的志愿时长</t>
  </si>
  <si>
    <t>24-25学年校外志愿时长</t>
  </si>
  <si>
    <t>25迎新</t>
  </si>
  <si>
    <t>投委会+浦江金融论坛</t>
  </si>
  <si>
    <t>拙政园13.0</t>
  </si>
  <si>
    <t>网师园</t>
  </si>
  <si>
    <t>大爱无疆共创蔚蓝</t>
  </si>
  <si>
    <t>吴正扬</t>
  </si>
  <si>
    <t>国民经济管理</t>
  </si>
  <si>
    <t>王谦</t>
  </si>
  <si>
    <t>冯子源</t>
  </si>
  <si>
    <t>弓楚彦</t>
  </si>
  <si>
    <t>马艺菲</t>
  </si>
  <si>
    <t>田迅瑜</t>
  </si>
  <si>
    <t>徐嘉鸿</t>
  </si>
  <si>
    <t>王浩淼</t>
  </si>
  <si>
    <t>刘芮冰</t>
  </si>
  <si>
    <t>陈禹霏</t>
  </si>
  <si>
    <t>李旭</t>
  </si>
  <si>
    <t>祖凡舒</t>
  </si>
  <si>
    <t>王欣然</t>
  </si>
  <si>
    <t>陆奕涵</t>
  </si>
  <si>
    <t>杨瑞</t>
  </si>
  <si>
    <t>胡子怡</t>
  </si>
  <si>
    <t>赵烨坤</t>
  </si>
  <si>
    <t>舒怿航</t>
  </si>
  <si>
    <t>段超凡</t>
  </si>
  <si>
    <t>习哲</t>
  </si>
  <si>
    <t>陈泊璋</t>
  </si>
  <si>
    <t>叶才炜</t>
  </si>
  <si>
    <t>施皓轩</t>
  </si>
  <si>
    <t>李皓君</t>
  </si>
  <si>
    <t>李昊柯</t>
  </si>
  <si>
    <t>厉杭媛</t>
  </si>
  <si>
    <t>陈则艺</t>
  </si>
  <si>
    <t>见法语</t>
  </si>
  <si>
    <t>2022.10军训服装整理</t>
  </si>
  <si>
    <t>2022.9.5教室装饰大赛</t>
  </si>
  <si>
    <t>班委、团委</t>
  </si>
  <si>
    <t>法语活动月宣传</t>
  </si>
  <si>
    <t>学长来了</t>
  </si>
  <si>
    <t>巴州寒假辅导</t>
  </si>
  <si>
    <t>苏博文创设计</t>
  </si>
  <si>
    <t>摄影社活动</t>
  </si>
  <si>
    <t>邢天童</t>
  </si>
  <si>
    <t>传播学</t>
  </si>
  <si>
    <t>李心月</t>
  </si>
  <si>
    <t>郭一帆</t>
  </si>
  <si>
    <t>10</t>
  </si>
  <si>
    <t>赵元枚</t>
  </si>
  <si>
    <t>魏楚函</t>
  </si>
  <si>
    <t>赵若伊</t>
  </si>
  <si>
    <t>王紫楠</t>
  </si>
  <si>
    <t>蒋璐忆</t>
  </si>
  <si>
    <t>王语晨</t>
  </si>
  <si>
    <t>钱时佳</t>
  </si>
  <si>
    <t>严琰</t>
  </si>
  <si>
    <t>赵蕊</t>
  </si>
  <si>
    <t>胥童悦</t>
  </si>
  <si>
    <t>吴润轩</t>
  </si>
  <si>
    <t>付浩</t>
  </si>
  <si>
    <t>王雨桐</t>
  </si>
  <si>
    <t>潘斯婧</t>
  </si>
  <si>
    <t>李昕昱</t>
  </si>
  <si>
    <t>裴雪</t>
  </si>
  <si>
    <t>彭钰洁</t>
  </si>
  <si>
    <t>熊梓瑜</t>
  </si>
  <si>
    <t>阎禹霏</t>
  </si>
  <si>
    <t>杜锡漫</t>
  </si>
  <si>
    <t>手绘童心初稿</t>
  </si>
  <si>
    <t>2023届学位授予仪式</t>
  </si>
  <si>
    <t>22教室装饰</t>
  </si>
  <si>
    <t>23高考招生</t>
  </si>
  <si>
    <t>2023千人百村（五月结项）</t>
  </si>
  <si>
    <t>中法文化艺术周</t>
  </si>
  <si>
    <t>“儿童留乡人苏守情”</t>
  </si>
  <si>
    <t>秋季运动会</t>
  </si>
  <si>
    <t>春季运动会</t>
  </si>
  <si>
    <t>羽毛球赛场务</t>
  </si>
  <si>
    <t>24秋阿坝支教</t>
  </si>
  <si>
    <t>转换年级前的时长</t>
  </si>
  <si>
    <t>25-26学年校外志愿</t>
  </si>
  <si>
    <t>2022202363</t>
  </si>
  <si>
    <t>马基杰</t>
  </si>
  <si>
    <t>金融</t>
  </si>
  <si>
    <t>2022202371</t>
  </si>
  <si>
    <t>傅偲函</t>
  </si>
  <si>
    <t>2022202374</t>
  </si>
  <si>
    <t>韩学翔</t>
  </si>
  <si>
    <t>2022202382</t>
  </si>
  <si>
    <t>郭祯岩</t>
  </si>
  <si>
    <t>2022202395</t>
  </si>
  <si>
    <t>杜政昊</t>
  </si>
  <si>
    <t>2022202398</t>
  </si>
  <si>
    <t>杨镇睿</t>
  </si>
  <si>
    <t>2022202402</t>
  </si>
  <si>
    <t>姜文胤</t>
  </si>
  <si>
    <t>2022202407</t>
  </si>
  <si>
    <t>张烜</t>
  </si>
  <si>
    <t>2022202413</t>
  </si>
  <si>
    <t>刘青沅</t>
  </si>
  <si>
    <t>2022202414</t>
  </si>
  <si>
    <t>刘衍廷</t>
  </si>
  <si>
    <t>2022202416</t>
  </si>
  <si>
    <t>谭灏乐</t>
  </si>
  <si>
    <t>2022202433</t>
  </si>
  <si>
    <t>余梓恒</t>
  </si>
  <si>
    <t>2022202441</t>
  </si>
  <si>
    <t>吴响</t>
  </si>
  <si>
    <t>2022202442</t>
  </si>
  <si>
    <t>刘子盛</t>
  </si>
  <si>
    <t>2022202452</t>
  </si>
  <si>
    <t>左子豪</t>
  </si>
  <si>
    <t>2022202455</t>
  </si>
  <si>
    <t>黄奕超</t>
  </si>
  <si>
    <t>2022202463</t>
  </si>
  <si>
    <t>付德琳</t>
  </si>
  <si>
    <t>2022202471</t>
  </si>
  <si>
    <t>李宸尧</t>
  </si>
  <si>
    <t>曾子墨</t>
  </si>
  <si>
    <t>汤明轩</t>
  </si>
  <si>
    <t>梁伟豪</t>
  </si>
  <si>
    <t>廖春林</t>
  </si>
  <si>
    <t>张跃骞</t>
  </si>
  <si>
    <t>聂小如</t>
  </si>
  <si>
    <t>常欣然</t>
  </si>
  <si>
    <t>杜欣瑶</t>
  </si>
  <si>
    <t>彭雨洋</t>
  </si>
  <si>
    <t>塔丽雅</t>
  </si>
  <si>
    <t>张响</t>
  </si>
  <si>
    <t>贾子涵</t>
  </si>
  <si>
    <t>张林娜</t>
  </si>
  <si>
    <t>范琪悦</t>
  </si>
  <si>
    <t>孙听雨</t>
  </si>
  <si>
    <t>姚作昀</t>
  </si>
  <si>
    <t>兰子君</t>
  </si>
  <si>
    <t>赵婧如</t>
  </si>
  <si>
    <t>徐怡诺</t>
  </si>
  <si>
    <t>吴敏泓</t>
  </si>
  <si>
    <t>徐颖琦</t>
  </si>
  <si>
    <t>曹芳菲</t>
  </si>
  <si>
    <t>王煜佳</t>
  </si>
  <si>
    <t>傅琳熙</t>
  </si>
  <si>
    <t>陈思璇</t>
  </si>
  <si>
    <t>杨嘉怡</t>
  </si>
  <si>
    <t>夏媛</t>
  </si>
  <si>
    <t>刘佩珊</t>
  </si>
  <si>
    <t>李静雯</t>
  </si>
  <si>
    <t>李依凝</t>
  </si>
  <si>
    <t>2021202641</t>
  </si>
  <si>
    <t>于楚龙</t>
  </si>
  <si>
    <t>24-26学年</t>
  </si>
  <si>
    <t>张馨月</t>
  </si>
  <si>
    <t>见人管</t>
  </si>
  <si>
    <t>2022军训服装捐赠</t>
  </si>
  <si>
    <t>线上辅导4.0</t>
  </si>
  <si>
    <t>2023爱心明信片</t>
  </si>
  <si>
    <t>2023一二九</t>
  </si>
  <si>
    <t>寒假返校宣讲</t>
  </si>
  <si>
    <t>2024学校社会实践</t>
  </si>
  <si>
    <t>大江大河</t>
  </si>
  <si>
    <t>切换年级前的时长</t>
  </si>
  <si>
    <t>25-26学年校外志愿时长</t>
  </si>
  <si>
    <t>郑博文</t>
  </si>
  <si>
    <t>段博怀</t>
  </si>
  <si>
    <t>连兴</t>
  </si>
  <si>
    <t>宋京航</t>
  </si>
  <si>
    <t>郭科甫</t>
  </si>
  <si>
    <t>王语轩</t>
  </si>
  <si>
    <t>张笑源</t>
  </si>
  <si>
    <t>周佳瑞</t>
  </si>
  <si>
    <t>潘羿</t>
  </si>
  <si>
    <t>崔丹尧</t>
  </si>
  <si>
    <t>刘邦耀</t>
  </si>
  <si>
    <t>李子昂</t>
  </si>
  <si>
    <t>郑泽涵</t>
  </si>
  <si>
    <t>叶锃</t>
  </si>
  <si>
    <t>赵宸跃</t>
  </si>
  <si>
    <t>李逸豪</t>
  </si>
  <si>
    <t>臧之凡</t>
  </si>
  <si>
    <t>谢启恒</t>
  </si>
  <si>
    <t>黄昱睿</t>
  </si>
  <si>
    <t>杨霁辉</t>
  </si>
  <si>
    <t>王嘉豪</t>
  </si>
  <si>
    <t>王睿阳</t>
  </si>
  <si>
    <t>仇正豪</t>
  </si>
  <si>
    <t>石冉</t>
  </si>
  <si>
    <t>符文颖</t>
  </si>
  <si>
    <t>马妮雅</t>
  </si>
  <si>
    <t>王昕玥</t>
  </si>
  <si>
    <t>张婉宜</t>
  </si>
  <si>
    <t>关明瑶</t>
  </si>
  <si>
    <t>张天懿</t>
  </si>
  <si>
    <t>玄书妍</t>
  </si>
  <si>
    <t>杨韫玮</t>
  </si>
  <si>
    <t>龚添亿</t>
  </si>
  <si>
    <t>孙天悦</t>
  </si>
  <si>
    <t>费荧</t>
  </si>
  <si>
    <t>陆心硕</t>
  </si>
  <si>
    <t>周嘉艺</t>
  </si>
  <si>
    <t>叶佳彤</t>
  </si>
  <si>
    <t>许嘉乐</t>
  </si>
  <si>
    <t>郭婧雯</t>
  </si>
  <si>
    <t>张炳仪</t>
  </si>
  <si>
    <t>王小慧</t>
  </si>
  <si>
    <t>吴泽美</t>
  </si>
  <si>
    <t>严智立</t>
  </si>
  <si>
    <t>向鲁美秀</t>
  </si>
  <si>
    <t>华曾增</t>
  </si>
  <si>
    <t>8</t>
  </si>
  <si>
    <t>张芃豫</t>
  </si>
  <si>
    <t>谭冰儿</t>
  </si>
  <si>
    <t>周典</t>
  </si>
  <si>
    <t>见国管</t>
  </si>
  <si>
    <t>2021202651</t>
  </si>
  <si>
    <t>王铖智</t>
  </si>
  <si>
    <t>22-23学长来了（寒假宣讲）</t>
  </si>
  <si>
    <t>朋辈学业咨询师</t>
  </si>
  <si>
    <t>学位授予仪式</t>
  </si>
  <si>
    <t>2022202458</t>
  </si>
  <si>
    <t>许奕阳</t>
  </si>
  <si>
    <t>2022202376</t>
  </si>
  <si>
    <t>李明睿</t>
  </si>
  <si>
    <t>2022202390</t>
  </si>
  <si>
    <t>徐宁徽</t>
  </si>
  <si>
    <t>2022202403</t>
  </si>
  <si>
    <t>曲浩闻</t>
  </si>
  <si>
    <t>2022202423</t>
  </si>
  <si>
    <t>朱柯宁</t>
  </si>
  <si>
    <t>2022202424</t>
  </si>
  <si>
    <t>潘威成</t>
  </si>
  <si>
    <t>2022202426</t>
  </si>
  <si>
    <t>徐谨烨</t>
  </si>
  <si>
    <t>2022202445</t>
  </si>
  <si>
    <t>邢瑞</t>
  </si>
  <si>
    <t>2022202448</t>
  </si>
  <si>
    <t>刘胡炀</t>
  </si>
  <si>
    <t>2022202453</t>
  </si>
  <si>
    <t>王亦乐</t>
  </si>
  <si>
    <t>2022202460</t>
  </si>
  <si>
    <t>贾云哲</t>
  </si>
  <si>
    <t>2022202461</t>
  </si>
  <si>
    <t>侯博渊</t>
  </si>
  <si>
    <t>2022202466</t>
  </si>
  <si>
    <t>李昊阳</t>
  </si>
  <si>
    <t>2022202467</t>
  </si>
  <si>
    <t>齐士龙</t>
  </si>
  <si>
    <t>王玺涵</t>
  </si>
  <si>
    <t>谭闳天</t>
  </si>
  <si>
    <t>付子齐</t>
  </si>
  <si>
    <t>周渝超</t>
  </si>
  <si>
    <t>胡洛</t>
  </si>
  <si>
    <t>陈慕梵</t>
  </si>
  <si>
    <t>李嘉一</t>
  </si>
  <si>
    <t>罗玄哲</t>
  </si>
  <si>
    <t>黄欣玥</t>
  </si>
  <si>
    <t>陈奕璇</t>
  </si>
  <si>
    <t>薛景月</t>
  </si>
  <si>
    <t>徐诗瑜</t>
  </si>
  <si>
    <t>许瑞宸</t>
  </si>
  <si>
    <t>王家宇</t>
  </si>
  <si>
    <t>王嘉</t>
  </si>
  <si>
    <t>张弛</t>
  </si>
  <si>
    <t>张稀楠</t>
  </si>
  <si>
    <t>赵梓惠</t>
  </si>
  <si>
    <t>张卓</t>
  </si>
  <si>
    <t>张司瑶</t>
  </si>
  <si>
    <t>吕一鸣</t>
  </si>
  <si>
    <t>贾婧巍</t>
  </si>
  <si>
    <t>管筠筱</t>
  </si>
  <si>
    <t>王美鸥</t>
  </si>
  <si>
    <t>孙亚婷</t>
  </si>
  <si>
    <t>朱一淇</t>
  </si>
  <si>
    <t>吴晗</t>
  </si>
  <si>
    <t>吴艾伊晨</t>
  </si>
  <si>
    <t>沈雨轩</t>
  </si>
  <si>
    <t>王又然</t>
  </si>
  <si>
    <t>管晓</t>
  </si>
  <si>
    <t>章雅诗</t>
  </si>
  <si>
    <t>苏晋龄</t>
  </si>
  <si>
    <t>芮心妤</t>
  </si>
  <si>
    <t>郑鹏</t>
  </si>
  <si>
    <t>陈禹璇</t>
  </si>
  <si>
    <t>2023学位授予证书</t>
  </si>
  <si>
    <t>军训服捐赠活动</t>
  </si>
  <si>
    <t>23暑期大国边疆</t>
  </si>
  <si>
    <t>24文萃留学生入住志愿者</t>
  </si>
  <si>
    <t>苏州非遗志愿者</t>
  </si>
  <si>
    <t>24迎新</t>
  </si>
  <si>
    <t>24暑期学校社会实践</t>
  </si>
  <si>
    <t>24-25朋辈心理辅导员</t>
  </si>
  <si>
    <t>暑期招生</t>
  </si>
  <si>
    <t>24-25学校社会实践</t>
  </si>
  <si>
    <t>大三其他学生组织参与</t>
  </si>
  <si>
    <t>蓝天支援</t>
  </si>
  <si>
    <t>于小淳</t>
  </si>
  <si>
    <t>人力资源管理</t>
  </si>
  <si>
    <t>马薇清</t>
  </si>
  <si>
    <t>冯川皓</t>
  </si>
  <si>
    <t>田淼</t>
  </si>
  <si>
    <t>鲍玺珺</t>
  </si>
  <si>
    <t>高鸿展</t>
  </si>
  <si>
    <t>张珈豪</t>
  </si>
  <si>
    <t>扈筱涵</t>
  </si>
  <si>
    <t>袁子涵</t>
  </si>
  <si>
    <t>丁奕涵</t>
  </si>
  <si>
    <t>陈紫煜</t>
  </si>
  <si>
    <t>郑霖欣</t>
  </si>
  <si>
    <t>朱静晗</t>
  </si>
  <si>
    <t>林继开</t>
  </si>
  <si>
    <t>刘家赫</t>
  </si>
  <si>
    <t>晏然</t>
  </si>
  <si>
    <t>游宣宏</t>
  </si>
  <si>
    <t>林云志</t>
  </si>
  <si>
    <t>张栩阳</t>
  </si>
  <si>
    <t>毛心缘</t>
  </si>
  <si>
    <t>石盛楠</t>
  </si>
  <si>
    <t>李梓仪</t>
  </si>
  <si>
    <t>武新悦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</si>
</sst>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1"/>
      <color theme="1"/>
      <name val="微软雅黑"/>
      <charset val="134"/>
    </font>
    <font>
      <sz val="11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SimSun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2"/>
      <color rgb="FF000000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2" fillId="5" borderId="4">
      <alignment vertical="center"/>
    </xf>
    <xf numFmtId="0" fontId="12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0" fillId="0" borderId="0" xfId="0" applyAlignment="1"/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top"/>
    </xf>
    <xf numFmtId="0" fontId="7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/>
  </cellXfs>
  <cellStyles count="3">
    <cellStyle name="常规" xfId="0" builtinId="0"/>
    <cellStyle name="常规 2" xfId="2" xr:uid="{00000000-0005-0000-0000-000002000000}"/>
    <cellStyle name="注释" xfId="1" builtinId="1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00000000-0011-0000-FFFF-FFFF00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oormi/Desktop/Users/doormi/Desktop/Users/zjc/Documents/xwechat_files/wxid_es87ckv9r0ax32_b499/msg/attach/9e20f478899dc29eb19741386f9343c8/2025-12/Rec/b31a0fbadfd8a4c0/F/1/11.19&#38738;&#21327;&#25424;&#29289;&#26102;&#3827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oormi/Desktop/Users/DELL/Documents/xwechat_files/wxid_djo8o5m346gc22_03ea/msg/file/2025-12/&#29422;&#23376;&#26519;&#24535;&#24895;&#32773;&#21517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数据表"/>
    </sheetNames>
    <sheetDataSet>
      <sheetData sheetId="0">
        <row r="1">
          <cell r="A1" t="str">
            <v>姓名</v>
          </cell>
          <cell r="B1" t="str">
            <v>时长</v>
          </cell>
        </row>
        <row r="2">
          <cell r="A2" t="str">
            <v>林晓风</v>
          </cell>
          <cell r="B2">
            <v>2</v>
          </cell>
        </row>
        <row r="3">
          <cell r="A3" t="str">
            <v>牟昶钰</v>
          </cell>
          <cell r="B3">
            <v>0.5</v>
          </cell>
        </row>
        <row r="4">
          <cell r="A4" t="str">
            <v>王舒</v>
          </cell>
          <cell r="B4">
            <v>2</v>
          </cell>
        </row>
        <row r="5">
          <cell r="A5" t="str">
            <v>蒋镒芷</v>
          </cell>
          <cell r="B5">
            <v>2</v>
          </cell>
        </row>
        <row r="6">
          <cell r="A6" t="str">
            <v>袁亦瑶</v>
          </cell>
          <cell r="B6">
            <v>2</v>
          </cell>
        </row>
        <row r="7">
          <cell r="A7" t="str">
            <v>夏琪翔</v>
          </cell>
          <cell r="B7">
            <v>0.5</v>
          </cell>
        </row>
        <row r="8">
          <cell r="A8" t="str">
            <v>王言西</v>
          </cell>
          <cell r="B8">
            <v>0.5</v>
          </cell>
        </row>
        <row r="9">
          <cell r="A9" t="str">
            <v>刘青岳</v>
          </cell>
          <cell r="B9">
            <v>2</v>
          </cell>
        </row>
        <row r="10">
          <cell r="A10" t="str">
            <v>吉泽皓</v>
          </cell>
          <cell r="B10">
            <v>2</v>
          </cell>
        </row>
        <row r="11">
          <cell r="A11" t="str">
            <v>曾庆典</v>
          </cell>
          <cell r="B11">
            <v>2</v>
          </cell>
        </row>
        <row r="12">
          <cell r="A12" t="str">
            <v>饶思源</v>
          </cell>
          <cell r="B12">
            <v>2</v>
          </cell>
        </row>
        <row r="13">
          <cell r="A13" t="str">
            <v>孙福齐</v>
          </cell>
          <cell r="B13">
            <v>3</v>
          </cell>
        </row>
        <row r="14">
          <cell r="A14" t="str">
            <v>侯阳子璐</v>
          </cell>
          <cell r="B14">
            <v>1</v>
          </cell>
        </row>
        <row r="15">
          <cell r="A15" t="str">
            <v>朱思潮</v>
          </cell>
          <cell r="B15">
            <v>2</v>
          </cell>
        </row>
        <row r="16">
          <cell r="A16" t="str">
            <v>王心怡</v>
          </cell>
          <cell r="B16">
            <v>2</v>
          </cell>
        </row>
        <row r="17">
          <cell r="A17" t="str">
            <v>戚清越</v>
          </cell>
          <cell r="B17">
            <v>1.5</v>
          </cell>
        </row>
        <row r="18">
          <cell r="A18" t="str">
            <v>沈佳慧</v>
          </cell>
          <cell r="B18">
            <v>1.5</v>
          </cell>
        </row>
        <row r="19">
          <cell r="A19" t="str">
            <v>黄炫文</v>
          </cell>
          <cell r="B19">
            <v>2</v>
          </cell>
        </row>
        <row r="20">
          <cell r="A20" t="str">
            <v>黄俊怡</v>
          </cell>
          <cell r="B20">
            <v>2</v>
          </cell>
        </row>
        <row r="21">
          <cell r="A21" t="str">
            <v>鄢雨寒</v>
          </cell>
          <cell r="B21">
            <v>2</v>
          </cell>
        </row>
        <row r="22">
          <cell r="A22" t="str">
            <v>宋亦心</v>
          </cell>
          <cell r="B22">
            <v>2</v>
          </cell>
        </row>
        <row r="23">
          <cell r="A23" t="str">
            <v>项欣怡</v>
          </cell>
          <cell r="B23">
            <v>4</v>
          </cell>
        </row>
        <row r="24">
          <cell r="A24" t="str">
            <v>张馨予</v>
          </cell>
          <cell r="B24">
            <v>2</v>
          </cell>
        </row>
        <row r="25">
          <cell r="A25" t="str">
            <v>潘若月</v>
          </cell>
          <cell r="B25">
            <v>2</v>
          </cell>
        </row>
        <row r="26">
          <cell r="A26" t="str">
            <v>余冯依</v>
          </cell>
          <cell r="B26">
            <v>2</v>
          </cell>
        </row>
        <row r="27">
          <cell r="A27" t="str">
            <v>赵苏瑞</v>
          </cell>
          <cell r="B27">
            <v>2</v>
          </cell>
        </row>
        <row r="28">
          <cell r="A28" t="str">
            <v>郑轶</v>
          </cell>
          <cell r="B28">
            <v>2</v>
          </cell>
        </row>
        <row r="29">
          <cell r="A29" t="str">
            <v>姚苏桐</v>
          </cell>
          <cell r="B29">
            <v>2</v>
          </cell>
        </row>
        <row r="30">
          <cell r="A30" t="str">
            <v>阎雨菡</v>
          </cell>
          <cell r="B30">
            <v>2</v>
          </cell>
        </row>
        <row r="31">
          <cell r="A31" t="str">
            <v>卓妍</v>
          </cell>
          <cell r="B31">
            <v>2</v>
          </cell>
        </row>
        <row r="32">
          <cell r="A32" t="str">
            <v>谷艺文</v>
          </cell>
          <cell r="B32">
            <v>2</v>
          </cell>
        </row>
        <row r="33">
          <cell r="A33" t="str">
            <v>陈思妤</v>
          </cell>
          <cell r="B33">
            <v>3</v>
          </cell>
        </row>
        <row r="34">
          <cell r="A34" t="str">
            <v>王梓鑫</v>
          </cell>
          <cell r="B34">
            <v>2</v>
          </cell>
        </row>
        <row r="35">
          <cell r="A35" t="str">
            <v>李百泽</v>
          </cell>
          <cell r="B35">
            <v>2</v>
          </cell>
        </row>
        <row r="36">
          <cell r="A36" t="str">
            <v>蔡涵章</v>
          </cell>
          <cell r="B36">
            <v>1</v>
          </cell>
        </row>
        <row r="37">
          <cell r="A37" t="str">
            <v>薛涵予</v>
          </cell>
          <cell r="B37">
            <v>1.5</v>
          </cell>
        </row>
        <row r="38">
          <cell r="A38" t="str">
            <v>王一涵</v>
          </cell>
          <cell r="B38">
            <v>2</v>
          </cell>
        </row>
        <row r="39">
          <cell r="A39" t="str">
            <v>郑麒麟</v>
          </cell>
          <cell r="B39">
            <v>0.5</v>
          </cell>
        </row>
        <row r="40">
          <cell r="A40" t="str">
            <v>修博远</v>
          </cell>
          <cell r="B40">
            <v>2</v>
          </cell>
        </row>
        <row r="41">
          <cell r="A41" t="str">
            <v>陶祎</v>
          </cell>
          <cell r="B41">
            <v>1</v>
          </cell>
        </row>
        <row r="42">
          <cell r="A42" t="str">
            <v>周祖辉</v>
          </cell>
          <cell r="B42">
            <v>2</v>
          </cell>
        </row>
        <row r="43">
          <cell r="A43" t="str">
            <v>庞荔恬</v>
          </cell>
          <cell r="B43">
            <v>2</v>
          </cell>
        </row>
        <row r="44">
          <cell r="A44" t="str">
            <v>杨钰祺</v>
          </cell>
          <cell r="B44">
            <v>2</v>
          </cell>
        </row>
        <row r="45">
          <cell r="A45" t="str">
            <v>朱奕丞</v>
          </cell>
          <cell r="B45">
            <v>2</v>
          </cell>
        </row>
        <row r="46">
          <cell r="A46" t="str">
            <v>乔悦舒</v>
          </cell>
          <cell r="B46">
            <v>2</v>
          </cell>
        </row>
        <row r="47">
          <cell r="A47" t="str">
            <v>廉奥燃</v>
          </cell>
          <cell r="B47">
            <v>0.5</v>
          </cell>
        </row>
        <row r="48">
          <cell r="A48" t="str">
            <v>白榆轩</v>
          </cell>
          <cell r="B48">
            <v>2</v>
          </cell>
        </row>
        <row r="49">
          <cell r="A49" t="str">
            <v>毛熠莹</v>
          </cell>
          <cell r="B49">
            <v>1</v>
          </cell>
        </row>
        <row r="50">
          <cell r="A50" t="str">
            <v>于可涵</v>
          </cell>
          <cell r="B50">
            <v>0.5</v>
          </cell>
        </row>
        <row r="51">
          <cell r="A51" t="str">
            <v>徐若菡</v>
          </cell>
          <cell r="B51">
            <v>2</v>
          </cell>
        </row>
        <row r="52">
          <cell r="A52" t="str">
            <v>周思彤</v>
          </cell>
          <cell r="B52">
            <v>4</v>
          </cell>
        </row>
        <row r="53">
          <cell r="A53" t="str">
            <v>黄玥涵</v>
          </cell>
          <cell r="B53">
            <v>3.5</v>
          </cell>
        </row>
        <row r="54">
          <cell r="A54" t="str">
            <v>陈浩宇</v>
          </cell>
          <cell r="B54">
            <v>2</v>
          </cell>
        </row>
        <row r="55">
          <cell r="A55" t="str">
            <v>张米加</v>
          </cell>
          <cell r="B55">
            <v>2</v>
          </cell>
        </row>
        <row r="56">
          <cell r="A56" t="str">
            <v>唐青因</v>
          </cell>
          <cell r="B56">
            <v>2</v>
          </cell>
        </row>
        <row r="57">
          <cell r="A57" t="str">
            <v>张诗微</v>
          </cell>
          <cell r="B57">
            <v>2</v>
          </cell>
        </row>
        <row r="58">
          <cell r="A58" t="str">
            <v>孙璎芷</v>
          </cell>
          <cell r="B58">
            <v>4</v>
          </cell>
        </row>
        <row r="59">
          <cell r="A59" t="str">
            <v>李季南</v>
          </cell>
          <cell r="B59">
            <v>0.5</v>
          </cell>
        </row>
        <row r="60">
          <cell r="A60" t="str">
            <v>徐一禾</v>
          </cell>
          <cell r="B60">
            <v>1.5</v>
          </cell>
        </row>
        <row r="61">
          <cell r="A61" t="str">
            <v>夏鸣远</v>
          </cell>
          <cell r="B61">
            <v>0.5</v>
          </cell>
        </row>
        <row r="62">
          <cell r="A62" t="str">
            <v>折雨欣</v>
          </cell>
          <cell r="B62">
            <v>1.5</v>
          </cell>
        </row>
        <row r="63">
          <cell r="A63" t="str">
            <v>乔翊轩</v>
          </cell>
          <cell r="B63">
            <v>2</v>
          </cell>
        </row>
        <row r="64">
          <cell r="A64" t="str">
            <v>韩晓锋</v>
          </cell>
          <cell r="B64">
            <v>2</v>
          </cell>
        </row>
        <row r="65">
          <cell r="A65" t="str">
            <v>陈泽梁</v>
          </cell>
          <cell r="B65">
            <v>2</v>
          </cell>
        </row>
        <row r="66">
          <cell r="A66" t="str">
            <v>周政霖</v>
          </cell>
          <cell r="B66">
            <v>2</v>
          </cell>
        </row>
        <row r="67">
          <cell r="A67" t="str">
            <v>郑易豪</v>
          </cell>
          <cell r="B67">
            <v>1</v>
          </cell>
        </row>
        <row r="68">
          <cell r="A68" t="str">
            <v>李家宸</v>
          </cell>
          <cell r="B68">
            <v>1</v>
          </cell>
        </row>
        <row r="69">
          <cell r="A69" t="str">
            <v>潘姿名</v>
          </cell>
          <cell r="B69">
            <v>1</v>
          </cell>
        </row>
        <row r="70">
          <cell r="A70" t="str">
            <v>金铄莑</v>
          </cell>
          <cell r="B70">
            <v>1</v>
          </cell>
        </row>
        <row r="71">
          <cell r="A71" t="str">
            <v>辛飞翔</v>
          </cell>
          <cell r="B71">
            <v>2</v>
          </cell>
        </row>
        <row r="72">
          <cell r="A72" t="str">
            <v>刘郑茜</v>
          </cell>
          <cell r="B72">
            <v>2</v>
          </cell>
        </row>
        <row r="73">
          <cell r="A73" t="str">
            <v>王鹏志</v>
          </cell>
          <cell r="B73">
            <v>2</v>
          </cell>
        </row>
        <row r="74">
          <cell r="A74" t="str">
            <v>王子畅</v>
          </cell>
          <cell r="B74">
            <v>2</v>
          </cell>
        </row>
        <row r="75">
          <cell r="A75" t="str">
            <v>沈希洋</v>
          </cell>
          <cell r="B75">
            <v>2</v>
          </cell>
        </row>
        <row r="76">
          <cell r="A76" t="str">
            <v>孙孟冉</v>
          </cell>
          <cell r="B76">
            <v>2</v>
          </cell>
        </row>
        <row r="77">
          <cell r="A77" t="str">
            <v>李庞博</v>
          </cell>
          <cell r="B77">
            <v>1.5</v>
          </cell>
        </row>
        <row r="78">
          <cell r="A78" t="str">
            <v>姚欢迅</v>
          </cell>
          <cell r="B78">
            <v>0.5</v>
          </cell>
        </row>
        <row r="79">
          <cell r="A79" t="str">
            <v>杜俊莹</v>
          </cell>
          <cell r="B79">
            <v>1</v>
          </cell>
        </row>
        <row r="80">
          <cell r="A80" t="str">
            <v>王子蕴</v>
          </cell>
          <cell r="B80">
            <v>2</v>
          </cell>
        </row>
        <row r="81">
          <cell r="A81" t="str">
            <v>方俐颖</v>
          </cell>
          <cell r="B81">
            <v>2</v>
          </cell>
        </row>
        <row r="82">
          <cell r="A82" t="str">
            <v>温照青</v>
          </cell>
          <cell r="B82">
            <v>2</v>
          </cell>
        </row>
        <row r="83">
          <cell r="A83" t="str">
            <v>刘诗雨</v>
          </cell>
          <cell r="B83">
            <v>2</v>
          </cell>
        </row>
        <row r="84">
          <cell r="A84" t="str">
            <v>陈凯洋</v>
          </cell>
          <cell r="B84">
            <v>2</v>
          </cell>
        </row>
        <row r="85">
          <cell r="A85" t="str">
            <v>马璨</v>
          </cell>
          <cell r="B85">
            <v>2</v>
          </cell>
        </row>
        <row r="86">
          <cell r="A86" t="str">
            <v>曹馨月</v>
          </cell>
          <cell r="B86">
            <v>0.5</v>
          </cell>
        </row>
        <row r="87">
          <cell r="A87" t="str">
            <v>石皓宇</v>
          </cell>
          <cell r="B87">
            <v>1.5</v>
          </cell>
        </row>
        <row r="88">
          <cell r="A88" t="str">
            <v>彭子淇</v>
          </cell>
          <cell r="B88">
            <v>2</v>
          </cell>
        </row>
        <row r="89">
          <cell r="A89" t="str">
            <v>田雨芊</v>
          </cell>
          <cell r="B89">
            <v>2</v>
          </cell>
        </row>
        <row r="90">
          <cell r="A90" t="str">
            <v>黄逸人</v>
          </cell>
          <cell r="B90">
            <v>2</v>
          </cell>
        </row>
        <row r="91">
          <cell r="A91" t="str">
            <v>张知微</v>
          </cell>
          <cell r="B91">
            <v>2</v>
          </cell>
        </row>
        <row r="92">
          <cell r="A92" t="str">
            <v>张馨瑞</v>
          </cell>
          <cell r="B92">
            <v>1</v>
          </cell>
        </row>
        <row r="93">
          <cell r="A93" t="str">
            <v>孙家祺</v>
          </cell>
          <cell r="B93">
            <v>1.5</v>
          </cell>
        </row>
        <row r="94">
          <cell r="A94" t="str">
            <v>赵之媛</v>
          </cell>
          <cell r="B94">
            <v>2</v>
          </cell>
        </row>
        <row r="95">
          <cell r="A95" t="str">
            <v>班睿言</v>
          </cell>
          <cell r="B95">
            <v>2</v>
          </cell>
        </row>
        <row r="96">
          <cell r="A96" t="str">
            <v>杨其航</v>
          </cell>
          <cell r="B96">
            <v>2</v>
          </cell>
        </row>
        <row r="97">
          <cell r="A97" t="str">
            <v>王浩冉</v>
          </cell>
          <cell r="B97">
            <v>2</v>
          </cell>
        </row>
        <row r="98">
          <cell r="A98" t="str">
            <v>胡嘉倩</v>
          </cell>
          <cell r="B98">
            <v>1.5</v>
          </cell>
        </row>
        <row r="99">
          <cell r="A99" t="str">
            <v>王弋舒</v>
          </cell>
          <cell r="B99">
            <v>2</v>
          </cell>
        </row>
        <row r="100">
          <cell r="A100" t="str">
            <v>岑思蕊</v>
          </cell>
          <cell r="B100">
            <v>2</v>
          </cell>
        </row>
        <row r="101">
          <cell r="A101" t="str">
            <v>侯珺</v>
          </cell>
          <cell r="B101">
            <v>2</v>
          </cell>
        </row>
        <row r="102">
          <cell r="A102" t="str">
            <v>刘家明</v>
          </cell>
          <cell r="B102">
            <v>2</v>
          </cell>
        </row>
        <row r="103">
          <cell r="A103" t="str">
            <v>张雅妮</v>
          </cell>
          <cell r="B103">
            <v>2</v>
          </cell>
        </row>
        <row r="104">
          <cell r="A104" t="str">
            <v>唐宸韵</v>
          </cell>
          <cell r="B104">
            <v>2</v>
          </cell>
        </row>
        <row r="105">
          <cell r="A105" t="str">
            <v>李运</v>
          </cell>
          <cell r="B105">
            <v>1</v>
          </cell>
        </row>
        <row r="106">
          <cell r="A106" t="str">
            <v>何沐阳</v>
          </cell>
          <cell r="B106">
            <v>1</v>
          </cell>
        </row>
        <row r="107">
          <cell r="A107" t="str">
            <v>熊俊奕</v>
          </cell>
          <cell r="B107">
            <v>2</v>
          </cell>
        </row>
        <row r="108">
          <cell r="A108" t="str">
            <v>陈筱霖</v>
          </cell>
          <cell r="B108">
            <v>2</v>
          </cell>
        </row>
        <row r="109">
          <cell r="A109" t="str">
            <v>赵凡尔</v>
          </cell>
          <cell r="B109">
            <v>2</v>
          </cell>
        </row>
        <row r="110">
          <cell r="A110" t="str">
            <v>魏子凡</v>
          </cell>
          <cell r="B110">
            <v>2</v>
          </cell>
        </row>
        <row r="111">
          <cell r="A111" t="str">
            <v>何昱霖</v>
          </cell>
          <cell r="B111">
            <v>2</v>
          </cell>
        </row>
        <row r="112">
          <cell r="A112" t="str">
            <v>马思涵</v>
          </cell>
          <cell r="B112">
            <v>0.5</v>
          </cell>
        </row>
        <row r="113">
          <cell r="A113" t="str">
            <v>毛汪兰淇</v>
          </cell>
          <cell r="B113">
            <v>0.5</v>
          </cell>
        </row>
        <row r="114">
          <cell r="A114" t="str">
            <v>应馨仪</v>
          </cell>
          <cell r="B114">
            <v>1</v>
          </cell>
        </row>
        <row r="115">
          <cell r="A115" t="str">
            <v>夏凡</v>
          </cell>
          <cell r="B115">
            <v>2</v>
          </cell>
        </row>
        <row r="116">
          <cell r="A116" t="str">
            <v>郑琬淇</v>
          </cell>
          <cell r="B116">
            <v>2</v>
          </cell>
        </row>
        <row r="117">
          <cell r="A117" t="str">
            <v>王小元</v>
          </cell>
          <cell r="B117">
            <v>6</v>
          </cell>
        </row>
        <row r="118">
          <cell r="A118" t="str">
            <v>曾梓蓝</v>
          </cell>
          <cell r="B118">
            <v>2</v>
          </cell>
        </row>
        <row r="119">
          <cell r="A119" t="str">
            <v>曾静澜</v>
          </cell>
          <cell r="B119">
            <v>2</v>
          </cell>
        </row>
        <row r="120">
          <cell r="A120" t="str">
            <v>林沛铮</v>
          </cell>
          <cell r="B120">
            <v>2</v>
          </cell>
        </row>
        <row r="121">
          <cell r="A121" t="str">
            <v>刘梦蝶</v>
          </cell>
          <cell r="B121">
            <v>1.5</v>
          </cell>
        </row>
        <row r="122">
          <cell r="A122" t="str">
            <v>罗嘉祈</v>
          </cell>
          <cell r="B122">
            <v>2</v>
          </cell>
        </row>
        <row r="123">
          <cell r="A123" t="str">
            <v>宗相宜</v>
          </cell>
          <cell r="B123">
            <v>2</v>
          </cell>
        </row>
        <row r="124">
          <cell r="A124" t="str">
            <v>唐浚</v>
          </cell>
          <cell r="B124">
            <v>2</v>
          </cell>
        </row>
        <row r="125">
          <cell r="A125" t="str">
            <v>林意璐</v>
          </cell>
          <cell r="B125">
            <v>2</v>
          </cell>
        </row>
        <row r="126">
          <cell r="A126" t="str">
            <v>赵珒涵</v>
          </cell>
          <cell r="B126">
            <v>2</v>
          </cell>
        </row>
        <row r="127">
          <cell r="A127" t="str">
            <v>焦梓妍</v>
          </cell>
          <cell r="B127">
            <v>1</v>
          </cell>
        </row>
        <row r="128">
          <cell r="A128" t="str">
            <v>孙祥盛</v>
          </cell>
          <cell r="B128">
            <v>2</v>
          </cell>
        </row>
        <row r="129">
          <cell r="A129" t="str">
            <v>崔佳雯</v>
          </cell>
          <cell r="B129">
            <v>2</v>
          </cell>
        </row>
        <row r="130">
          <cell r="A130" t="str">
            <v>冯鼎奇</v>
          </cell>
          <cell r="B130">
            <v>4</v>
          </cell>
        </row>
        <row r="131">
          <cell r="A131" t="str">
            <v>杨抱朴</v>
          </cell>
          <cell r="B131">
            <v>2</v>
          </cell>
        </row>
        <row r="132">
          <cell r="A132" t="str">
            <v>许钧涵</v>
          </cell>
          <cell r="B132">
            <v>2</v>
          </cell>
        </row>
        <row r="133">
          <cell r="A133" t="str">
            <v>陈雨萱</v>
          </cell>
          <cell r="B133">
            <v>2</v>
          </cell>
        </row>
        <row r="134">
          <cell r="A134" t="str">
            <v>郑冰煜</v>
          </cell>
          <cell r="B134">
            <v>1</v>
          </cell>
        </row>
        <row r="135">
          <cell r="A135" t="str">
            <v>曲铄庚</v>
          </cell>
          <cell r="B135">
            <v>2</v>
          </cell>
        </row>
        <row r="136">
          <cell r="A136" t="str">
            <v>荆诗然</v>
          </cell>
          <cell r="B136">
            <v>2</v>
          </cell>
        </row>
        <row r="137">
          <cell r="A137" t="str">
            <v>张艺诺</v>
          </cell>
          <cell r="B137">
            <v>2</v>
          </cell>
        </row>
        <row r="138">
          <cell r="A138" t="str">
            <v>翟航</v>
          </cell>
          <cell r="B138">
            <v>2</v>
          </cell>
        </row>
        <row r="139">
          <cell r="A139" t="str">
            <v>龙心扬</v>
          </cell>
          <cell r="B139">
            <v>1</v>
          </cell>
        </row>
        <row r="140">
          <cell r="A140" t="str">
            <v>杨博涵</v>
          </cell>
          <cell r="B140">
            <v>2</v>
          </cell>
        </row>
        <row r="141">
          <cell r="A141" t="str">
            <v>韩想</v>
          </cell>
          <cell r="B141">
            <v>2</v>
          </cell>
        </row>
        <row r="142">
          <cell r="A142" t="str">
            <v>穆雯琦</v>
          </cell>
          <cell r="B142">
            <v>1.5</v>
          </cell>
        </row>
        <row r="143">
          <cell r="A143" t="str">
            <v>李熠辉</v>
          </cell>
          <cell r="B143">
            <v>0.5</v>
          </cell>
        </row>
        <row r="144">
          <cell r="A144" t="str">
            <v>姜芦珈</v>
          </cell>
          <cell r="B144">
            <v>2</v>
          </cell>
        </row>
        <row r="145">
          <cell r="A145" t="str">
            <v>邓雪</v>
          </cell>
          <cell r="B145">
            <v>2</v>
          </cell>
        </row>
        <row r="146">
          <cell r="A146" t="str">
            <v>冯乐</v>
          </cell>
          <cell r="B146">
            <v>2</v>
          </cell>
        </row>
        <row r="147">
          <cell r="A147" t="str">
            <v>吴睿涵</v>
          </cell>
          <cell r="B147">
            <v>1.5</v>
          </cell>
        </row>
        <row r="148">
          <cell r="A148" t="str">
            <v>张熙忠</v>
          </cell>
          <cell r="B148">
            <v>2</v>
          </cell>
        </row>
        <row r="149">
          <cell r="A149" t="str">
            <v>宋泽阳</v>
          </cell>
          <cell r="B149">
            <v>1</v>
          </cell>
        </row>
        <row r="150">
          <cell r="A150" t="str">
            <v>张博涵</v>
          </cell>
          <cell r="B150">
            <v>1</v>
          </cell>
        </row>
        <row r="151">
          <cell r="A151" t="str">
            <v>刘政达</v>
          </cell>
          <cell r="B151">
            <v>2</v>
          </cell>
        </row>
        <row r="152">
          <cell r="A152" t="str">
            <v>李文昊</v>
          </cell>
          <cell r="B152">
            <v>2</v>
          </cell>
        </row>
        <row r="153">
          <cell r="A153" t="str">
            <v>宋炳霖</v>
          </cell>
          <cell r="B153">
            <v>2</v>
          </cell>
        </row>
        <row r="154">
          <cell r="A154" t="str">
            <v>宋泽阳</v>
          </cell>
          <cell r="B154">
            <v>2</v>
          </cell>
        </row>
        <row r="155">
          <cell r="A155" t="str">
            <v>郭跃扬</v>
          </cell>
          <cell r="B155">
            <v>0.5</v>
          </cell>
        </row>
        <row r="156">
          <cell r="A156" t="str">
            <v>周琪尧</v>
          </cell>
          <cell r="B156">
            <v>0.5</v>
          </cell>
        </row>
        <row r="157">
          <cell r="A157" t="str">
            <v>魏雍基</v>
          </cell>
          <cell r="B157">
            <v>2</v>
          </cell>
        </row>
        <row r="158">
          <cell r="A158" t="str">
            <v>邢瑞</v>
          </cell>
          <cell r="B158">
            <v>0.5</v>
          </cell>
        </row>
        <row r="159">
          <cell r="A159" t="str">
            <v>陆奕涵</v>
          </cell>
          <cell r="B159">
            <v>2</v>
          </cell>
        </row>
        <row r="160">
          <cell r="A160" t="str">
            <v>王珂</v>
          </cell>
          <cell r="B160">
            <v>0.5</v>
          </cell>
        </row>
        <row r="161">
          <cell r="A161" t="str">
            <v>蔡奕辰</v>
          </cell>
          <cell r="B161">
            <v>2</v>
          </cell>
        </row>
        <row r="162">
          <cell r="A162" t="str">
            <v>韩舜毅</v>
          </cell>
          <cell r="B162">
            <v>0.5</v>
          </cell>
        </row>
        <row r="163">
          <cell r="A163" t="str">
            <v>王玺涵</v>
          </cell>
          <cell r="B163">
            <v>1</v>
          </cell>
        </row>
        <row r="164">
          <cell r="A164" t="str">
            <v>揭译淳</v>
          </cell>
          <cell r="B164">
            <v>0.5</v>
          </cell>
        </row>
        <row r="165">
          <cell r="A165" t="str">
            <v>王子骏</v>
          </cell>
          <cell r="B165">
            <v>2</v>
          </cell>
        </row>
        <row r="166">
          <cell r="A166" t="str">
            <v>曲浩闻</v>
          </cell>
          <cell r="B166">
            <v>0.5</v>
          </cell>
        </row>
        <row r="167">
          <cell r="A167" t="str">
            <v>刘胡炀</v>
          </cell>
          <cell r="B167">
            <v>2</v>
          </cell>
        </row>
        <row r="168">
          <cell r="A168" t="str">
            <v>左子豪</v>
          </cell>
          <cell r="B168">
            <v>2</v>
          </cell>
        </row>
        <row r="169">
          <cell r="A169" t="str">
            <v>付浩</v>
          </cell>
          <cell r="B169">
            <v>2</v>
          </cell>
        </row>
        <row r="170">
          <cell r="A170" t="str">
            <v>陈禹霏</v>
          </cell>
          <cell r="B170">
            <v>2</v>
          </cell>
        </row>
        <row r="171">
          <cell r="A171" t="str">
            <v>付德琳</v>
          </cell>
          <cell r="B171">
            <v>2</v>
          </cell>
        </row>
        <row r="172">
          <cell r="A172" t="str">
            <v>李昊阳</v>
          </cell>
          <cell r="B172">
            <v>0.5</v>
          </cell>
        </row>
        <row r="173">
          <cell r="A173" t="str">
            <v>田迅瑜</v>
          </cell>
          <cell r="B173">
            <v>0.5</v>
          </cell>
        </row>
        <row r="174">
          <cell r="A174" t="str">
            <v>李嘉一</v>
          </cell>
          <cell r="B174">
            <v>2</v>
          </cell>
        </row>
        <row r="175">
          <cell r="A175" t="str">
            <v>张林娜</v>
          </cell>
          <cell r="B175">
            <v>1.5</v>
          </cell>
        </row>
        <row r="176">
          <cell r="A176" t="str">
            <v>刘佳保</v>
          </cell>
          <cell r="B176">
            <v>1</v>
          </cell>
        </row>
        <row r="177">
          <cell r="A177" t="str">
            <v>韩成彬</v>
          </cell>
          <cell r="B177">
            <v>2</v>
          </cell>
        </row>
        <row r="178">
          <cell r="A178" t="str">
            <v>许奕阳</v>
          </cell>
          <cell r="B178">
            <v>1</v>
          </cell>
        </row>
        <row r="179">
          <cell r="A179" t="str">
            <v>李禹澄</v>
          </cell>
          <cell r="B179">
            <v>1.5</v>
          </cell>
        </row>
        <row r="180">
          <cell r="A180" t="str">
            <v>刘铭然</v>
          </cell>
          <cell r="B180">
            <v>0.5</v>
          </cell>
        </row>
        <row r="181">
          <cell r="A181" t="str">
            <v>闫志贺</v>
          </cell>
          <cell r="B181">
            <v>0.5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F2" t="str">
            <v>朱奕丞</v>
          </cell>
          <cell r="G2">
            <v>5.5</v>
          </cell>
        </row>
        <row r="3">
          <cell r="F3" t="str">
            <v>张天懿</v>
          </cell>
          <cell r="G3">
            <v>5</v>
          </cell>
        </row>
        <row r="4">
          <cell r="F4" t="str">
            <v>姜芦珈</v>
          </cell>
          <cell r="G4">
            <v>5</v>
          </cell>
        </row>
        <row r="5">
          <cell r="F5" t="str">
            <v>朱思潮</v>
          </cell>
          <cell r="G5">
            <v>5</v>
          </cell>
        </row>
        <row r="6">
          <cell r="F6" t="str">
            <v>金铄莑</v>
          </cell>
          <cell r="G6">
            <v>5</v>
          </cell>
        </row>
        <row r="7">
          <cell r="F7" t="str">
            <v>卓妍</v>
          </cell>
          <cell r="G7">
            <v>5</v>
          </cell>
        </row>
        <row r="8">
          <cell r="F8" t="str">
            <v>徐若菡</v>
          </cell>
          <cell r="G8">
            <v>5</v>
          </cell>
        </row>
        <row r="9">
          <cell r="F9" t="str">
            <v>郑轶</v>
          </cell>
          <cell r="G9">
            <v>5</v>
          </cell>
        </row>
        <row r="10">
          <cell r="F10" t="str">
            <v>冯煜婷</v>
          </cell>
          <cell r="G10">
            <v>5.5</v>
          </cell>
        </row>
        <row r="11">
          <cell r="F11" t="str">
            <v>付浩</v>
          </cell>
          <cell r="G11">
            <v>5</v>
          </cell>
        </row>
        <row r="12">
          <cell r="F12" t="str">
            <v>陈禹霏</v>
          </cell>
          <cell r="G12">
            <v>5</v>
          </cell>
        </row>
        <row r="13">
          <cell r="F13" t="str">
            <v>舒怿航</v>
          </cell>
          <cell r="G13">
            <v>5</v>
          </cell>
        </row>
        <row r="14">
          <cell r="F14" t="str">
            <v>陆星源</v>
          </cell>
          <cell r="G14">
            <v>5</v>
          </cell>
        </row>
        <row r="15">
          <cell r="F15" t="str">
            <v>田大地</v>
          </cell>
          <cell r="G15">
            <v>5</v>
          </cell>
        </row>
        <row r="16">
          <cell r="F16" t="str">
            <v>郁李阳</v>
          </cell>
          <cell r="G16">
            <v>5</v>
          </cell>
        </row>
        <row r="17">
          <cell r="F17" t="str">
            <v>戚清越</v>
          </cell>
          <cell r="G17">
            <v>5</v>
          </cell>
        </row>
        <row r="18">
          <cell r="F18" t="str">
            <v>张馨元</v>
          </cell>
          <cell r="G18">
            <v>5.5</v>
          </cell>
        </row>
        <row r="19">
          <cell r="F19" t="str">
            <v>王玺涵</v>
          </cell>
          <cell r="G19">
            <v>5</v>
          </cell>
        </row>
        <row r="20">
          <cell r="F20" t="str">
            <v>郭紫钥</v>
          </cell>
          <cell r="G20">
            <v>5</v>
          </cell>
        </row>
        <row r="21">
          <cell r="F21" t="str">
            <v>周祖辉</v>
          </cell>
          <cell r="G21">
            <v>5</v>
          </cell>
        </row>
        <row r="22">
          <cell r="F22" t="str">
            <v>薛涵予</v>
          </cell>
          <cell r="G22">
            <v>5</v>
          </cell>
        </row>
        <row r="23">
          <cell r="F23" t="str">
            <v>彭可芯</v>
          </cell>
          <cell r="G23">
            <v>5</v>
          </cell>
        </row>
        <row r="24">
          <cell r="F24" t="str">
            <v>王晶轩</v>
          </cell>
          <cell r="G24">
            <v>5</v>
          </cell>
        </row>
        <row r="25">
          <cell r="F25" t="str">
            <v>项欣怡</v>
          </cell>
          <cell r="G25">
            <v>5</v>
          </cell>
        </row>
        <row r="26">
          <cell r="F26" t="str">
            <v>周子尧</v>
          </cell>
          <cell r="G26">
            <v>5.5</v>
          </cell>
        </row>
        <row r="27">
          <cell r="F27" t="str">
            <v>王珂</v>
          </cell>
          <cell r="G27">
            <v>5</v>
          </cell>
        </row>
        <row r="28">
          <cell r="F28" t="str">
            <v>蔡奕辰</v>
          </cell>
          <cell r="G28">
            <v>5</v>
          </cell>
        </row>
        <row r="29">
          <cell r="F29" t="str">
            <v>王子骏</v>
          </cell>
          <cell r="G29">
            <v>5</v>
          </cell>
        </row>
        <row r="30">
          <cell r="F30" t="str">
            <v>揭译淳</v>
          </cell>
          <cell r="G30">
            <v>5</v>
          </cell>
        </row>
        <row r="31">
          <cell r="F31" t="str">
            <v>闫志贺</v>
          </cell>
          <cell r="G31">
            <v>5</v>
          </cell>
        </row>
        <row r="32">
          <cell r="F32" t="str">
            <v>孙孟冉</v>
          </cell>
          <cell r="G32">
            <v>5</v>
          </cell>
        </row>
        <row r="33">
          <cell r="F33" t="str">
            <v>周思彤</v>
          </cell>
          <cell r="G33">
            <v>5</v>
          </cell>
        </row>
        <row r="34">
          <cell r="F34" t="str">
            <v>宗相宜</v>
          </cell>
          <cell r="G34">
            <v>5.5</v>
          </cell>
        </row>
        <row r="35">
          <cell r="F35" t="str">
            <v>郑瀚</v>
          </cell>
          <cell r="G35">
            <v>5</v>
          </cell>
        </row>
        <row r="36">
          <cell r="F36" t="str">
            <v>曾庆典</v>
          </cell>
          <cell r="G36">
            <v>5</v>
          </cell>
        </row>
        <row r="37">
          <cell r="F37" t="str">
            <v>郑琬淇</v>
          </cell>
          <cell r="G37">
            <v>5</v>
          </cell>
        </row>
        <row r="38">
          <cell r="F38" t="str">
            <v>潘启睿</v>
          </cell>
          <cell r="G38">
            <v>5</v>
          </cell>
        </row>
        <row r="39">
          <cell r="F39" t="str">
            <v>史亮羽</v>
          </cell>
          <cell r="G39">
            <v>5</v>
          </cell>
        </row>
        <row r="40">
          <cell r="F40" t="str">
            <v>邱子菡</v>
          </cell>
          <cell r="G40">
            <v>5</v>
          </cell>
        </row>
        <row r="41">
          <cell r="F41" t="str">
            <v>刘诗雨</v>
          </cell>
          <cell r="G41">
            <v>5</v>
          </cell>
        </row>
        <row r="42">
          <cell r="F42" t="str">
            <v>李百泽</v>
          </cell>
          <cell r="G42">
            <v>5.5</v>
          </cell>
        </row>
        <row r="43">
          <cell r="F43" t="str">
            <v>章雅诗</v>
          </cell>
          <cell r="G43">
            <v>5</v>
          </cell>
        </row>
        <row r="44">
          <cell r="F44" t="str">
            <v>陈思因</v>
          </cell>
          <cell r="G44">
            <v>5</v>
          </cell>
        </row>
        <row r="45">
          <cell r="F45" t="str">
            <v>徐一晗</v>
          </cell>
          <cell r="G45">
            <v>5</v>
          </cell>
        </row>
        <row r="46">
          <cell r="F46" t="str">
            <v>陈泊延</v>
          </cell>
          <cell r="G46">
            <v>5</v>
          </cell>
        </row>
        <row r="47">
          <cell r="F47" t="str">
            <v>许瑞宸</v>
          </cell>
          <cell r="G47">
            <v>5</v>
          </cell>
        </row>
        <row r="48">
          <cell r="F48" t="str">
            <v>居正</v>
          </cell>
          <cell r="G48">
            <v>5</v>
          </cell>
        </row>
        <row r="49">
          <cell r="F49" t="str">
            <v>陈一锐</v>
          </cell>
          <cell r="G49">
            <v>5</v>
          </cell>
        </row>
        <row r="50">
          <cell r="F50" t="str">
            <v>肖雨峰</v>
          </cell>
          <cell r="G50">
            <v>5.5</v>
          </cell>
        </row>
        <row r="51">
          <cell r="F51" t="str">
            <v>梅钦盛</v>
          </cell>
          <cell r="G51">
            <v>5</v>
          </cell>
        </row>
        <row r="52">
          <cell r="F52" t="str">
            <v>周溪贝</v>
          </cell>
          <cell r="G52">
            <v>5</v>
          </cell>
        </row>
        <row r="53">
          <cell r="F53" t="str">
            <v>赵文晶</v>
          </cell>
          <cell r="G53">
            <v>5</v>
          </cell>
        </row>
        <row r="54">
          <cell r="F54" t="str">
            <v>鹿泽鑫</v>
          </cell>
          <cell r="G54">
            <v>5</v>
          </cell>
        </row>
        <row r="55">
          <cell r="F55" t="str">
            <v>张若瑭</v>
          </cell>
          <cell r="G55">
            <v>5</v>
          </cell>
        </row>
        <row r="56">
          <cell r="F56" t="str">
            <v>田雨鑫</v>
          </cell>
          <cell r="G56">
            <v>5</v>
          </cell>
        </row>
        <row r="57">
          <cell r="F57" t="str">
            <v>徐雨希</v>
          </cell>
          <cell r="G57">
            <v>5</v>
          </cell>
        </row>
        <row r="58">
          <cell r="F58" t="str">
            <v>李雨桐</v>
          </cell>
          <cell r="G58">
            <v>5.5</v>
          </cell>
        </row>
        <row r="59">
          <cell r="F59" t="str">
            <v>田浩清</v>
          </cell>
          <cell r="G59">
            <v>5</v>
          </cell>
        </row>
        <row r="60">
          <cell r="F60" t="str">
            <v>江楠</v>
          </cell>
          <cell r="G60">
            <v>5</v>
          </cell>
        </row>
        <row r="61">
          <cell r="F61" t="str">
            <v>李想</v>
          </cell>
          <cell r="G61">
            <v>5</v>
          </cell>
        </row>
        <row r="62">
          <cell r="F62" t="str">
            <v>刘舒菡</v>
          </cell>
          <cell r="G62">
            <v>5</v>
          </cell>
        </row>
        <row r="63">
          <cell r="F63" t="str">
            <v>解春雨</v>
          </cell>
          <cell r="G63">
            <v>5</v>
          </cell>
        </row>
        <row r="64">
          <cell r="F64" t="str">
            <v>吴雨彤</v>
          </cell>
          <cell r="G64">
            <v>5</v>
          </cell>
        </row>
        <row r="65">
          <cell r="F65" t="str">
            <v>房雨暄</v>
          </cell>
          <cell r="G65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7"/>
  <sheetViews>
    <sheetView tabSelected="1" zoomScale="69" zoomScaleNormal="69" workbookViewId="0">
      <pane xSplit="6" ySplit="1" topLeftCell="BF2" activePane="bottomRight" state="frozen"/>
      <selection pane="topRight"/>
      <selection pane="bottomLeft"/>
      <selection pane="bottomRight" activeCell="C30" sqref="C30"/>
    </sheetView>
  </sheetViews>
  <sheetFormatPr baseColWidth="10" defaultColWidth="9.6640625" defaultRowHeight="17"/>
  <cols>
    <col min="1" max="3" width="14.5" style="4" customWidth="1"/>
    <col min="4" max="5" width="7.6640625" style="23" customWidth="1"/>
    <col min="6" max="6" width="9.6640625" style="23" customWidth="1"/>
    <col min="7" max="9" width="24.33203125" style="23" customWidth="1"/>
    <col min="10" max="10" width="11.83203125" style="23" customWidth="1"/>
    <col min="11" max="11" width="10.83203125" style="23" customWidth="1"/>
    <col min="12" max="12" width="16.83203125" style="23" customWidth="1"/>
    <col min="13" max="13" width="15.33203125" style="23" customWidth="1"/>
    <col min="14" max="14" width="14.5" style="23" customWidth="1"/>
    <col min="15" max="15" width="11.6640625" style="23" customWidth="1"/>
    <col min="16" max="16" width="11.1640625" style="23" customWidth="1"/>
    <col min="17" max="18" width="11.5" style="23" customWidth="1"/>
    <col min="19" max="20" width="7.6640625" style="23" customWidth="1"/>
    <col min="21" max="21" width="8.5" style="23" customWidth="1"/>
    <col min="22" max="22" width="10.83203125" style="23" customWidth="1"/>
    <col min="23" max="26" width="7.6640625" style="23" customWidth="1"/>
    <col min="27" max="27" width="15.33203125" style="23" customWidth="1"/>
    <col min="28" max="28" width="13.5" style="23" customWidth="1"/>
    <col min="29" max="29" width="7.6640625" style="23" customWidth="1"/>
    <col min="30" max="30" width="17.33203125" style="23" customWidth="1"/>
    <col min="31" max="31" width="8.6640625" style="4" customWidth="1"/>
    <col min="32" max="32" width="11.5" style="23" customWidth="1"/>
    <col min="33" max="33" width="16.83203125" style="23" customWidth="1"/>
    <col min="34" max="35" width="11.5" style="23" customWidth="1"/>
    <col min="36" max="36" width="10.83203125" style="23" customWidth="1"/>
    <col min="37" max="37" width="10.1640625" style="23" customWidth="1"/>
    <col min="38" max="38" width="11.33203125" style="8" customWidth="1"/>
    <col min="39" max="39" width="17.5" style="8" customWidth="1"/>
    <col min="40" max="41" width="12.33203125" style="8" customWidth="1"/>
    <col min="42" max="42" width="11.33203125" style="8" customWidth="1"/>
    <col min="43" max="43" width="14.5" style="8" customWidth="1"/>
    <col min="44" max="44" width="13.5" style="8" customWidth="1"/>
    <col min="45" max="47" width="9.6640625" style="8" customWidth="1"/>
    <col min="48" max="48" width="9.83203125" style="8" customWidth="1"/>
    <col min="49" max="50" width="14.1640625" style="8" customWidth="1"/>
    <col min="51" max="55" width="9.6640625" style="8" customWidth="1"/>
    <col min="56" max="56" width="10" style="8" customWidth="1"/>
    <col min="57" max="57" width="15.1640625" style="8" customWidth="1"/>
    <col min="58" max="58" width="24.33203125" style="23" customWidth="1"/>
    <col min="59" max="59" width="8.6640625" style="4" customWidth="1"/>
    <col min="60" max="60" width="9.6640625" style="8" customWidth="1"/>
    <col min="61" max="61" width="24.33203125" style="23" customWidth="1"/>
    <col min="62" max="63" width="9.6640625" style="8" customWidth="1"/>
    <col min="64" max="64" width="8.6640625" style="4" customWidth="1"/>
    <col min="65" max="66" width="8.6640625" style="4" hidden="1" customWidth="1"/>
    <col min="67" max="67" width="19.33203125" style="8" customWidth="1"/>
    <col min="68" max="68" width="0.83203125" style="8" hidden="1" customWidth="1"/>
    <col min="69" max="69" width="8.6640625" style="4" customWidth="1"/>
    <col min="70" max="70" width="9.6640625" style="5" customWidth="1"/>
    <col min="71" max="71" width="8.6640625" style="4" customWidth="1"/>
    <col min="72" max="72" width="9.6640625" style="8" customWidth="1"/>
  </cols>
  <sheetData>
    <row r="1" spans="1:7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102</v>
      </c>
      <c r="J1" s="3" t="s">
        <v>103</v>
      </c>
      <c r="K1" s="3" t="s">
        <v>9</v>
      </c>
      <c r="L1" s="3" t="s">
        <v>22</v>
      </c>
      <c r="M1" s="9" t="s">
        <v>104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105</v>
      </c>
      <c r="S1" s="9" t="s">
        <v>18</v>
      </c>
      <c r="T1" s="9" t="s">
        <v>19</v>
      </c>
      <c r="U1" s="9"/>
      <c r="V1" s="9" t="s">
        <v>20</v>
      </c>
      <c r="W1" s="9" t="s">
        <v>106</v>
      </c>
      <c r="X1" s="9" t="s">
        <v>107</v>
      </c>
      <c r="Y1" s="9" t="s">
        <v>108</v>
      </c>
      <c r="Z1" s="9" t="s">
        <v>109</v>
      </c>
      <c r="AA1" s="9" t="s">
        <v>110</v>
      </c>
      <c r="AB1" s="9" t="s">
        <v>111</v>
      </c>
      <c r="AC1" s="9" t="s">
        <v>112</v>
      </c>
      <c r="AD1" s="9" t="s">
        <v>21</v>
      </c>
      <c r="AE1" s="10" t="s">
        <v>24</v>
      </c>
      <c r="AF1" s="9" t="s">
        <v>25</v>
      </c>
      <c r="AG1" s="9" t="s">
        <v>113</v>
      </c>
      <c r="AH1" s="9" t="s">
        <v>114</v>
      </c>
      <c r="AI1" s="9" t="s">
        <v>28</v>
      </c>
      <c r="AJ1" s="9" t="s">
        <v>29</v>
      </c>
      <c r="AK1" s="9" t="s">
        <v>115</v>
      </c>
      <c r="AL1" s="9" t="s">
        <v>116</v>
      </c>
      <c r="AM1" s="9" t="s">
        <v>31</v>
      </c>
      <c r="AN1" s="9" t="s">
        <v>33</v>
      </c>
      <c r="AO1" s="9" t="s">
        <v>117</v>
      </c>
      <c r="AP1" s="9" t="s">
        <v>118</v>
      </c>
      <c r="AQ1" s="9" t="s">
        <v>119</v>
      </c>
      <c r="AR1" s="9" t="s">
        <v>120</v>
      </c>
      <c r="AS1" s="9" t="s">
        <v>121</v>
      </c>
      <c r="AT1" s="9" t="s">
        <v>39</v>
      </c>
      <c r="AU1" s="9" t="s">
        <v>40</v>
      </c>
      <c r="AV1" s="9" t="s">
        <v>41</v>
      </c>
      <c r="AW1" s="9" t="s">
        <v>42</v>
      </c>
      <c r="AX1" s="9" t="s">
        <v>43</v>
      </c>
      <c r="AY1" s="1" t="s">
        <v>44</v>
      </c>
      <c r="AZ1" s="1" t="s">
        <v>47</v>
      </c>
      <c r="BA1" s="1" t="s">
        <v>45</v>
      </c>
      <c r="BB1" s="1" t="s">
        <v>46</v>
      </c>
      <c r="BC1" s="1" t="s">
        <v>122</v>
      </c>
      <c r="BD1" s="1" t="s">
        <v>48</v>
      </c>
      <c r="BE1" s="1" t="s">
        <v>50</v>
      </c>
      <c r="BF1" s="3" t="s">
        <v>123</v>
      </c>
      <c r="BG1" s="10" t="s">
        <v>51</v>
      </c>
      <c r="BH1" s="1" t="s">
        <v>52</v>
      </c>
      <c r="BI1" s="3" t="s">
        <v>124</v>
      </c>
      <c r="BJ1" s="1" t="s">
        <v>53</v>
      </c>
      <c r="BK1" s="1" t="s">
        <v>54</v>
      </c>
      <c r="BL1" s="3" t="s">
        <v>125</v>
      </c>
      <c r="BM1" s="3"/>
      <c r="BN1" s="3"/>
      <c r="BO1" s="1" t="s">
        <v>55</v>
      </c>
      <c r="BQ1" s="10" t="s">
        <v>57</v>
      </c>
      <c r="BR1" s="12" t="s">
        <v>64</v>
      </c>
    </row>
    <row r="2" spans="1:71" s="1" customFormat="1">
      <c r="A2" s="3">
        <v>1</v>
      </c>
      <c r="B2" s="3">
        <v>2022202308</v>
      </c>
      <c r="C2" s="3" t="s">
        <v>126</v>
      </c>
      <c r="D2" s="3" t="s">
        <v>127</v>
      </c>
      <c r="E2" s="15">
        <f>SUM(G2:$XES2)</f>
        <v>86.5</v>
      </c>
      <c r="F2" s="3">
        <f t="shared" ref="F2:F30" si="0">COUNT(G2:EQ2)</f>
        <v>10</v>
      </c>
      <c r="G2" s="39"/>
      <c r="H2" s="3"/>
      <c r="I2" s="3"/>
      <c r="J2" s="3"/>
      <c r="K2" s="3"/>
      <c r="L2" s="3"/>
      <c r="M2" s="9"/>
      <c r="N2" s="9"/>
      <c r="O2" s="9"/>
      <c r="P2" s="9">
        <v>4</v>
      </c>
      <c r="Q2" s="9">
        <v>4</v>
      </c>
      <c r="R2" s="9">
        <v>2</v>
      </c>
      <c r="S2" s="9"/>
      <c r="T2" s="9"/>
      <c r="U2" s="9">
        <v>16</v>
      </c>
      <c r="V2" s="9"/>
      <c r="W2" s="9"/>
      <c r="X2" s="9"/>
      <c r="Y2" s="9"/>
      <c r="Z2" s="9"/>
      <c r="AA2" s="9"/>
      <c r="AB2" s="9"/>
      <c r="AC2" s="9"/>
      <c r="AD2" s="9"/>
      <c r="AE2" s="10" t="s">
        <v>24</v>
      </c>
      <c r="AF2" s="9"/>
      <c r="AG2" s="9"/>
      <c r="AH2" s="9"/>
      <c r="AI2" s="9"/>
      <c r="AJ2" s="9"/>
      <c r="AK2" s="9"/>
      <c r="AL2" s="9">
        <v>30.5</v>
      </c>
      <c r="AM2" s="9">
        <v>16</v>
      </c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1">
        <v>4</v>
      </c>
      <c r="BA2" s="1">
        <v>2</v>
      </c>
      <c r="BB2" s="1">
        <v>4</v>
      </c>
      <c r="BF2" s="9"/>
      <c r="BG2" s="10" t="s">
        <v>51</v>
      </c>
      <c r="BI2" s="3"/>
      <c r="BK2" s="1">
        <v>4</v>
      </c>
      <c r="BL2" s="3"/>
      <c r="BM2" s="3"/>
      <c r="BN2" s="3"/>
      <c r="BQ2" s="10" t="s">
        <v>57</v>
      </c>
      <c r="BR2" s="12"/>
      <c r="BS2" s="3"/>
    </row>
    <row r="3" spans="1:71" s="1" customFormat="1">
      <c r="A3" s="3">
        <v>2</v>
      </c>
      <c r="B3" s="3">
        <v>2022202309</v>
      </c>
      <c r="C3" s="3" t="s">
        <v>128</v>
      </c>
      <c r="D3" s="3" t="s">
        <v>127</v>
      </c>
      <c r="E3" s="15">
        <f>SUM(G3:$XES3)</f>
        <v>80</v>
      </c>
      <c r="F3" s="3">
        <f t="shared" si="0"/>
        <v>7</v>
      </c>
      <c r="G3" s="39">
        <v>4</v>
      </c>
      <c r="H3" s="3"/>
      <c r="I3" s="3">
        <v>2</v>
      </c>
      <c r="J3" s="3"/>
      <c r="K3" s="3">
        <v>6</v>
      </c>
      <c r="L3" s="3"/>
      <c r="M3" s="9"/>
      <c r="N3" s="9"/>
      <c r="O3" s="9"/>
      <c r="P3" s="9"/>
      <c r="Q3" s="9"/>
      <c r="R3" s="9"/>
      <c r="S3" s="9"/>
      <c r="T3" s="9"/>
      <c r="U3" s="9">
        <v>16</v>
      </c>
      <c r="V3" s="9"/>
      <c r="W3" s="9"/>
      <c r="X3" s="9"/>
      <c r="Y3" s="9"/>
      <c r="Z3" s="9"/>
      <c r="AA3" s="9"/>
      <c r="AB3" s="9"/>
      <c r="AC3" s="9"/>
      <c r="AD3" s="9"/>
      <c r="AE3" s="10" t="s">
        <v>24</v>
      </c>
      <c r="AF3" s="9">
        <v>9</v>
      </c>
      <c r="AG3" s="9"/>
      <c r="AH3" s="9"/>
      <c r="AI3" s="9">
        <v>27</v>
      </c>
      <c r="AJ3" s="9"/>
      <c r="AK3" s="9"/>
      <c r="AL3" s="9"/>
      <c r="AM3" s="9">
        <v>16</v>
      </c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BF3" s="9"/>
      <c r="BG3" s="10" t="s">
        <v>51</v>
      </c>
      <c r="BI3" s="3"/>
      <c r="BL3" s="3"/>
      <c r="BM3" s="3"/>
      <c r="BN3" s="3"/>
      <c r="BQ3" s="10" t="s">
        <v>57</v>
      </c>
      <c r="BR3" s="12" t="str">
        <f>IFERROR(VLOOKUP(C2,[1]数据表!$A:$B,1,FALSE),"")</f>
        <v/>
      </c>
      <c r="BS3" s="3"/>
    </row>
    <row r="4" spans="1:71" s="1" customFormat="1">
      <c r="A4" s="3">
        <v>3</v>
      </c>
      <c r="B4" s="3">
        <v>2022202310</v>
      </c>
      <c r="C4" s="3" t="s">
        <v>129</v>
      </c>
      <c r="D4" s="3" t="s">
        <v>127</v>
      </c>
      <c r="E4" s="15">
        <f>SUM(G4:$XES4)</f>
        <v>112.5</v>
      </c>
      <c r="F4" s="3">
        <f t="shared" si="0"/>
        <v>11</v>
      </c>
      <c r="G4" s="39">
        <v>10</v>
      </c>
      <c r="H4" s="3"/>
      <c r="I4" s="3"/>
      <c r="J4" s="3"/>
      <c r="K4" s="3"/>
      <c r="L4" s="3"/>
      <c r="M4" s="9"/>
      <c r="N4" s="9"/>
      <c r="O4" s="9"/>
      <c r="P4" s="9"/>
      <c r="Q4" s="9"/>
      <c r="R4" s="9">
        <v>2</v>
      </c>
      <c r="S4" s="9"/>
      <c r="T4" s="9"/>
      <c r="U4" s="9"/>
      <c r="V4" s="9"/>
      <c r="W4" s="9">
        <v>10</v>
      </c>
      <c r="X4" s="9">
        <v>4</v>
      </c>
      <c r="Y4" s="9"/>
      <c r="Z4" s="9"/>
      <c r="AA4" s="9"/>
      <c r="AB4" s="9"/>
      <c r="AC4" s="9"/>
      <c r="AD4" s="9">
        <v>4</v>
      </c>
      <c r="AE4" s="10" t="s">
        <v>24</v>
      </c>
      <c r="AF4" s="9"/>
      <c r="AG4" s="9">
        <v>0.5</v>
      </c>
      <c r="AH4" s="9"/>
      <c r="AI4" s="9">
        <v>26</v>
      </c>
      <c r="AJ4" s="9"/>
      <c r="AK4" s="9"/>
      <c r="AL4" s="9"/>
      <c r="AM4" s="9"/>
      <c r="AN4" s="9"/>
      <c r="AO4" s="9">
        <v>7</v>
      </c>
      <c r="AP4" s="9"/>
      <c r="AQ4" s="9"/>
      <c r="AR4" s="9"/>
      <c r="AS4" s="9"/>
      <c r="AT4" s="9"/>
      <c r="AU4" s="9"/>
      <c r="AV4" s="9"/>
      <c r="AW4" s="9"/>
      <c r="AX4" s="9"/>
      <c r="AY4" s="9"/>
      <c r="BA4" s="1">
        <v>2</v>
      </c>
      <c r="BD4" s="1">
        <v>45</v>
      </c>
      <c r="BF4" s="9"/>
      <c r="BG4" s="10" t="s">
        <v>51</v>
      </c>
      <c r="BI4" s="3"/>
      <c r="BK4" s="1">
        <v>2</v>
      </c>
      <c r="BL4" s="3"/>
      <c r="BM4" s="3"/>
      <c r="BN4" s="3"/>
      <c r="BQ4" s="10" t="s">
        <v>57</v>
      </c>
      <c r="BR4" s="12"/>
      <c r="BS4" s="3"/>
    </row>
    <row r="5" spans="1:71" s="1" customFormat="1">
      <c r="A5" s="3">
        <v>4</v>
      </c>
      <c r="B5" s="3">
        <v>2022202311</v>
      </c>
      <c r="C5" s="3" t="s">
        <v>130</v>
      </c>
      <c r="D5" s="3" t="s">
        <v>127</v>
      </c>
      <c r="E5" s="15">
        <f>SUM(G5:$XES5)</f>
        <v>166.5</v>
      </c>
      <c r="F5" s="3">
        <f t="shared" si="0"/>
        <v>9</v>
      </c>
      <c r="G5" s="39"/>
      <c r="H5" s="3">
        <v>5.5</v>
      </c>
      <c r="I5" s="3"/>
      <c r="J5" s="3"/>
      <c r="K5" s="3">
        <v>6</v>
      </c>
      <c r="L5" s="3"/>
      <c r="M5" s="9"/>
      <c r="N5" s="9"/>
      <c r="O5" s="9"/>
      <c r="P5" s="9">
        <v>4</v>
      </c>
      <c r="Q5" s="9">
        <v>4</v>
      </c>
      <c r="R5" s="9"/>
      <c r="S5" s="9"/>
      <c r="T5" s="9"/>
      <c r="U5" s="9">
        <v>16</v>
      </c>
      <c r="V5" s="9"/>
      <c r="W5" s="9"/>
      <c r="X5" s="9"/>
      <c r="Y5" s="9"/>
      <c r="Z5" s="9"/>
      <c r="AA5" s="9"/>
      <c r="AB5" s="9"/>
      <c r="AC5" s="9"/>
      <c r="AD5" s="9"/>
      <c r="AE5" s="10" t="s">
        <v>24</v>
      </c>
      <c r="AF5" s="9"/>
      <c r="AG5" s="9"/>
      <c r="AH5" s="9"/>
      <c r="AI5" s="9">
        <v>17</v>
      </c>
      <c r="AJ5" s="9"/>
      <c r="AK5" s="9"/>
      <c r="AL5" s="9"/>
      <c r="AM5" s="9">
        <v>16</v>
      </c>
      <c r="AN5" s="9"/>
      <c r="AO5" s="9"/>
      <c r="AP5" s="9"/>
      <c r="AQ5" s="9"/>
      <c r="AR5" s="9"/>
      <c r="AS5" s="9">
        <v>8</v>
      </c>
      <c r="AT5" s="9"/>
      <c r="AU5" s="9"/>
      <c r="AV5" s="9"/>
      <c r="AW5" s="9"/>
      <c r="AX5" s="9"/>
      <c r="AY5" s="9"/>
      <c r="BF5" s="3">
        <v>90</v>
      </c>
      <c r="BG5" s="10" t="s">
        <v>51</v>
      </c>
      <c r="BI5" s="3"/>
      <c r="BL5" s="3"/>
      <c r="BM5" s="3"/>
      <c r="BN5" s="3"/>
      <c r="BQ5" s="10" t="s">
        <v>57</v>
      </c>
      <c r="BR5" s="12"/>
      <c r="BS5" s="3"/>
    </row>
    <row r="6" spans="1:71" s="1" customFormat="1">
      <c r="A6" s="3">
        <v>5</v>
      </c>
      <c r="B6" s="3">
        <v>2022202312</v>
      </c>
      <c r="C6" s="3" t="s">
        <v>131</v>
      </c>
      <c r="D6" s="3" t="s">
        <v>127</v>
      </c>
      <c r="E6" s="15">
        <f>SUM(G6:$XES6)</f>
        <v>124</v>
      </c>
      <c r="F6" s="3">
        <f t="shared" si="0"/>
        <v>8</v>
      </c>
      <c r="G6" s="39">
        <v>4</v>
      </c>
      <c r="H6" s="3"/>
      <c r="I6" s="3"/>
      <c r="J6" s="3"/>
      <c r="K6" s="3"/>
      <c r="L6" s="3"/>
      <c r="M6" s="9"/>
      <c r="N6" s="9"/>
      <c r="O6" s="9"/>
      <c r="P6" s="9">
        <v>4</v>
      </c>
      <c r="Q6" s="9">
        <v>4</v>
      </c>
      <c r="R6" s="9"/>
      <c r="S6" s="9"/>
      <c r="T6" s="9"/>
      <c r="U6" s="9"/>
      <c r="V6" s="9"/>
      <c r="W6" s="9">
        <v>7</v>
      </c>
      <c r="X6" s="9"/>
      <c r="Y6" s="9"/>
      <c r="Z6" s="9"/>
      <c r="AA6" s="9"/>
      <c r="AB6" s="9"/>
      <c r="AC6" s="9"/>
      <c r="AD6" s="9"/>
      <c r="AE6" s="10" t="s">
        <v>24</v>
      </c>
      <c r="AF6" s="9"/>
      <c r="AG6" s="9"/>
      <c r="AH6" s="9"/>
      <c r="AI6" s="9">
        <v>27</v>
      </c>
      <c r="AJ6" s="9"/>
      <c r="AK6" s="9"/>
      <c r="AL6" s="9"/>
      <c r="AM6" s="9">
        <v>16</v>
      </c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BD6" s="1">
        <v>54</v>
      </c>
      <c r="BF6" s="9"/>
      <c r="BG6" s="10" t="s">
        <v>51</v>
      </c>
      <c r="BI6" s="3">
        <v>8</v>
      </c>
      <c r="BL6" s="3"/>
      <c r="BM6" s="3"/>
      <c r="BN6" s="3"/>
      <c r="BQ6" s="10" t="s">
        <v>57</v>
      </c>
      <c r="BR6" s="12"/>
      <c r="BS6" s="3"/>
    </row>
    <row r="7" spans="1:71" s="1" customFormat="1">
      <c r="A7" s="3">
        <v>6</v>
      </c>
      <c r="B7" s="3">
        <v>2022202313</v>
      </c>
      <c r="C7" s="3" t="s">
        <v>132</v>
      </c>
      <c r="D7" s="3" t="s">
        <v>127</v>
      </c>
      <c r="E7" s="15">
        <f>SUM(G7:$XES7)</f>
        <v>54</v>
      </c>
      <c r="F7" s="3">
        <f t="shared" si="0"/>
        <v>8</v>
      </c>
      <c r="G7" s="39"/>
      <c r="H7" s="3"/>
      <c r="I7" s="3"/>
      <c r="J7" s="3"/>
      <c r="K7" s="3"/>
      <c r="L7" s="3"/>
      <c r="M7" s="9"/>
      <c r="N7" s="9"/>
      <c r="O7" s="9"/>
      <c r="P7" s="9">
        <v>4</v>
      </c>
      <c r="Q7" s="9">
        <v>4</v>
      </c>
      <c r="R7" s="9"/>
      <c r="S7" s="9"/>
      <c r="T7" s="9"/>
      <c r="U7" s="9">
        <v>16</v>
      </c>
      <c r="V7" s="9"/>
      <c r="W7" s="9"/>
      <c r="X7" s="9"/>
      <c r="Y7" s="9"/>
      <c r="Z7" s="9"/>
      <c r="AA7" s="9"/>
      <c r="AB7" s="9"/>
      <c r="AC7" s="9"/>
      <c r="AD7" s="9">
        <v>4</v>
      </c>
      <c r="AE7" s="10" t="s">
        <v>24</v>
      </c>
      <c r="AF7" s="9"/>
      <c r="AG7" s="9"/>
      <c r="AH7" s="9"/>
      <c r="AI7" s="9"/>
      <c r="AJ7" s="9"/>
      <c r="AK7" s="9">
        <v>2</v>
      </c>
      <c r="AL7" s="9"/>
      <c r="AM7" s="9">
        <v>16</v>
      </c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BA7" s="1">
        <v>4</v>
      </c>
      <c r="BF7" s="9"/>
      <c r="BG7" s="10" t="s">
        <v>51</v>
      </c>
      <c r="BI7" s="3"/>
      <c r="BK7" s="1">
        <v>4</v>
      </c>
      <c r="BL7" s="3"/>
      <c r="BM7" s="3"/>
      <c r="BN7" s="3"/>
      <c r="BQ7" s="10" t="s">
        <v>57</v>
      </c>
      <c r="BR7" s="12"/>
      <c r="BS7" s="3"/>
    </row>
    <row r="8" spans="1:71" s="1" customFormat="1">
      <c r="A8" s="3">
        <v>7</v>
      </c>
      <c r="B8" s="3">
        <v>2022202314</v>
      </c>
      <c r="C8" s="3" t="s">
        <v>133</v>
      </c>
      <c r="D8" s="3" t="s">
        <v>127</v>
      </c>
      <c r="E8" s="15">
        <f>SUM(G8:$XES8)</f>
        <v>62</v>
      </c>
      <c r="F8" s="3">
        <f t="shared" si="0"/>
        <v>11</v>
      </c>
      <c r="G8" s="39">
        <v>4</v>
      </c>
      <c r="H8" s="3"/>
      <c r="I8" s="3"/>
      <c r="J8" s="3"/>
      <c r="K8" s="3"/>
      <c r="L8" s="3"/>
      <c r="M8" s="9"/>
      <c r="N8" s="9"/>
      <c r="O8" s="9"/>
      <c r="P8" s="9">
        <v>4</v>
      </c>
      <c r="Q8" s="9">
        <v>4</v>
      </c>
      <c r="R8" s="9">
        <v>2</v>
      </c>
      <c r="S8" s="9"/>
      <c r="T8" s="9"/>
      <c r="U8" s="9">
        <v>16</v>
      </c>
      <c r="V8" s="9"/>
      <c r="W8" s="9"/>
      <c r="X8" s="9"/>
      <c r="Y8" s="9"/>
      <c r="Z8" s="9"/>
      <c r="AA8" s="9"/>
      <c r="AB8" s="9"/>
      <c r="AC8" s="9"/>
      <c r="AD8" s="9">
        <v>4</v>
      </c>
      <c r="AE8" s="10" t="s">
        <v>24</v>
      </c>
      <c r="AF8" s="9"/>
      <c r="AG8" s="9"/>
      <c r="AH8" s="9"/>
      <c r="AI8" s="9"/>
      <c r="AJ8" s="9"/>
      <c r="AK8" s="9"/>
      <c r="AL8" s="9"/>
      <c r="AM8" s="9">
        <v>16</v>
      </c>
      <c r="AN8" s="9"/>
      <c r="AO8" s="9"/>
      <c r="AP8" s="9"/>
      <c r="AQ8" s="9"/>
      <c r="AR8" s="9"/>
      <c r="AS8" s="9"/>
      <c r="AT8" s="9"/>
      <c r="AU8" s="9"/>
      <c r="AV8" s="9"/>
      <c r="AW8" s="9">
        <v>4</v>
      </c>
      <c r="AX8" s="9"/>
      <c r="AY8" s="9"/>
      <c r="BA8" s="1">
        <v>2</v>
      </c>
      <c r="BF8" s="9"/>
      <c r="BG8" s="10" t="s">
        <v>51</v>
      </c>
      <c r="BI8" s="3"/>
      <c r="BJ8" s="1">
        <v>4</v>
      </c>
      <c r="BK8" s="1">
        <v>2</v>
      </c>
      <c r="BL8" s="3"/>
      <c r="BM8" s="3"/>
      <c r="BN8" s="3"/>
      <c r="BQ8" s="10" t="s">
        <v>57</v>
      </c>
      <c r="BR8" s="12"/>
      <c r="BS8" s="3"/>
    </row>
    <row r="9" spans="1:71" s="1" customFormat="1">
      <c r="A9" s="3">
        <v>8</v>
      </c>
      <c r="B9" s="3">
        <v>2022202315</v>
      </c>
      <c r="C9" s="3" t="s">
        <v>134</v>
      </c>
      <c r="D9" s="3" t="s">
        <v>127</v>
      </c>
      <c r="E9" s="15">
        <f>SUM(G9:$XES9)</f>
        <v>66</v>
      </c>
      <c r="F9" s="3">
        <f t="shared" si="0"/>
        <v>11</v>
      </c>
      <c r="G9" s="39"/>
      <c r="H9" s="3"/>
      <c r="I9" s="3">
        <v>2</v>
      </c>
      <c r="J9" s="3"/>
      <c r="K9" s="3">
        <v>6</v>
      </c>
      <c r="L9" s="3">
        <v>4</v>
      </c>
      <c r="M9" s="9"/>
      <c r="N9" s="9"/>
      <c r="O9" s="9"/>
      <c r="P9" s="9">
        <v>4</v>
      </c>
      <c r="Q9" s="9">
        <v>4</v>
      </c>
      <c r="R9" s="9">
        <v>2</v>
      </c>
      <c r="S9" s="9"/>
      <c r="T9" s="9">
        <v>8</v>
      </c>
      <c r="U9" s="9"/>
      <c r="V9" s="9">
        <v>2</v>
      </c>
      <c r="W9" s="9"/>
      <c r="X9" s="9"/>
      <c r="Y9" s="9"/>
      <c r="Z9" s="9"/>
      <c r="AA9" s="9"/>
      <c r="AB9" s="9"/>
      <c r="AC9" s="9"/>
      <c r="AD9" s="9"/>
      <c r="AE9" s="10" t="s">
        <v>24</v>
      </c>
      <c r="AF9" s="9">
        <v>6</v>
      </c>
      <c r="AG9" s="9"/>
      <c r="AH9" s="9"/>
      <c r="AI9" s="9">
        <v>26</v>
      </c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BA9" s="1">
        <v>2</v>
      </c>
      <c r="BF9" s="9"/>
      <c r="BG9" s="10" t="s">
        <v>51</v>
      </c>
      <c r="BI9" s="3"/>
      <c r="BL9" s="3"/>
      <c r="BM9" s="3"/>
      <c r="BN9" s="3"/>
      <c r="BQ9" s="10" t="s">
        <v>57</v>
      </c>
      <c r="BR9" s="12"/>
      <c r="BS9" s="3"/>
    </row>
    <row r="10" spans="1:71" s="1" customFormat="1">
      <c r="A10" s="3">
        <v>9</v>
      </c>
      <c r="B10" s="3">
        <v>2022202316</v>
      </c>
      <c r="C10" s="3" t="s">
        <v>135</v>
      </c>
      <c r="D10" s="3" t="s">
        <v>127</v>
      </c>
      <c r="E10" s="15">
        <f>SUM(G10:$XES10)</f>
        <v>96.5</v>
      </c>
      <c r="F10" s="3">
        <f t="shared" si="0"/>
        <v>11</v>
      </c>
      <c r="G10" s="39">
        <v>20</v>
      </c>
      <c r="H10" s="3"/>
      <c r="I10" s="3"/>
      <c r="J10" s="3"/>
      <c r="K10" s="3"/>
      <c r="L10" s="3"/>
      <c r="M10" s="9"/>
      <c r="N10" s="9"/>
      <c r="O10" s="9"/>
      <c r="P10" s="9">
        <v>4</v>
      </c>
      <c r="Q10" s="9">
        <v>4</v>
      </c>
      <c r="R10" s="9">
        <v>4</v>
      </c>
      <c r="S10" s="9"/>
      <c r="T10" s="9"/>
      <c r="U10" s="9"/>
      <c r="V10" s="9">
        <v>30.5</v>
      </c>
      <c r="W10" s="9"/>
      <c r="X10" s="9"/>
      <c r="Y10" s="9"/>
      <c r="Z10" s="9"/>
      <c r="AA10" s="9"/>
      <c r="AB10" s="9"/>
      <c r="AC10" s="9"/>
      <c r="AD10" s="9">
        <v>4</v>
      </c>
      <c r="AE10" s="10" t="s">
        <v>24</v>
      </c>
      <c r="AF10" s="9">
        <v>6</v>
      </c>
      <c r="AG10" s="9"/>
      <c r="AH10" s="9"/>
      <c r="AI10" s="9"/>
      <c r="AJ10" s="9"/>
      <c r="AK10" s="9"/>
      <c r="AL10" s="9"/>
      <c r="AM10" s="9"/>
      <c r="AN10" s="9"/>
      <c r="AO10" s="9">
        <v>12</v>
      </c>
      <c r="AP10" s="9"/>
      <c r="AQ10" s="9"/>
      <c r="AR10" s="9"/>
      <c r="AS10" s="9"/>
      <c r="AT10" s="9"/>
      <c r="AU10" s="9"/>
      <c r="AV10" s="9"/>
      <c r="AW10" s="9"/>
      <c r="AX10" s="9"/>
      <c r="AY10" s="9"/>
      <c r="BA10" s="1">
        <v>4</v>
      </c>
      <c r="BF10" s="9"/>
      <c r="BG10" s="10" t="s">
        <v>51</v>
      </c>
      <c r="BI10" s="3"/>
      <c r="BJ10" s="1">
        <v>4</v>
      </c>
      <c r="BK10" s="1">
        <v>4</v>
      </c>
      <c r="BL10" s="3"/>
      <c r="BM10" s="3"/>
      <c r="BN10" s="3"/>
      <c r="BQ10" s="10" t="s">
        <v>57</v>
      </c>
      <c r="BR10" s="12"/>
      <c r="BS10" s="3"/>
    </row>
    <row r="11" spans="1:71" s="1" customFormat="1">
      <c r="A11" s="3">
        <v>10</v>
      </c>
      <c r="B11" s="3">
        <v>2022202317</v>
      </c>
      <c r="C11" s="3" t="s">
        <v>136</v>
      </c>
      <c r="D11" s="3" t="s">
        <v>127</v>
      </c>
      <c r="E11" s="15">
        <f>SUM(G11:$XES11)</f>
        <v>189</v>
      </c>
      <c r="F11" s="3">
        <f t="shared" si="0"/>
        <v>12</v>
      </c>
      <c r="G11" s="39">
        <v>4</v>
      </c>
      <c r="H11" s="3"/>
      <c r="I11" s="3"/>
      <c r="J11" s="3"/>
      <c r="K11" s="3"/>
      <c r="L11" s="3"/>
      <c r="M11" s="9"/>
      <c r="N11" s="9"/>
      <c r="O11" s="9"/>
      <c r="P11" s="9">
        <v>4</v>
      </c>
      <c r="Q11" s="9">
        <v>4</v>
      </c>
      <c r="R11" s="9">
        <v>4</v>
      </c>
      <c r="S11" s="9"/>
      <c r="T11" s="9"/>
      <c r="U11" s="9"/>
      <c r="V11" s="9">
        <v>2</v>
      </c>
      <c r="W11" s="9"/>
      <c r="X11" s="9"/>
      <c r="Y11" s="9"/>
      <c r="Z11" s="9"/>
      <c r="AA11" s="9"/>
      <c r="AB11" s="9"/>
      <c r="AC11" s="9">
        <v>16</v>
      </c>
      <c r="AD11" s="9"/>
      <c r="AE11" s="10" t="s">
        <v>24</v>
      </c>
      <c r="AF11" s="9">
        <v>7</v>
      </c>
      <c r="AG11" s="9"/>
      <c r="AH11" s="9"/>
      <c r="AI11" s="9">
        <v>26</v>
      </c>
      <c r="AJ11" s="9">
        <v>14</v>
      </c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BA11" s="1">
        <v>4</v>
      </c>
      <c r="BF11" s="3"/>
      <c r="BG11" s="10" t="s">
        <v>51</v>
      </c>
      <c r="BI11" s="3">
        <v>100</v>
      </c>
      <c r="BK11" s="1">
        <v>4</v>
      </c>
      <c r="BL11" s="3"/>
      <c r="BM11" s="3"/>
      <c r="BN11" s="3"/>
      <c r="BQ11" s="10" t="s">
        <v>57</v>
      </c>
      <c r="BR11" s="12"/>
      <c r="BS11" s="3"/>
    </row>
    <row r="12" spans="1:71" s="1" customFormat="1">
      <c r="A12" s="3">
        <v>11</v>
      </c>
      <c r="B12" s="3">
        <v>2022202318</v>
      </c>
      <c r="C12" s="3" t="s">
        <v>137</v>
      </c>
      <c r="D12" s="3" t="s">
        <v>127</v>
      </c>
      <c r="E12" s="15">
        <f>SUM(G12:$XES12)</f>
        <v>32</v>
      </c>
      <c r="F12" s="3">
        <f t="shared" si="0"/>
        <v>6</v>
      </c>
      <c r="G12" s="39">
        <v>5</v>
      </c>
      <c r="H12" s="3"/>
      <c r="I12" s="3"/>
      <c r="J12" s="3"/>
      <c r="K12" s="3"/>
      <c r="L12" s="3"/>
      <c r="M12" s="9"/>
      <c r="N12" s="9"/>
      <c r="O12" s="9"/>
      <c r="P12" s="9">
        <v>4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 t="s">
        <v>24</v>
      </c>
      <c r="AF12" s="9"/>
      <c r="AG12" s="9"/>
      <c r="AH12" s="9"/>
      <c r="AI12" s="9"/>
      <c r="AJ12" s="9"/>
      <c r="AK12" s="9">
        <v>2</v>
      </c>
      <c r="AL12" s="9"/>
      <c r="AM12" s="9"/>
      <c r="AN12" s="9">
        <v>8</v>
      </c>
      <c r="AO12" s="9">
        <v>8</v>
      </c>
      <c r="AP12" s="9"/>
      <c r="AQ12" s="9"/>
      <c r="AR12" s="9"/>
      <c r="AS12" s="9"/>
      <c r="AT12" s="9"/>
      <c r="AU12" s="9"/>
      <c r="AV12" s="9"/>
      <c r="AW12" s="9"/>
      <c r="AX12" s="9"/>
      <c r="AY12" s="9"/>
      <c r="BF12" s="3"/>
      <c r="BG12" s="10" t="s">
        <v>51</v>
      </c>
      <c r="BI12" s="3"/>
      <c r="BL12" s="3"/>
      <c r="BM12" s="3"/>
      <c r="BN12" s="3"/>
      <c r="BQ12" s="10" t="s">
        <v>57</v>
      </c>
      <c r="BR12" s="12">
        <v>5</v>
      </c>
      <c r="BS12" s="3"/>
    </row>
    <row r="13" spans="1:71" s="1" customFormat="1">
      <c r="A13" s="3">
        <v>12</v>
      </c>
      <c r="B13" s="3">
        <v>2022202319</v>
      </c>
      <c r="C13" s="3" t="s">
        <v>138</v>
      </c>
      <c r="D13" s="3" t="s">
        <v>127</v>
      </c>
      <c r="E13" s="15">
        <f>SUM(G13:$XES13)</f>
        <v>119</v>
      </c>
      <c r="F13" s="3">
        <f t="shared" si="0"/>
        <v>6</v>
      </c>
      <c r="G13" s="39"/>
      <c r="H13" s="3"/>
      <c r="I13" s="3"/>
      <c r="J13" s="3"/>
      <c r="K13" s="3"/>
      <c r="L13" s="3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v>10</v>
      </c>
      <c r="X13" s="9"/>
      <c r="Y13" s="9"/>
      <c r="Z13" s="9"/>
      <c r="AA13" s="9">
        <v>7</v>
      </c>
      <c r="AB13" s="9"/>
      <c r="AC13" s="9"/>
      <c r="AD13" s="9"/>
      <c r="AE13" s="10" t="s">
        <v>24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>
        <v>12</v>
      </c>
      <c r="AS13" s="9"/>
      <c r="AT13" s="9"/>
      <c r="AU13" s="9"/>
      <c r="AV13" s="9"/>
      <c r="AW13" s="9"/>
      <c r="AX13" s="9"/>
      <c r="AY13" s="9"/>
      <c r="BF13" s="39"/>
      <c r="BG13" s="10" t="s">
        <v>51</v>
      </c>
      <c r="BI13" s="3">
        <v>60</v>
      </c>
      <c r="BL13" s="3"/>
      <c r="BM13" s="3"/>
      <c r="BN13" s="3"/>
      <c r="BO13" s="1">
        <v>30</v>
      </c>
      <c r="BP13" s="1">
        <v>0</v>
      </c>
      <c r="BQ13" s="10" t="s">
        <v>57</v>
      </c>
      <c r="BR13" s="12"/>
      <c r="BS13" s="3"/>
    </row>
    <row r="14" spans="1:71" s="1" customFormat="1">
      <c r="A14" s="3">
        <v>13</v>
      </c>
      <c r="B14" s="3">
        <v>2022202320</v>
      </c>
      <c r="C14" s="3" t="s">
        <v>139</v>
      </c>
      <c r="D14" s="3" t="s">
        <v>127</v>
      </c>
      <c r="E14" s="15">
        <f>SUM(G14:$XES14)</f>
        <v>118.5</v>
      </c>
      <c r="F14" s="3">
        <f t="shared" si="0"/>
        <v>11</v>
      </c>
      <c r="G14" s="39">
        <v>4</v>
      </c>
      <c r="H14" s="3"/>
      <c r="I14" s="3"/>
      <c r="J14" s="3"/>
      <c r="K14" s="3"/>
      <c r="L14" s="3"/>
      <c r="M14" s="9"/>
      <c r="N14" s="9"/>
      <c r="O14" s="9"/>
      <c r="P14" s="9">
        <v>4</v>
      </c>
      <c r="Q14" s="9">
        <v>4</v>
      </c>
      <c r="R14" s="9">
        <v>4</v>
      </c>
      <c r="S14" s="9"/>
      <c r="T14" s="9">
        <v>8</v>
      </c>
      <c r="U14" s="9">
        <v>16</v>
      </c>
      <c r="V14" s="9">
        <v>25</v>
      </c>
      <c r="W14" s="9"/>
      <c r="X14" s="9"/>
      <c r="Y14" s="9"/>
      <c r="Z14" s="9"/>
      <c r="AA14" s="9"/>
      <c r="AB14" s="9"/>
      <c r="AC14" s="9"/>
      <c r="AD14" s="9"/>
      <c r="AE14" s="10" t="s">
        <v>24</v>
      </c>
      <c r="AF14" s="9">
        <v>8</v>
      </c>
      <c r="AG14" s="9"/>
      <c r="AH14" s="9"/>
      <c r="AI14" s="9"/>
      <c r="AJ14" s="9">
        <v>25</v>
      </c>
      <c r="AK14" s="9"/>
      <c r="AL14" s="9"/>
      <c r="AM14" s="9">
        <v>16</v>
      </c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BC14" s="1">
        <v>4.5</v>
      </c>
      <c r="BF14" s="3"/>
      <c r="BG14" s="10" t="s">
        <v>51</v>
      </c>
      <c r="BI14" s="3"/>
      <c r="BL14" s="3"/>
      <c r="BM14" s="3"/>
      <c r="BN14" s="3"/>
      <c r="BQ14" s="10" t="s">
        <v>57</v>
      </c>
      <c r="BR14" s="12"/>
      <c r="BS14" s="3"/>
    </row>
    <row r="15" spans="1:71" s="1" customFormat="1">
      <c r="A15" s="3">
        <v>14</v>
      </c>
      <c r="B15" s="3">
        <v>2022202321</v>
      </c>
      <c r="C15" s="3" t="s">
        <v>140</v>
      </c>
      <c r="D15" s="3" t="s">
        <v>127</v>
      </c>
      <c r="E15" s="15">
        <f>SUM(G15:$XES15)</f>
        <v>83</v>
      </c>
      <c r="F15" s="3">
        <f t="shared" si="0"/>
        <v>11</v>
      </c>
      <c r="G15" s="39">
        <v>4</v>
      </c>
      <c r="H15" s="3"/>
      <c r="I15" s="3"/>
      <c r="J15" s="3"/>
      <c r="K15" s="3"/>
      <c r="L15" s="3"/>
      <c r="M15" s="9"/>
      <c r="N15" s="9"/>
      <c r="O15" s="9"/>
      <c r="P15" s="9">
        <v>4</v>
      </c>
      <c r="Q15" s="9">
        <v>4</v>
      </c>
      <c r="R15" s="9"/>
      <c r="S15" s="9"/>
      <c r="T15" s="9"/>
      <c r="U15" s="9"/>
      <c r="V15" s="9">
        <v>42</v>
      </c>
      <c r="W15" s="9"/>
      <c r="X15" s="9"/>
      <c r="Y15" s="9"/>
      <c r="Z15" s="9"/>
      <c r="AA15" s="9"/>
      <c r="AB15" s="9"/>
      <c r="AC15" s="9"/>
      <c r="AD15" s="9">
        <v>4</v>
      </c>
      <c r="AE15" s="10" t="s">
        <v>24</v>
      </c>
      <c r="AF15" s="9"/>
      <c r="AG15" s="9"/>
      <c r="AH15" s="9"/>
      <c r="AI15" s="9"/>
      <c r="AJ15" s="9"/>
      <c r="AK15" s="9">
        <v>2</v>
      </c>
      <c r="AL15" s="9"/>
      <c r="AM15" s="9"/>
      <c r="AN15" s="9">
        <v>7</v>
      </c>
      <c r="AO15" s="9">
        <v>8</v>
      </c>
      <c r="AP15" s="9"/>
      <c r="AQ15" s="9"/>
      <c r="AR15" s="9"/>
      <c r="AS15" s="9"/>
      <c r="AT15" s="9"/>
      <c r="AU15" s="9"/>
      <c r="AV15" s="9">
        <v>4</v>
      </c>
      <c r="AW15" s="9"/>
      <c r="AX15" s="9"/>
      <c r="AY15" s="9"/>
      <c r="BA15" s="1">
        <v>2</v>
      </c>
      <c r="BF15" s="9">
        <v>2</v>
      </c>
      <c r="BG15" s="10" t="s">
        <v>51</v>
      </c>
      <c r="BI15" s="3"/>
      <c r="BL15" s="3"/>
      <c r="BM15" s="3"/>
      <c r="BN15" s="3"/>
      <c r="BQ15" s="10" t="s">
        <v>57</v>
      </c>
      <c r="BR15" s="12"/>
      <c r="BS15" s="3"/>
    </row>
    <row r="16" spans="1:71" s="1" customFormat="1">
      <c r="A16" s="3">
        <v>15</v>
      </c>
      <c r="B16" s="3">
        <v>2022202322</v>
      </c>
      <c r="C16" s="3" t="s">
        <v>141</v>
      </c>
      <c r="D16" s="3" t="s">
        <v>127</v>
      </c>
      <c r="E16" s="15">
        <f>SUM(G16:$XES16)</f>
        <v>129.5</v>
      </c>
      <c r="F16" s="3">
        <f t="shared" si="0"/>
        <v>15</v>
      </c>
      <c r="G16" s="39">
        <v>38.5</v>
      </c>
      <c r="H16" s="3">
        <v>7</v>
      </c>
      <c r="I16" s="3"/>
      <c r="J16" s="3"/>
      <c r="K16" s="3">
        <v>3</v>
      </c>
      <c r="L16" s="3"/>
      <c r="M16" s="9">
        <v>6</v>
      </c>
      <c r="N16" s="9">
        <v>3</v>
      </c>
      <c r="O16" s="9"/>
      <c r="P16" s="9">
        <v>4</v>
      </c>
      <c r="Q16" s="9">
        <v>4</v>
      </c>
      <c r="R16" s="9">
        <v>2</v>
      </c>
      <c r="S16" s="9"/>
      <c r="T16" s="9"/>
      <c r="U16" s="9"/>
      <c r="V16" s="9"/>
      <c r="W16" s="9">
        <v>6</v>
      </c>
      <c r="X16" s="9"/>
      <c r="Y16" s="9"/>
      <c r="Z16" s="9"/>
      <c r="AA16" s="9"/>
      <c r="AB16" s="9"/>
      <c r="AC16" s="9"/>
      <c r="AD16" s="9">
        <v>4</v>
      </c>
      <c r="AE16" s="10" t="s">
        <v>24</v>
      </c>
      <c r="AF16" s="9">
        <v>10</v>
      </c>
      <c r="AG16" s="9"/>
      <c r="AH16" s="9"/>
      <c r="AI16" s="9">
        <v>14</v>
      </c>
      <c r="AJ16" s="9"/>
      <c r="AK16" s="9"/>
      <c r="AL16" s="9"/>
      <c r="AM16" s="9"/>
      <c r="AN16" s="9">
        <v>3</v>
      </c>
      <c r="AO16" s="9"/>
      <c r="AP16" s="9">
        <v>5</v>
      </c>
      <c r="AQ16" s="9"/>
      <c r="AR16" s="9"/>
      <c r="AS16" s="9"/>
      <c r="AT16" s="9"/>
      <c r="AU16" s="9"/>
      <c r="AV16" s="9"/>
      <c r="AW16" s="9"/>
      <c r="AX16" s="9"/>
      <c r="AY16" s="9"/>
      <c r="BF16" s="9">
        <v>20</v>
      </c>
      <c r="BG16" s="10" t="s">
        <v>51</v>
      </c>
      <c r="BI16" s="3"/>
      <c r="BL16" s="3"/>
      <c r="BM16" s="3"/>
      <c r="BN16" s="3"/>
      <c r="BQ16" s="10" t="s">
        <v>57</v>
      </c>
      <c r="BR16" s="12"/>
      <c r="BS16" s="3"/>
    </row>
    <row r="17" spans="1:71" s="1" customFormat="1">
      <c r="A17" s="3">
        <v>16</v>
      </c>
      <c r="B17" s="3">
        <v>2022202324</v>
      </c>
      <c r="C17" s="3" t="s">
        <v>142</v>
      </c>
      <c r="D17" s="3" t="s">
        <v>127</v>
      </c>
      <c r="E17" s="15">
        <f>SUM(G17:$XES17)</f>
        <v>12</v>
      </c>
      <c r="F17" s="3">
        <f t="shared" si="0"/>
        <v>2</v>
      </c>
      <c r="G17" s="39"/>
      <c r="H17" s="3"/>
      <c r="I17" s="3"/>
      <c r="J17" s="3"/>
      <c r="K17" s="3"/>
      <c r="L17" s="3"/>
      <c r="M17" s="9"/>
      <c r="N17" s="9"/>
      <c r="O17" s="9"/>
      <c r="P17" s="9">
        <v>4</v>
      </c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 t="s">
        <v>24</v>
      </c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>
        <v>8</v>
      </c>
      <c r="AT17" s="9"/>
      <c r="AU17" s="9"/>
      <c r="AV17" s="9"/>
      <c r="AW17" s="9"/>
      <c r="AX17" s="9"/>
      <c r="AY17" s="9"/>
      <c r="BF17" s="9"/>
      <c r="BG17" s="10" t="s">
        <v>51</v>
      </c>
      <c r="BI17" s="3"/>
      <c r="BL17" s="3"/>
      <c r="BM17" s="3"/>
      <c r="BN17" s="3"/>
      <c r="BQ17" s="10" t="s">
        <v>57</v>
      </c>
      <c r="BR17" s="12"/>
      <c r="BS17" s="3"/>
    </row>
    <row r="18" spans="1:71" s="1" customFormat="1">
      <c r="A18" s="3">
        <v>17</v>
      </c>
      <c r="B18" s="3">
        <v>2022202325</v>
      </c>
      <c r="C18" s="3" t="s">
        <v>143</v>
      </c>
      <c r="D18" s="3" t="s">
        <v>127</v>
      </c>
      <c r="E18" s="15">
        <f>SUM(G18:$XES18)</f>
        <v>166</v>
      </c>
      <c r="F18" s="3">
        <f t="shared" si="0"/>
        <v>15</v>
      </c>
      <c r="G18" s="3"/>
      <c r="H18" s="3"/>
      <c r="I18" s="3"/>
      <c r="J18" s="3"/>
      <c r="K18" s="3"/>
      <c r="L18" s="3"/>
      <c r="M18" s="9"/>
      <c r="N18" s="9"/>
      <c r="O18" s="9"/>
      <c r="P18" s="9">
        <v>4</v>
      </c>
      <c r="Q18" s="9">
        <v>4</v>
      </c>
      <c r="R18" s="9">
        <v>2</v>
      </c>
      <c r="S18" s="9"/>
      <c r="T18" s="9"/>
      <c r="U18" s="9">
        <v>16</v>
      </c>
      <c r="V18" s="9">
        <v>17</v>
      </c>
      <c r="W18" s="9">
        <v>6</v>
      </c>
      <c r="X18" s="9">
        <v>4</v>
      </c>
      <c r="Y18" s="9">
        <v>6</v>
      </c>
      <c r="Z18" s="9"/>
      <c r="AA18" s="9"/>
      <c r="AB18" s="9">
        <v>40</v>
      </c>
      <c r="AC18" s="9"/>
      <c r="AD18" s="9"/>
      <c r="AE18" s="10" t="s">
        <v>24</v>
      </c>
      <c r="AF18" s="9">
        <v>10</v>
      </c>
      <c r="AG18" s="9"/>
      <c r="AH18" s="9"/>
      <c r="AI18" s="9">
        <v>26</v>
      </c>
      <c r="AJ18" s="9">
        <v>12</v>
      </c>
      <c r="AK18" s="9"/>
      <c r="AL18" s="9"/>
      <c r="AM18" s="9">
        <v>16</v>
      </c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>
        <v>1</v>
      </c>
      <c r="AY18" s="9"/>
      <c r="BF18" s="3"/>
      <c r="BG18" s="10" t="s">
        <v>51</v>
      </c>
      <c r="BH18" s="1">
        <v>2</v>
      </c>
      <c r="BI18" s="3"/>
      <c r="BL18" s="3"/>
      <c r="BM18" s="3"/>
      <c r="BN18" s="3"/>
      <c r="BQ18" s="10" t="s">
        <v>57</v>
      </c>
      <c r="BR18" s="12"/>
      <c r="BS18" s="3"/>
    </row>
    <row r="19" spans="1:71" s="1" customFormat="1">
      <c r="A19" s="3">
        <v>18</v>
      </c>
      <c r="B19" s="3">
        <v>2022202326</v>
      </c>
      <c r="C19" s="3" t="s">
        <v>144</v>
      </c>
      <c r="D19" s="3" t="s">
        <v>127</v>
      </c>
      <c r="E19" s="15">
        <f>SUM(G19:$XES19)</f>
        <v>108</v>
      </c>
      <c r="F19" s="3">
        <f t="shared" si="0"/>
        <v>3</v>
      </c>
      <c r="G19" s="3"/>
      <c r="H19" s="3"/>
      <c r="I19" s="3"/>
      <c r="J19" s="3">
        <v>8</v>
      </c>
      <c r="K19" s="3"/>
      <c r="L19" s="3"/>
      <c r="M19" s="9"/>
      <c r="N19" s="9"/>
      <c r="O19" s="9"/>
      <c r="P19" s="9"/>
      <c r="Q19" s="9"/>
      <c r="R19" s="9"/>
      <c r="S19" s="9"/>
      <c r="T19" s="9"/>
      <c r="U19" s="9">
        <v>16</v>
      </c>
      <c r="V19" s="9"/>
      <c r="W19" s="9"/>
      <c r="X19" s="9"/>
      <c r="Y19" s="9"/>
      <c r="Z19" s="9"/>
      <c r="AA19" s="9"/>
      <c r="AB19" s="9"/>
      <c r="AC19" s="9"/>
      <c r="AD19" s="9"/>
      <c r="AE19" s="10" t="s">
        <v>24</v>
      </c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>
        <v>84</v>
      </c>
      <c r="AU19" s="9"/>
      <c r="AV19" s="9"/>
      <c r="AW19" s="9"/>
      <c r="AX19" s="9"/>
      <c r="AY19" s="9"/>
      <c r="BF19" s="9"/>
      <c r="BG19" s="10" t="s">
        <v>51</v>
      </c>
      <c r="BI19" s="3"/>
      <c r="BL19" s="3"/>
      <c r="BM19" s="3"/>
      <c r="BN19" s="3"/>
      <c r="BQ19" s="10" t="s">
        <v>57</v>
      </c>
      <c r="BR19" s="12"/>
      <c r="BS19" s="3"/>
    </row>
    <row r="20" spans="1:71" s="1" customFormat="1">
      <c r="A20" s="3">
        <v>19</v>
      </c>
      <c r="B20" s="3">
        <v>2022202327</v>
      </c>
      <c r="C20" s="3" t="s">
        <v>145</v>
      </c>
      <c r="D20" s="3" t="s">
        <v>127</v>
      </c>
      <c r="E20" s="15">
        <f>SUM(G20:$XES20)</f>
        <v>63</v>
      </c>
      <c r="F20" s="3">
        <f t="shared" si="0"/>
        <v>4</v>
      </c>
      <c r="G20" s="3"/>
      <c r="H20" s="3">
        <v>3</v>
      </c>
      <c r="I20" s="3"/>
      <c r="J20" s="3"/>
      <c r="K20" s="3"/>
      <c r="L20" s="3"/>
      <c r="M20" s="9"/>
      <c r="N20" s="9"/>
      <c r="O20" s="9"/>
      <c r="P20" s="9">
        <v>4</v>
      </c>
      <c r="Q20" s="9"/>
      <c r="R20" s="9">
        <v>2</v>
      </c>
      <c r="S20" s="9"/>
      <c r="T20" s="9"/>
      <c r="U20" s="9"/>
      <c r="V20" s="9">
        <v>54</v>
      </c>
      <c r="W20" s="9"/>
      <c r="X20" s="9"/>
      <c r="Y20" s="9"/>
      <c r="Z20" s="9"/>
      <c r="AA20" s="9"/>
      <c r="AB20" s="9"/>
      <c r="AC20" s="9"/>
      <c r="AD20" s="9"/>
      <c r="AE20" s="10" t="s">
        <v>24</v>
      </c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BF20" s="9"/>
      <c r="BG20" s="10" t="s">
        <v>51</v>
      </c>
      <c r="BI20" s="3"/>
      <c r="BL20" s="3"/>
      <c r="BM20" s="3"/>
      <c r="BN20" s="3"/>
      <c r="BQ20" s="10" t="s">
        <v>57</v>
      </c>
      <c r="BR20" s="12"/>
      <c r="BS20" s="3"/>
    </row>
    <row r="21" spans="1:71" s="1" customFormat="1">
      <c r="A21" s="3">
        <v>20</v>
      </c>
      <c r="B21" s="3">
        <v>2022202328</v>
      </c>
      <c r="C21" s="3" t="s">
        <v>146</v>
      </c>
      <c r="D21" s="3" t="s">
        <v>127</v>
      </c>
      <c r="E21" s="15">
        <f>SUM(G21:$XES21)</f>
        <v>58.5</v>
      </c>
      <c r="F21" s="3">
        <f t="shared" si="0"/>
        <v>10</v>
      </c>
      <c r="G21" s="3"/>
      <c r="H21" s="3"/>
      <c r="I21" s="3"/>
      <c r="J21" s="3"/>
      <c r="K21" s="3"/>
      <c r="L21" s="3"/>
      <c r="M21" s="9"/>
      <c r="N21" s="9"/>
      <c r="O21" s="9"/>
      <c r="P21" s="9">
        <v>4</v>
      </c>
      <c r="Q21" s="9">
        <v>4</v>
      </c>
      <c r="R21" s="9"/>
      <c r="S21" s="9"/>
      <c r="T21" s="9"/>
      <c r="U21" s="9">
        <v>16</v>
      </c>
      <c r="V21" s="9"/>
      <c r="W21" s="9"/>
      <c r="X21" s="9"/>
      <c r="Y21" s="9"/>
      <c r="Z21" s="9"/>
      <c r="AA21" s="9"/>
      <c r="AB21" s="9">
        <v>20</v>
      </c>
      <c r="AC21" s="9"/>
      <c r="AD21" s="9"/>
      <c r="AE21" s="10" t="s">
        <v>24</v>
      </c>
      <c r="AF21" s="9"/>
      <c r="AG21" s="9">
        <v>0.5</v>
      </c>
      <c r="AH21" s="9"/>
      <c r="AI21" s="9"/>
      <c r="AJ21" s="9"/>
      <c r="AK21" s="9">
        <v>2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>
        <v>4</v>
      </c>
      <c r="AW21" s="9"/>
      <c r="AX21" s="9"/>
      <c r="AY21" s="9"/>
      <c r="BA21" s="1">
        <v>2</v>
      </c>
      <c r="BE21" s="1">
        <v>4</v>
      </c>
      <c r="BF21" s="9"/>
      <c r="BG21" s="10" t="s">
        <v>51</v>
      </c>
      <c r="BI21" s="3"/>
      <c r="BK21" s="1">
        <v>2</v>
      </c>
      <c r="BL21" s="3"/>
      <c r="BM21" s="3"/>
      <c r="BN21" s="3"/>
      <c r="BQ21" s="10" t="s">
        <v>57</v>
      </c>
      <c r="BR21" s="12"/>
      <c r="BS21" s="3"/>
    </row>
    <row r="22" spans="1:71" s="1" customFormat="1">
      <c r="A22" s="3">
        <v>21</v>
      </c>
      <c r="B22" s="3">
        <v>2022202329</v>
      </c>
      <c r="C22" s="3" t="s">
        <v>147</v>
      </c>
      <c r="D22" s="3" t="s">
        <v>127</v>
      </c>
      <c r="E22" s="15">
        <f>SUM(G22:$XES22)</f>
        <v>93</v>
      </c>
      <c r="F22" s="3">
        <f t="shared" si="0"/>
        <v>15</v>
      </c>
      <c r="G22" s="3"/>
      <c r="H22" s="3"/>
      <c r="I22" s="3">
        <v>6</v>
      </c>
      <c r="J22" s="3"/>
      <c r="K22" s="3"/>
      <c r="L22" s="3">
        <v>4</v>
      </c>
      <c r="M22" s="9"/>
      <c r="N22" s="9">
        <v>1</v>
      </c>
      <c r="O22" s="9"/>
      <c r="P22" s="9">
        <v>4</v>
      </c>
      <c r="Q22" s="9">
        <v>4</v>
      </c>
      <c r="R22" s="9"/>
      <c r="S22" s="9"/>
      <c r="T22" s="9"/>
      <c r="U22" s="9">
        <v>16</v>
      </c>
      <c r="V22" s="9"/>
      <c r="W22" s="9"/>
      <c r="X22" s="9"/>
      <c r="Y22" s="9"/>
      <c r="Z22" s="9">
        <v>6</v>
      </c>
      <c r="AA22" s="9"/>
      <c r="AB22" s="9"/>
      <c r="AC22" s="9"/>
      <c r="AD22" s="9"/>
      <c r="AE22" s="10" t="s">
        <v>24</v>
      </c>
      <c r="AF22" s="9">
        <v>7</v>
      </c>
      <c r="AG22" s="9"/>
      <c r="AH22" s="9">
        <v>6</v>
      </c>
      <c r="AI22" s="9">
        <v>12</v>
      </c>
      <c r="AJ22" s="9"/>
      <c r="AK22" s="9">
        <v>2</v>
      </c>
      <c r="AL22" s="9"/>
      <c r="AM22" s="9"/>
      <c r="AN22" s="9">
        <v>4</v>
      </c>
      <c r="AO22" s="9"/>
      <c r="AP22" s="9"/>
      <c r="AQ22" s="9">
        <v>5</v>
      </c>
      <c r="AR22" s="9">
        <v>10</v>
      </c>
      <c r="AS22" s="9"/>
      <c r="AT22" s="9"/>
      <c r="AU22" s="9"/>
      <c r="AV22" s="9"/>
      <c r="AW22" s="9"/>
      <c r="AX22" s="9"/>
      <c r="AY22" s="9">
        <v>6</v>
      </c>
      <c r="BF22" s="3"/>
      <c r="BG22" s="10" t="s">
        <v>51</v>
      </c>
      <c r="BI22" s="3"/>
      <c r="BL22" s="3"/>
      <c r="BM22" s="3"/>
      <c r="BN22" s="3"/>
      <c r="BQ22" s="10" t="s">
        <v>57</v>
      </c>
      <c r="BR22" s="12"/>
      <c r="BS22" s="3"/>
    </row>
    <row r="23" spans="1:71" s="1" customFormat="1">
      <c r="A23" s="3">
        <v>22</v>
      </c>
      <c r="B23" s="3">
        <v>2022202330</v>
      </c>
      <c r="C23" s="3" t="s">
        <v>148</v>
      </c>
      <c r="D23" s="3" t="s">
        <v>127</v>
      </c>
      <c r="E23" s="15">
        <f>SUM(G23:$XES23)</f>
        <v>57</v>
      </c>
      <c r="F23" s="3">
        <f t="shared" si="0"/>
        <v>6</v>
      </c>
      <c r="G23" s="3">
        <v>4</v>
      </c>
      <c r="H23" s="3"/>
      <c r="I23" s="3"/>
      <c r="J23" s="3"/>
      <c r="K23" s="3"/>
      <c r="L23" s="3"/>
      <c r="M23" s="9"/>
      <c r="N23" s="9"/>
      <c r="O23" s="9"/>
      <c r="P23" s="9">
        <v>4</v>
      </c>
      <c r="Q23" s="9">
        <v>4</v>
      </c>
      <c r="R23" s="9"/>
      <c r="S23" s="9"/>
      <c r="T23" s="9"/>
      <c r="U23" s="9"/>
      <c r="V23" s="9">
        <v>34</v>
      </c>
      <c r="W23" s="9"/>
      <c r="X23" s="9"/>
      <c r="Y23" s="9"/>
      <c r="Z23" s="9"/>
      <c r="AA23" s="9"/>
      <c r="AB23" s="9"/>
      <c r="AC23" s="9"/>
      <c r="AD23" s="9">
        <v>4</v>
      </c>
      <c r="AE23" s="10" t="s">
        <v>24</v>
      </c>
      <c r="AF23" s="9"/>
      <c r="AG23" s="9"/>
      <c r="AH23" s="9"/>
      <c r="AI23" s="9"/>
      <c r="AJ23" s="9"/>
      <c r="AK23" s="9"/>
      <c r="AL23" s="9"/>
      <c r="AM23" s="9"/>
      <c r="AN23" s="9"/>
      <c r="AO23" s="9">
        <v>7</v>
      </c>
      <c r="AP23" s="9"/>
      <c r="AQ23" s="9"/>
      <c r="AR23" s="9"/>
      <c r="AS23" s="9"/>
      <c r="AT23" s="9"/>
      <c r="AU23" s="9"/>
      <c r="AV23" s="9"/>
      <c r="AW23" s="9"/>
      <c r="AX23" s="9"/>
      <c r="AY23" s="9"/>
      <c r="BF23" s="9"/>
      <c r="BG23" s="10" t="s">
        <v>51</v>
      </c>
      <c r="BI23" s="3"/>
      <c r="BL23" s="3"/>
      <c r="BM23" s="3"/>
      <c r="BN23" s="3"/>
      <c r="BQ23" s="10" t="s">
        <v>57</v>
      </c>
      <c r="BR23" s="12"/>
      <c r="BS23" s="3"/>
    </row>
    <row r="24" spans="1:71" s="1" customFormat="1">
      <c r="A24" s="3">
        <v>23</v>
      </c>
      <c r="B24" s="3">
        <v>2022202331</v>
      </c>
      <c r="C24" s="3" t="s">
        <v>149</v>
      </c>
      <c r="D24" s="3" t="s">
        <v>127</v>
      </c>
      <c r="E24" s="15">
        <f>SUM(G24:$XES24)</f>
        <v>70</v>
      </c>
      <c r="F24" s="3">
        <f t="shared" si="0"/>
        <v>5</v>
      </c>
      <c r="G24" s="3"/>
      <c r="H24" s="3"/>
      <c r="I24" s="3"/>
      <c r="J24" s="3"/>
      <c r="K24" s="3"/>
      <c r="L24" s="3"/>
      <c r="M24" s="9"/>
      <c r="N24" s="9"/>
      <c r="O24" s="9"/>
      <c r="P24" s="9">
        <v>4</v>
      </c>
      <c r="Q24" s="9"/>
      <c r="R24" s="9"/>
      <c r="S24" s="9"/>
      <c r="T24" s="9"/>
      <c r="U24" s="9">
        <v>8</v>
      </c>
      <c r="V24" s="9"/>
      <c r="W24" s="9"/>
      <c r="X24" s="9"/>
      <c r="Y24" s="9"/>
      <c r="Z24" s="9"/>
      <c r="AA24" s="9"/>
      <c r="AB24" s="9"/>
      <c r="AC24" s="9"/>
      <c r="AD24" s="9"/>
      <c r="AE24" s="10" t="s">
        <v>24</v>
      </c>
      <c r="AF24" s="9"/>
      <c r="AG24" s="9"/>
      <c r="AH24" s="9"/>
      <c r="AI24" s="9">
        <v>27</v>
      </c>
      <c r="AJ24" s="9">
        <v>27</v>
      </c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>
        <v>4</v>
      </c>
      <c r="AX24" s="9"/>
      <c r="AY24" s="9"/>
      <c r="BF24" s="9"/>
      <c r="BG24" s="10" t="s">
        <v>51</v>
      </c>
      <c r="BI24" s="3"/>
      <c r="BL24" s="3"/>
      <c r="BM24" s="3"/>
      <c r="BN24" s="3"/>
      <c r="BQ24" s="10" t="s">
        <v>57</v>
      </c>
      <c r="BR24" s="12"/>
      <c r="BS24" s="3"/>
    </row>
    <row r="25" spans="1:71" s="1" customFormat="1">
      <c r="A25" s="3">
        <v>24</v>
      </c>
      <c r="B25" s="3">
        <v>2022202332</v>
      </c>
      <c r="C25" s="3" t="s">
        <v>150</v>
      </c>
      <c r="D25" s="3" t="s">
        <v>127</v>
      </c>
      <c r="E25" s="15">
        <f>SUM(G25:$XES25)</f>
        <v>86</v>
      </c>
      <c r="F25" s="3">
        <f t="shared" si="0"/>
        <v>3</v>
      </c>
      <c r="G25" s="3"/>
      <c r="H25" s="3"/>
      <c r="I25" s="3"/>
      <c r="J25" s="3"/>
      <c r="K25" s="3"/>
      <c r="L25" s="3"/>
      <c r="M25" s="9"/>
      <c r="N25" s="9"/>
      <c r="O25" s="9"/>
      <c r="P25" s="9"/>
      <c r="Q25" s="9"/>
      <c r="R25" s="9"/>
      <c r="S25" s="9"/>
      <c r="T25" s="9"/>
      <c r="U25" s="9">
        <v>16</v>
      </c>
      <c r="V25" s="9"/>
      <c r="W25" s="9"/>
      <c r="X25" s="9"/>
      <c r="Y25" s="9"/>
      <c r="Z25" s="9"/>
      <c r="AA25" s="9"/>
      <c r="AB25" s="9"/>
      <c r="AC25" s="9"/>
      <c r="AD25" s="9"/>
      <c r="AE25" s="10" t="s">
        <v>24</v>
      </c>
      <c r="AF25" s="9"/>
      <c r="AG25" s="9"/>
      <c r="AH25" s="9"/>
      <c r="AI25" s="9">
        <v>22</v>
      </c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BF25" s="9">
        <v>48</v>
      </c>
      <c r="BG25" s="10" t="s">
        <v>51</v>
      </c>
      <c r="BI25" s="3"/>
      <c r="BL25" s="3"/>
      <c r="BM25" s="3"/>
      <c r="BN25" s="3"/>
      <c r="BQ25" s="10" t="s">
        <v>57</v>
      </c>
      <c r="BR25" s="12"/>
      <c r="BS25" s="3"/>
    </row>
    <row r="26" spans="1:71" s="1" customFormat="1">
      <c r="A26" s="3">
        <v>25</v>
      </c>
      <c r="B26" s="3">
        <v>2022202333</v>
      </c>
      <c r="C26" s="3" t="s">
        <v>151</v>
      </c>
      <c r="D26" s="3" t="s">
        <v>127</v>
      </c>
      <c r="E26" s="15">
        <f>SUM(G26:$XES26)</f>
        <v>166</v>
      </c>
      <c r="F26" s="3">
        <f t="shared" si="0"/>
        <v>8</v>
      </c>
      <c r="G26" s="3"/>
      <c r="H26" s="3"/>
      <c r="I26" s="3"/>
      <c r="J26" s="3"/>
      <c r="K26" s="3"/>
      <c r="L26" s="3"/>
      <c r="M26" s="9"/>
      <c r="N26" s="9"/>
      <c r="O26" s="9">
        <v>98</v>
      </c>
      <c r="P26" s="9">
        <v>4</v>
      </c>
      <c r="Q26" s="9">
        <v>4</v>
      </c>
      <c r="R26" s="9">
        <v>2</v>
      </c>
      <c r="S26" s="9">
        <v>13</v>
      </c>
      <c r="T26" s="9"/>
      <c r="U26" s="9"/>
      <c r="V26" s="9"/>
      <c r="W26" s="9"/>
      <c r="X26" s="9">
        <v>4</v>
      </c>
      <c r="Y26" s="9"/>
      <c r="Z26" s="9"/>
      <c r="AA26" s="9"/>
      <c r="AB26" s="9">
        <v>27</v>
      </c>
      <c r="AC26" s="9"/>
      <c r="AD26" s="9"/>
      <c r="AE26" s="10" t="s">
        <v>24</v>
      </c>
      <c r="AF26" s="9">
        <v>14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BF26" s="3"/>
      <c r="BG26" s="10" t="s">
        <v>51</v>
      </c>
      <c r="BI26" s="3"/>
      <c r="BL26" s="3"/>
      <c r="BM26" s="3"/>
      <c r="BN26" s="3"/>
      <c r="BQ26" s="10" t="s">
        <v>57</v>
      </c>
      <c r="BR26" s="12"/>
      <c r="BS26" s="3"/>
    </row>
    <row r="27" spans="1:71" s="1" customFormat="1">
      <c r="A27" s="3">
        <v>26</v>
      </c>
      <c r="B27" s="3">
        <v>2022202334</v>
      </c>
      <c r="C27" s="3" t="s">
        <v>152</v>
      </c>
      <c r="D27" s="3" t="s">
        <v>127</v>
      </c>
      <c r="E27" s="15">
        <f>SUM(G27:$XES27)</f>
        <v>0</v>
      </c>
      <c r="F27" s="3">
        <f t="shared" si="0"/>
        <v>0</v>
      </c>
      <c r="G27" s="3"/>
      <c r="H27" s="3"/>
      <c r="I27" s="3"/>
      <c r="J27" s="3"/>
      <c r="K27" s="3"/>
      <c r="L27" s="3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 t="s">
        <v>24</v>
      </c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BF27" s="9"/>
      <c r="BG27" s="10" t="s">
        <v>51</v>
      </c>
      <c r="BI27" s="3"/>
      <c r="BL27" s="3"/>
      <c r="BM27" s="3"/>
      <c r="BN27" s="3"/>
      <c r="BQ27" s="10" t="s">
        <v>57</v>
      </c>
      <c r="BR27" s="12"/>
      <c r="BS27" s="3"/>
    </row>
    <row r="28" spans="1:71" s="1" customFormat="1">
      <c r="A28" s="3">
        <v>27</v>
      </c>
      <c r="B28" s="3">
        <v>2022202861</v>
      </c>
      <c r="C28" s="3" t="s">
        <v>153</v>
      </c>
      <c r="D28" s="3" t="s">
        <v>127</v>
      </c>
      <c r="E28" s="15">
        <f>SUM(G28:$XES28)</f>
        <v>263</v>
      </c>
      <c r="F28" s="3">
        <f t="shared" si="0"/>
        <v>9</v>
      </c>
      <c r="G28" s="3">
        <v>8</v>
      </c>
      <c r="H28" s="3"/>
      <c r="I28" s="3"/>
      <c r="J28" s="3"/>
      <c r="K28" s="3"/>
      <c r="L28" s="3"/>
      <c r="M28" s="9"/>
      <c r="N28" s="9"/>
      <c r="O28" s="9"/>
      <c r="P28" s="9">
        <v>4</v>
      </c>
      <c r="Q28" s="9">
        <v>4</v>
      </c>
      <c r="R28" s="9"/>
      <c r="S28" s="9"/>
      <c r="T28" s="9"/>
      <c r="U28" s="9"/>
      <c r="V28" s="9">
        <v>72</v>
      </c>
      <c r="W28" s="9"/>
      <c r="X28" s="9"/>
      <c r="Y28" s="9"/>
      <c r="Z28" s="9"/>
      <c r="AA28" s="9"/>
      <c r="AB28" s="9"/>
      <c r="AC28" s="9"/>
      <c r="AD28" s="9"/>
      <c r="AE28" s="10" t="s">
        <v>24</v>
      </c>
      <c r="AF28" s="9"/>
      <c r="AG28" s="9"/>
      <c r="AH28" s="9"/>
      <c r="AI28" s="9"/>
      <c r="AJ28" s="9"/>
      <c r="AK28" s="9">
        <v>1</v>
      </c>
      <c r="AL28" s="9"/>
      <c r="AM28" s="9"/>
      <c r="AN28" s="9">
        <v>2</v>
      </c>
      <c r="AO28" s="9">
        <v>24</v>
      </c>
      <c r="AP28" s="9"/>
      <c r="AQ28" s="9"/>
      <c r="AR28" s="9"/>
      <c r="AS28" s="9"/>
      <c r="AT28" s="9"/>
      <c r="AU28" s="9"/>
      <c r="AV28" s="9"/>
      <c r="AW28" s="9">
        <v>4</v>
      </c>
      <c r="AX28" s="9"/>
      <c r="AY28" s="9"/>
      <c r="BD28" s="1">
        <v>144</v>
      </c>
      <c r="BF28" s="9"/>
      <c r="BG28" s="10" t="s">
        <v>51</v>
      </c>
      <c r="BI28" s="3"/>
      <c r="BL28" s="3"/>
      <c r="BM28" s="3"/>
      <c r="BN28" s="3"/>
      <c r="BQ28" s="10" t="s">
        <v>57</v>
      </c>
      <c r="BR28" s="12"/>
      <c r="BS28" s="3"/>
    </row>
    <row r="29" spans="1:71" s="1" customFormat="1">
      <c r="A29" s="3">
        <v>28</v>
      </c>
      <c r="B29" s="3">
        <v>2022202862</v>
      </c>
      <c r="C29" s="3" t="s">
        <v>154</v>
      </c>
      <c r="D29" s="3" t="s">
        <v>127</v>
      </c>
      <c r="E29" s="15">
        <f>SUM(G29:$XES29)</f>
        <v>0</v>
      </c>
      <c r="F29" s="3">
        <f t="shared" si="0"/>
        <v>0</v>
      </c>
      <c r="G29" s="3"/>
      <c r="H29" s="3"/>
      <c r="I29" s="3"/>
      <c r="J29" s="3"/>
      <c r="K29" s="3"/>
      <c r="L29" s="3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10" t="s">
        <v>24</v>
      </c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BF29" s="3"/>
      <c r="BG29" s="10" t="s">
        <v>51</v>
      </c>
      <c r="BI29" s="3"/>
      <c r="BL29" s="3"/>
      <c r="BM29" s="3"/>
      <c r="BN29" s="3"/>
      <c r="BQ29" s="10" t="s">
        <v>57</v>
      </c>
      <c r="BR29" s="12"/>
      <c r="BS29" s="3"/>
    </row>
    <row r="30" spans="1:71">
      <c r="A30" s="4">
        <v>29</v>
      </c>
      <c r="B30" s="34">
        <v>2021202578</v>
      </c>
      <c r="C30" s="34" t="s">
        <v>155</v>
      </c>
      <c r="D30" s="15" t="s">
        <v>127</v>
      </c>
      <c r="E30" s="15">
        <f>SUM(G30:$XES30)</f>
        <v>15</v>
      </c>
      <c r="F30" s="3">
        <f t="shared" si="0"/>
        <v>3</v>
      </c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BL30" s="4">
        <v>15</v>
      </c>
      <c r="BM30" s="4">
        <v>0</v>
      </c>
      <c r="BN30" s="4">
        <v>0</v>
      </c>
      <c r="BQ30" s="10" t="s">
        <v>57</v>
      </c>
    </row>
    <row r="31" spans="1:71">
      <c r="E31" s="4"/>
      <c r="F31" s="4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BF31" s="4"/>
    </row>
    <row r="32" spans="1:71"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</row>
    <row r="33" spans="38:51"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</row>
    <row r="34" spans="38:51"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</row>
    <row r="35" spans="38:51"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</row>
    <row r="36" spans="38:51"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</row>
    <row r="37" spans="38:51"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</row>
    <row r="38" spans="38:51"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</row>
    <row r="39" spans="38:51"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</row>
    <row r="40" spans="38:51"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</row>
    <row r="41" spans="38:51"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</row>
    <row r="42" spans="38:51"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</row>
    <row r="43" spans="38:51"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</row>
    <row r="44" spans="38:51"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</row>
    <row r="45" spans="38:51"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</row>
    <row r="46" spans="38:51"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</row>
    <row r="47" spans="38:51"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</row>
    <row r="48" spans="38:51"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</row>
    <row r="49" spans="38:51"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</row>
    <row r="50" spans="38:51"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</row>
    <row r="51" spans="38:51"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</row>
    <row r="52" spans="38:51"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</row>
    <row r="53" spans="38:51"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</row>
    <row r="54" spans="38:51"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</row>
    <row r="55" spans="38:51"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</row>
    <row r="56" spans="38:51"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</row>
    <row r="57" spans="38:51"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</row>
    <row r="58" spans="38:51"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</row>
    <row r="59" spans="38:51"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</row>
    <row r="60" spans="38:51"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</row>
    <row r="61" spans="38:51"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</row>
    <row r="62" spans="38:51"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</row>
    <row r="63" spans="38:51"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</row>
    <row r="64" spans="38:51"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</row>
    <row r="65" spans="38:51"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</row>
    <row r="66" spans="38:51"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</row>
    <row r="67" spans="38:51"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</row>
    <row r="68" spans="38:51"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</row>
    <row r="69" spans="38:51"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</row>
    <row r="70" spans="38:51"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</row>
    <row r="71" spans="38:51"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</row>
    <row r="72" spans="38:51"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</row>
    <row r="73" spans="38:51"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</row>
    <row r="74" spans="38:51"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</row>
    <row r="75" spans="38:51"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</row>
    <row r="76" spans="38:51"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</row>
    <row r="77" spans="38:51"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</row>
  </sheetData>
  <phoneticPr fontId="13" type="noConversion"/>
  <pageMargins left="0.75" right="0.75" top="1" bottom="1" header="0.5" footer="1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53"/>
  <sheetViews>
    <sheetView zoomScale="74" zoomScaleNormal="74" workbookViewId="0">
      <pane xSplit="6" ySplit="1" topLeftCell="BM2" activePane="bottomRight" state="frozen"/>
      <selection pane="topRight"/>
      <selection pane="bottomLeft"/>
      <selection pane="bottomRight" activeCell="BM1" sqref="BM1:BM1048576"/>
    </sheetView>
  </sheetViews>
  <sheetFormatPr baseColWidth="10" defaultColWidth="15.5" defaultRowHeight="17"/>
  <cols>
    <col min="1" max="1" width="8" style="4" customWidth="1"/>
    <col min="2" max="2" width="12" style="4" hidden="1" customWidth="1"/>
    <col min="3" max="3" width="8" style="4" customWidth="1"/>
    <col min="4" max="4" width="11.5" style="4" customWidth="1"/>
    <col min="5" max="5" width="7.6640625" style="4" customWidth="1"/>
    <col min="6" max="6" width="9.6640625" style="4" customWidth="1"/>
    <col min="7" max="7" width="24.33203125" style="4" customWidth="1"/>
    <col min="8" max="8" width="11.5" style="4" customWidth="1"/>
    <col min="9" max="9" width="10.83203125" style="4" customWidth="1"/>
    <col min="10" max="10" width="14.33203125" style="4" customWidth="1"/>
    <col min="11" max="13" width="7.6640625" style="4" customWidth="1"/>
    <col min="14" max="14" width="11.5" style="4" customWidth="1"/>
    <col min="15" max="15" width="12" style="4" customWidth="1"/>
    <col min="16" max="16" width="11.6640625" style="4" customWidth="1"/>
    <col min="17" max="17" width="13.1640625" style="4" customWidth="1"/>
    <col min="18" max="20" width="7.6640625" style="4" customWidth="1"/>
    <col min="21" max="21" width="10.33203125" style="4" customWidth="1"/>
    <col min="22" max="22" width="16.83203125" style="4" customWidth="1"/>
    <col min="23" max="23" width="6.5" style="4" customWidth="1"/>
    <col min="24" max="24" width="8.6640625" style="4" customWidth="1"/>
    <col min="25" max="25" width="12.1640625" style="4" customWidth="1"/>
    <col min="26" max="26" width="20.83203125" style="4" customWidth="1"/>
    <col min="27" max="29" width="11.5" style="4" customWidth="1"/>
    <col min="30" max="30" width="18.5" style="4" customWidth="1"/>
    <col min="31" max="31" width="11.83203125" style="4" customWidth="1"/>
    <col min="32" max="32" width="16.5" style="4" customWidth="1"/>
    <col min="33" max="33" width="9.6640625" style="4" customWidth="1"/>
    <col min="34" max="34" width="8.1640625" style="4" customWidth="1"/>
    <col min="35" max="45" width="9.83203125" style="4" customWidth="1"/>
    <col min="46" max="46" width="25.6640625" style="4" customWidth="1"/>
    <col min="47" max="47" width="8.6640625" style="4" customWidth="1"/>
    <col min="48" max="49" width="9.6640625" style="4" customWidth="1"/>
    <col min="50" max="50" width="19.33203125" style="4" customWidth="1"/>
    <col min="51" max="51" width="1.1640625" style="4" hidden="1" customWidth="1"/>
    <col min="52" max="52" width="1" style="4" hidden="1" customWidth="1"/>
    <col min="53" max="53" width="0.83203125" style="4" hidden="1" customWidth="1"/>
    <col min="54" max="54" width="0.6640625" style="4" hidden="1" customWidth="1"/>
    <col min="55" max="55" width="19.33203125" style="5" customWidth="1"/>
    <col min="56" max="56" width="8.6640625" style="4" customWidth="1"/>
    <col min="57" max="57" width="9.6640625" style="4" customWidth="1"/>
    <col min="58" max="58" width="8.6640625" style="4" customWidth="1"/>
    <col min="59" max="59" width="17.1640625" style="4" customWidth="1"/>
    <col min="60" max="60" width="9.6640625" style="5" customWidth="1"/>
    <col min="61" max="61" width="8.6640625" style="4" customWidth="1"/>
    <col min="62" max="62" width="18.83203125" style="4" customWidth="1"/>
    <col min="63" max="63" width="9.6640625" style="4" customWidth="1"/>
    <col min="64" max="65" width="15.5" style="4" customWidth="1"/>
    <col min="66" max="16384" width="15.5" style="4"/>
  </cols>
  <sheetData>
    <row r="1" spans="1:67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9" t="s">
        <v>12</v>
      </c>
      <c r="L1" s="9" t="s">
        <v>108</v>
      </c>
      <c r="M1" s="9" t="s">
        <v>112</v>
      </c>
      <c r="N1" s="9" t="s">
        <v>15</v>
      </c>
      <c r="O1" s="9" t="s">
        <v>16</v>
      </c>
      <c r="P1" s="9" t="s">
        <v>105</v>
      </c>
      <c r="Q1" s="9" t="s">
        <v>156</v>
      </c>
      <c r="R1" s="9" t="s">
        <v>18</v>
      </c>
      <c r="S1" s="9" t="s">
        <v>19</v>
      </c>
      <c r="T1" s="9" t="s">
        <v>23</v>
      </c>
      <c r="U1" s="9" t="s">
        <v>20</v>
      </c>
      <c r="V1" s="9" t="s">
        <v>21</v>
      </c>
      <c r="W1" s="9" t="s">
        <v>112</v>
      </c>
      <c r="X1" s="10" t="s">
        <v>24</v>
      </c>
      <c r="Y1" s="9" t="s">
        <v>25</v>
      </c>
      <c r="Z1" s="9" t="s">
        <v>157</v>
      </c>
      <c r="AA1" s="37" t="s">
        <v>28</v>
      </c>
      <c r="AB1" s="9" t="s">
        <v>29</v>
      </c>
      <c r="AC1" s="9" t="s">
        <v>116</v>
      </c>
      <c r="AD1" s="3" t="s">
        <v>31</v>
      </c>
      <c r="AE1" s="9" t="s">
        <v>33</v>
      </c>
      <c r="AF1" s="1" t="s">
        <v>34</v>
      </c>
      <c r="AG1" s="9" t="s">
        <v>36</v>
      </c>
      <c r="AH1" s="11" t="s">
        <v>158</v>
      </c>
      <c r="AI1" s="11" t="s">
        <v>159</v>
      </c>
      <c r="AJ1" s="11" t="s">
        <v>121</v>
      </c>
      <c r="AK1" s="11" t="s">
        <v>39</v>
      </c>
      <c r="AL1" s="11" t="s">
        <v>40</v>
      </c>
      <c r="AM1" s="11" t="s">
        <v>41</v>
      </c>
      <c r="AN1" s="9" t="s">
        <v>42</v>
      </c>
      <c r="AO1" s="9" t="s">
        <v>43</v>
      </c>
      <c r="AP1" s="1" t="s">
        <v>44</v>
      </c>
      <c r="AQ1" s="11" t="s">
        <v>47</v>
      </c>
      <c r="AR1" s="11" t="s">
        <v>160</v>
      </c>
      <c r="AS1" s="11" t="s">
        <v>48</v>
      </c>
      <c r="AT1" s="1" t="s">
        <v>49</v>
      </c>
      <c r="AU1" s="10" t="s">
        <v>51</v>
      </c>
      <c r="AV1" s="1" t="s">
        <v>53</v>
      </c>
      <c r="AW1" s="1" t="s">
        <v>54</v>
      </c>
      <c r="AX1" s="3" t="s">
        <v>161</v>
      </c>
      <c r="BC1" s="12" t="s">
        <v>162</v>
      </c>
      <c r="BD1" s="10" t="s">
        <v>57</v>
      </c>
      <c r="BE1" s="12" t="s">
        <v>163</v>
      </c>
      <c r="BF1" s="3" t="s">
        <v>59</v>
      </c>
      <c r="BG1" s="38" t="s">
        <v>60</v>
      </c>
      <c r="BH1" s="12" t="s">
        <v>61</v>
      </c>
      <c r="BI1" s="3" t="s">
        <v>62</v>
      </c>
      <c r="BJ1" s="12" t="s">
        <v>164</v>
      </c>
      <c r="BK1" s="1" t="s">
        <v>165</v>
      </c>
      <c r="BL1" s="1" t="s">
        <v>63</v>
      </c>
      <c r="BM1" s="41" t="s">
        <v>166</v>
      </c>
      <c r="BN1" s="1" t="s">
        <v>167</v>
      </c>
      <c r="BO1" s="1" t="s">
        <v>65</v>
      </c>
    </row>
    <row r="2" spans="1:67" s="1" customFormat="1">
      <c r="A2" s="3">
        <v>1</v>
      </c>
      <c r="B2" s="3">
        <v>2022202336</v>
      </c>
      <c r="C2" s="3" t="s">
        <v>168</v>
      </c>
      <c r="D2" s="3" t="s">
        <v>169</v>
      </c>
      <c r="E2" s="15">
        <f>SUM(G2:$XET2)</f>
        <v>125</v>
      </c>
      <c r="F2" s="3">
        <f t="shared" ref="F2:F28" si="0">COUNT(G2:EE2)</f>
        <v>8</v>
      </c>
      <c r="G2" s="3"/>
      <c r="H2" s="3"/>
      <c r="I2" s="3"/>
      <c r="J2" s="3"/>
      <c r="K2" s="9"/>
      <c r="L2" s="9"/>
      <c r="M2" s="9"/>
      <c r="N2" s="9">
        <v>4</v>
      </c>
      <c r="O2" s="9"/>
      <c r="P2" s="9">
        <v>8</v>
      </c>
      <c r="Q2" s="9"/>
      <c r="R2" s="9"/>
      <c r="S2" s="9">
        <v>16</v>
      </c>
      <c r="T2" s="9"/>
      <c r="U2" s="9"/>
      <c r="V2" s="9"/>
      <c r="W2" s="9"/>
      <c r="X2" s="10" t="s">
        <v>24</v>
      </c>
      <c r="Y2" s="9">
        <v>12</v>
      </c>
      <c r="Z2" s="9"/>
      <c r="AA2" s="9"/>
      <c r="AB2" s="9"/>
      <c r="AD2" s="1">
        <v>16</v>
      </c>
      <c r="AH2" s="11"/>
      <c r="AI2" s="11"/>
      <c r="AJ2" s="11"/>
      <c r="AK2" s="11"/>
      <c r="AL2" s="11">
        <v>3</v>
      </c>
      <c r="AM2" s="11"/>
      <c r="AN2" s="11"/>
      <c r="AO2" s="11"/>
      <c r="AP2" s="11"/>
      <c r="AQ2" s="11"/>
      <c r="AR2" s="11"/>
      <c r="AS2" s="11">
        <v>62</v>
      </c>
      <c r="AU2" s="10" t="s">
        <v>51</v>
      </c>
      <c r="AW2" s="1">
        <v>4</v>
      </c>
      <c r="AX2" s="12"/>
      <c r="BC2" s="12"/>
      <c r="BD2" s="10" t="s">
        <v>57</v>
      </c>
      <c r="BE2" s="12"/>
      <c r="BF2" s="3"/>
      <c r="BG2" s="12"/>
      <c r="BH2" s="12"/>
      <c r="BI2" s="3"/>
      <c r="BJ2" s="12"/>
    </row>
    <row r="3" spans="1:67" s="1" customFormat="1">
      <c r="A3" s="3">
        <v>2</v>
      </c>
      <c r="B3" s="3">
        <v>2022202337</v>
      </c>
      <c r="C3" s="3" t="s">
        <v>170</v>
      </c>
      <c r="D3" s="3" t="s">
        <v>169</v>
      </c>
      <c r="E3" s="15">
        <f>SUM(G3:$XET3)</f>
        <v>58</v>
      </c>
      <c r="F3" s="3">
        <f t="shared" si="0"/>
        <v>4</v>
      </c>
      <c r="G3" s="3">
        <v>30</v>
      </c>
      <c r="H3" s="3"/>
      <c r="I3" s="3"/>
      <c r="J3" s="3"/>
      <c r="K3" s="9"/>
      <c r="L3" s="9"/>
      <c r="M3" s="9">
        <v>8</v>
      </c>
      <c r="N3" s="9"/>
      <c r="O3" s="9">
        <v>4</v>
      </c>
      <c r="P3" s="9"/>
      <c r="Q3" s="9"/>
      <c r="R3" s="9"/>
      <c r="S3" s="9"/>
      <c r="T3" s="9"/>
      <c r="U3" s="9"/>
      <c r="V3" s="9"/>
      <c r="W3" s="9">
        <v>16</v>
      </c>
      <c r="X3" s="10" t="s">
        <v>24</v>
      </c>
      <c r="Y3" s="9"/>
      <c r="Z3" s="9"/>
      <c r="AA3" s="9"/>
      <c r="AB3" s="9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0" t="s">
        <v>51</v>
      </c>
      <c r="AX3" s="12"/>
      <c r="BC3" s="12"/>
      <c r="BD3" s="10" t="s">
        <v>57</v>
      </c>
      <c r="BE3" s="12"/>
      <c r="BF3" s="3"/>
      <c r="BG3" s="12"/>
      <c r="BH3" s="12"/>
      <c r="BI3" s="3"/>
      <c r="BJ3" s="12"/>
    </row>
    <row r="4" spans="1:67" s="1" customFormat="1">
      <c r="A4" s="3">
        <v>3</v>
      </c>
      <c r="B4" s="3">
        <v>2022202338</v>
      </c>
      <c r="C4" s="3" t="s">
        <v>171</v>
      </c>
      <c r="D4" s="3" t="s">
        <v>169</v>
      </c>
      <c r="E4" s="15">
        <f>SUM(G4:$XET4)</f>
        <v>91</v>
      </c>
      <c r="F4" s="3">
        <f t="shared" si="0"/>
        <v>9</v>
      </c>
      <c r="G4" s="3">
        <v>14</v>
      </c>
      <c r="H4" s="3"/>
      <c r="I4" s="3"/>
      <c r="J4" s="3"/>
      <c r="K4" s="9">
        <v>4</v>
      </c>
      <c r="L4" s="9"/>
      <c r="M4" s="9"/>
      <c r="N4" s="9">
        <v>4</v>
      </c>
      <c r="O4" s="9"/>
      <c r="P4" s="9">
        <v>2</v>
      </c>
      <c r="Q4" s="9"/>
      <c r="R4" s="9">
        <v>6</v>
      </c>
      <c r="S4" s="9">
        <v>8</v>
      </c>
      <c r="T4" s="9"/>
      <c r="U4" s="9">
        <v>42</v>
      </c>
      <c r="V4" s="9"/>
      <c r="W4" s="9"/>
      <c r="X4" s="10" t="s">
        <v>24</v>
      </c>
      <c r="Y4" s="9">
        <v>7</v>
      </c>
      <c r="Z4" s="9"/>
      <c r="AA4" s="9"/>
      <c r="AB4" s="9"/>
      <c r="AH4" s="11"/>
      <c r="AI4" s="11"/>
      <c r="AJ4" s="11"/>
      <c r="AK4" s="11"/>
      <c r="AL4" s="11"/>
      <c r="AM4" s="11"/>
      <c r="AN4" s="11">
        <v>4</v>
      </c>
      <c r="AO4" s="11"/>
      <c r="AP4" s="11"/>
      <c r="AQ4" s="11"/>
      <c r="AR4" s="11"/>
      <c r="AS4" s="11"/>
      <c r="AU4" s="10" t="s">
        <v>51</v>
      </c>
      <c r="AX4" s="12"/>
      <c r="BC4" s="20"/>
      <c r="BD4" s="10" t="s">
        <v>57</v>
      </c>
      <c r="BE4" s="12"/>
      <c r="BF4" s="3"/>
      <c r="BG4" s="12"/>
      <c r="BH4" s="12"/>
      <c r="BI4" s="3"/>
      <c r="BJ4" s="12"/>
    </row>
    <row r="5" spans="1:67" s="1" customFormat="1">
      <c r="A5" s="3">
        <v>4</v>
      </c>
      <c r="B5" s="3">
        <v>2022202339</v>
      </c>
      <c r="C5" s="3" t="s">
        <v>172</v>
      </c>
      <c r="D5" s="3" t="s">
        <v>169</v>
      </c>
      <c r="E5" s="15">
        <f>SUM(G5:$XET5)</f>
        <v>5</v>
      </c>
      <c r="F5" s="3">
        <f t="shared" si="0"/>
        <v>1</v>
      </c>
      <c r="G5" s="3"/>
      <c r="H5" s="3"/>
      <c r="I5" s="3"/>
      <c r="J5" s="3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 t="s">
        <v>24</v>
      </c>
      <c r="Y5" s="9"/>
      <c r="Z5" s="9"/>
      <c r="AA5" s="9"/>
      <c r="AB5" s="9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U5" s="10" t="s">
        <v>51</v>
      </c>
      <c r="AX5" s="12"/>
      <c r="BC5" s="12"/>
      <c r="BD5" s="10" t="s">
        <v>57</v>
      </c>
      <c r="BE5" s="12"/>
      <c r="BF5" s="3"/>
      <c r="BG5" s="12"/>
      <c r="BH5" s="12"/>
      <c r="BI5" s="3"/>
      <c r="BJ5" s="12"/>
      <c r="BN5">
        <v>5</v>
      </c>
      <c r="BO5"/>
    </row>
    <row r="6" spans="1:67" s="1" customFormat="1">
      <c r="A6" s="3">
        <v>5</v>
      </c>
      <c r="B6" s="3">
        <v>2022202340</v>
      </c>
      <c r="C6" s="3" t="s">
        <v>173</v>
      </c>
      <c r="D6" s="3" t="s">
        <v>169</v>
      </c>
      <c r="E6" s="15">
        <f>SUM(G6:$XET6)</f>
        <v>124</v>
      </c>
      <c r="F6" s="3">
        <f t="shared" si="0"/>
        <v>8</v>
      </c>
      <c r="G6" s="3"/>
      <c r="H6" s="3"/>
      <c r="I6" s="3"/>
      <c r="J6" s="3"/>
      <c r="K6" s="9"/>
      <c r="L6" s="9"/>
      <c r="M6" s="9"/>
      <c r="N6" s="9">
        <v>4</v>
      </c>
      <c r="O6" s="9">
        <v>4</v>
      </c>
      <c r="P6" s="9">
        <v>4</v>
      </c>
      <c r="Q6" s="9"/>
      <c r="R6" s="9"/>
      <c r="S6" s="9"/>
      <c r="T6" s="9"/>
      <c r="U6" s="9"/>
      <c r="V6" s="9">
        <v>4</v>
      </c>
      <c r="W6" s="9"/>
      <c r="X6" s="10" t="s">
        <v>24</v>
      </c>
      <c r="Y6" s="9"/>
      <c r="Z6" s="9"/>
      <c r="AA6" s="9"/>
      <c r="AB6" s="9"/>
      <c r="AD6" s="1">
        <v>16</v>
      </c>
      <c r="AH6" s="11"/>
      <c r="AI6" s="11"/>
      <c r="AJ6" s="11"/>
      <c r="AK6" s="11">
        <v>84</v>
      </c>
      <c r="AL6" s="11"/>
      <c r="AM6" s="11"/>
      <c r="AN6" s="11"/>
      <c r="AO6" s="11"/>
      <c r="AP6" s="11"/>
      <c r="AQ6" s="11"/>
      <c r="AR6" s="11">
        <v>4</v>
      </c>
      <c r="AS6" s="11"/>
      <c r="AU6" s="10" t="s">
        <v>51</v>
      </c>
      <c r="AW6" s="1">
        <v>4</v>
      </c>
      <c r="AX6" s="12"/>
      <c r="BC6" s="12"/>
      <c r="BD6" s="10" t="s">
        <v>57</v>
      </c>
      <c r="BE6" s="12"/>
      <c r="BF6" s="3"/>
      <c r="BG6" s="12"/>
      <c r="BH6" s="12"/>
      <c r="BI6" s="3"/>
      <c r="BJ6" s="12"/>
    </row>
    <row r="7" spans="1:67" s="1" customFormat="1">
      <c r="A7" s="3">
        <v>6</v>
      </c>
      <c r="B7" s="3">
        <v>2022202341</v>
      </c>
      <c r="C7" s="3" t="s">
        <v>174</v>
      </c>
      <c r="D7" s="3" t="s">
        <v>169</v>
      </c>
      <c r="E7" s="15">
        <f>SUM(G7:$XET7)</f>
        <v>36.5</v>
      </c>
      <c r="F7" s="3">
        <f t="shared" si="0"/>
        <v>9</v>
      </c>
      <c r="G7" s="3"/>
      <c r="H7" s="3">
        <v>6</v>
      </c>
      <c r="I7" s="3"/>
      <c r="J7" s="3">
        <v>7</v>
      </c>
      <c r="K7" s="9"/>
      <c r="L7" s="9"/>
      <c r="M7" s="9"/>
      <c r="N7" s="9">
        <v>4</v>
      </c>
      <c r="O7" s="9">
        <v>4</v>
      </c>
      <c r="P7" s="9"/>
      <c r="Q7" s="9"/>
      <c r="R7" s="9"/>
      <c r="S7" s="9"/>
      <c r="T7" s="9"/>
      <c r="U7" s="9">
        <v>5</v>
      </c>
      <c r="V7" s="9"/>
      <c r="W7" s="9"/>
      <c r="X7" s="10" t="s">
        <v>24</v>
      </c>
      <c r="Y7" s="9"/>
      <c r="Z7" s="9"/>
      <c r="AA7" s="9"/>
      <c r="AB7" s="9"/>
      <c r="AH7" s="11"/>
      <c r="AI7" s="11"/>
      <c r="AJ7" s="11"/>
      <c r="AK7" s="11"/>
      <c r="AL7" s="11"/>
      <c r="AM7" s="11"/>
      <c r="AN7" s="11">
        <v>4</v>
      </c>
      <c r="AO7" s="11"/>
      <c r="AP7" s="11"/>
      <c r="AQ7" s="11"/>
      <c r="AR7" s="11"/>
      <c r="AS7" s="11"/>
      <c r="AU7" s="10" t="s">
        <v>51</v>
      </c>
      <c r="AV7" s="1">
        <v>4</v>
      </c>
      <c r="AW7" s="1">
        <v>2</v>
      </c>
      <c r="AX7" s="12"/>
      <c r="BC7" s="12"/>
      <c r="BD7" s="10" t="s">
        <v>57</v>
      </c>
      <c r="BE7" s="12"/>
      <c r="BF7" s="3"/>
      <c r="BG7" s="12"/>
      <c r="BH7" s="12">
        <v>0.5</v>
      </c>
      <c r="BI7" s="3"/>
      <c r="BJ7" s="12"/>
    </row>
    <row r="8" spans="1:67" s="1" customFormat="1">
      <c r="A8" s="3">
        <v>7</v>
      </c>
      <c r="B8" s="3">
        <v>2022202342</v>
      </c>
      <c r="C8" s="3" t="s">
        <v>175</v>
      </c>
      <c r="D8" s="3" t="s">
        <v>169</v>
      </c>
      <c r="E8" s="15">
        <f>SUM(G8:$XET8)</f>
        <v>106.5</v>
      </c>
      <c r="F8" s="3">
        <f t="shared" si="0"/>
        <v>7</v>
      </c>
      <c r="G8" s="3"/>
      <c r="H8" s="3"/>
      <c r="I8" s="3"/>
      <c r="J8" s="3"/>
      <c r="K8" s="9"/>
      <c r="L8" s="9"/>
      <c r="M8" s="9"/>
      <c r="N8" s="9">
        <v>4</v>
      </c>
      <c r="O8" s="9"/>
      <c r="P8" s="9"/>
      <c r="Q8" s="9"/>
      <c r="R8" s="9"/>
      <c r="S8" s="9"/>
      <c r="T8" s="9"/>
      <c r="U8" s="9"/>
      <c r="V8" s="9">
        <v>4</v>
      </c>
      <c r="W8" s="9"/>
      <c r="X8" s="10" t="s">
        <v>24</v>
      </c>
      <c r="Y8" s="9"/>
      <c r="Z8" s="9">
        <v>0.5</v>
      </c>
      <c r="AA8" s="9">
        <v>20</v>
      </c>
      <c r="AB8" s="9"/>
      <c r="AE8" s="1">
        <v>5</v>
      </c>
      <c r="AH8" s="11"/>
      <c r="AI8" s="11">
        <v>3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U8" s="10" t="s">
        <v>51</v>
      </c>
      <c r="AX8" s="12"/>
      <c r="BC8" s="12">
        <v>70</v>
      </c>
      <c r="BD8" s="10" t="s">
        <v>57</v>
      </c>
      <c r="BE8" s="12"/>
      <c r="BF8" s="3"/>
      <c r="BG8" s="12"/>
      <c r="BH8" s="12"/>
      <c r="BI8" s="3"/>
      <c r="BJ8" s="12"/>
    </row>
    <row r="9" spans="1:67" s="1" customFormat="1">
      <c r="A9" s="3">
        <v>8</v>
      </c>
      <c r="B9" s="3">
        <v>2022202343</v>
      </c>
      <c r="C9" s="3" t="s">
        <v>176</v>
      </c>
      <c r="D9" s="3" t="s">
        <v>169</v>
      </c>
      <c r="E9" s="15">
        <f>SUM(G9:$XET9)</f>
        <v>82</v>
      </c>
      <c r="F9" s="3">
        <f t="shared" si="0"/>
        <v>8</v>
      </c>
      <c r="G9" s="3"/>
      <c r="H9" s="3"/>
      <c r="I9" s="3"/>
      <c r="J9" s="3"/>
      <c r="K9" s="9"/>
      <c r="L9" s="9"/>
      <c r="M9" s="9"/>
      <c r="N9" s="9">
        <v>4</v>
      </c>
      <c r="O9" s="9">
        <v>4</v>
      </c>
      <c r="P9" s="9"/>
      <c r="Q9" s="9"/>
      <c r="R9" s="9"/>
      <c r="S9" s="9">
        <v>16</v>
      </c>
      <c r="T9" s="9"/>
      <c r="U9" s="9"/>
      <c r="V9" s="9"/>
      <c r="W9" s="9"/>
      <c r="X9" s="10" t="s">
        <v>24</v>
      </c>
      <c r="Y9" s="9"/>
      <c r="Z9" s="9">
        <v>2.5</v>
      </c>
      <c r="AA9" s="9">
        <v>19</v>
      </c>
      <c r="AB9" s="9"/>
      <c r="AF9" s="1">
        <v>29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U9" s="10" t="s">
        <v>51</v>
      </c>
      <c r="AX9" s="12"/>
      <c r="BC9" s="12"/>
      <c r="BD9" s="10" t="s">
        <v>57</v>
      </c>
      <c r="BE9" s="12"/>
      <c r="BF9" s="3"/>
      <c r="BG9" s="12"/>
      <c r="BH9" s="12"/>
      <c r="BI9" s="3"/>
      <c r="BJ9" s="12"/>
      <c r="BL9" s="1">
        <v>0.5</v>
      </c>
      <c r="BO9">
        <v>7</v>
      </c>
    </row>
    <row r="10" spans="1:67" s="1" customFormat="1">
      <c r="A10" s="3">
        <v>9</v>
      </c>
      <c r="B10" s="3">
        <v>2022202344</v>
      </c>
      <c r="C10" s="3" t="s">
        <v>177</v>
      </c>
      <c r="D10" s="3" t="s">
        <v>169</v>
      </c>
      <c r="E10" s="15">
        <f>SUM(G10:$XET10)</f>
        <v>35</v>
      </c>
      <c r="F10" s="3">
        <f t="shared" si="0"/>
        <v>7</v>
      </c>
      <c r="G10" s="3"/>
      <c r="H10" s="3">
        <v>6</v>
      </c>
      <c r="I10" s="3"/>
      <c r="J10" s="3">
        <v>7</v>
      </c>
      <c r="K10" s="9"/>
      <c r="L10" s="9"/>
      <c r="M10" s="9"/>
      <c r="N10" s="9">
        <v>4</v>
      </c>
      <c r="O10" s="9">
        <v>4</v>
      </c>
      <c r="P10" s="9"/>
      <c r="Q10" s="9"/>
      <c r="R10" s="9"/>
      <c r="S10" s="9"/>
      <c r="T10" s="9"/>
      <c r="U10" s="9"/>
      <c r="V10" s="9"/>
      <c r="W10" s="9"/>
      <c r="X10" s="10" t="s">
        <v>24</v>
      </c>
      <c r="Y10" s="9"/>
      <c r="Z10" s="9"/>
      <c r="AA10" s="9"/>
      <c r="AB10" s="9"/>
      <c r="AH10" s="11"/>
      <c r="AI10" s="11"/>
      <c r="AJ10" s="11"/>
      <c r="AK10" s="11"/>
      <c r="AL10" s="11"/>
      <c r="AM10" s="11"/>
      <c r="AN10" s="11">
        <v>4</v>
      </c>
      <c r="AO10" s="11"/>
      <c r="AP10" s="11"/>
      <c r="AQ10" s="11"/>
      <c r="AR10" s="11"/>
      <c r="AS10" s="11"/>
      <c r="AU10" s="10" t="s">
        <v>51</v>
      </c>
      <c r="AX10" s="12"/>
      <c r="BC10" s="12"/>
      <c r="BD10" s="10" t="s">
        <v>57</v>
      </c>
      <c r="BE10" s="12"/>
      <c r="BF10" s="3"/>
      <c r="BG10" s="12"/>
      <c r="BH10" s="12"/>
      <c r="BI10" s="3"/>
      <c r="BJ10" s="12"/>
      <c r="BM10" s="1">
        <v>5</v>
      </c>
      <c r="BN10"/>
      <c r="BO10">
        <v>5</v>
      </c>
    </row>
    <row r="11" spans="1:67" s="1" customFormat="1">
      <c r="A11" s="3">
        <v>10</v>
      </c>
      <c r="B11" s="3">
        <v>2022202345</v>
      </c>
      <c r="C11" s="3" t="s">
        <v>178</v>
      </c>
      <c r="D11" s="3" t="s">
        <v>169</v>
      </c>
      <c r="E11" s="15">
        <f>SUM(G11:$XET11)</f>
        <v>27</v>
      </c>
      <c r="F11" s="3">
        <f t="shared" si="0"/>
        <v>7</v>
      </c>
      <c r="G11" s="3"/>
      <c r="H11" s="3"/>
      <c r="I11" s="3"/>
      <c r="J11" s="3"/>
      <c r="K11" s="9"/>
      <c r="L11" s="9"/>
      <c r="M11" s="9"/>
      <c r="N11" s="9">
        <v>4</v>
      </c>
      <c r="O11" s="9"/>
      <c r="P11" s="9"/>
      <c r="Q11" s="9"/>
      <c r="R11" s="9"/>
      <c r="S11" s="9"/>
      <c r="T11" s="9">
        <v>4</v>
      </c>
      <c r="U11" s="9"/>
      <c r="V11" s="9"/>
      <c r="W11" s="9"/>
      <c r="X11" s="10" t="s">
        <v>24</v>
      </c>
      <c r="Y11" s="9"/>
      <c r="Z11" s="9"/>
      <c r="AA11" s="9"/>
      <c r="AB11" s="9"/>
      <c r="AE11" s="1">
        <v>5</v>
      </c>
      <c r="AH11" s="11"/>
      <c r="AI11" s="11">
        <v>3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U11" s="10" t="s">
        <v>51</v>
      </c>
      <c r="AX11" s="12"/>
      <c r="BC11" s="12"/>
      <c r="BD11" s="10" t="s">
        <v>57</v>
      </c>
      <c r="BE11" s="12"/>
      <c r="BF11" s="3"/>
      <c r="BG11" s="12"/>
      <c r="BH11" s="12">
        <v>2</v>
      </c>
      <c r="BI11" s="3">
        <v>5</v>
      </c>
      <c r="BJ11" s="12"/>
      <c r="BK11" s="1">
        <v>4</v>
      </c>
    </row>
    <row r="12" spans="1:67" s="1" customFormat="1">
      <c r="A12" s="3">
        <v>11</v>
      </c>
      <c r="B12" s="3">
        <v>2022202346</v>
      </c>
      <c r="C12" s="3" t="s">
        <v>179</v>
      </c>
      <c r="D12" s="3" t="s">
        <v>169</v>
      </c>
      <c r="E12" s="15">
        <f>SUM(G12:$XET12)</f>
        <v>17.5</v>
      </c>
      <c r="F12" s="3">
        <f t="shared" si="0"/>
        <v>5</v>
      </c>
      <c r="G12" s="3"/>
      <c r="H12" s="3"/>
      <c r="I12" s="3"/>
      <c r="J12" s="3"/>
      <c r="K12" s="9"/>
      <c r="L12" s="9"/>
      <c r="M12" s="9"/>
      <c r="N12" s="9">
        <v>4</v>
      </c>
      <c r="O12" s="9"/>
      <c r="P12" s="9"/>
      <c r="Q12" s="9"/>
      <c r="R12" s="9"/>
      <c r="S12" s="9"/>
      <c r="T12" s="9"/>
      <c r="U12" s="9"/>
      <c r="V12" s="9">
        <v>4</v>
      </c>
      <c r="W12" s="9"/>
      <c r="X12" s="10" t="s">
        <v>24</v>
      </c>
      <c r="Y12" s="9"/>
      <c r="Z12" s="9">
        <v>0.5</v>
      </c>
      <c r="AA12" s="9"/>
      <c r="AB12" s="9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">
        <v>4</v>
      </c>
      <c r="AU12" s="10" t="s">
        <v>51</v>
      </c>
      <c r="AX12" s="12"/>
      <c r="BC12" s="12"/>
      <c r="BD12" s="10" t="s">
        <v>57</v>
      </c>
      <c r="BE12" s="12"/>
      <c r="BF12" s="3"/>
      <c r="BG12" s="12"/>
      <c r="BH12" s="12"/>
      <c r="BI12" s="3"/>
      <c r="BJ12" s="12"/>
      <c r="BN12">
        <v>5</v>
      </c>
      <c r="BO12"/>
    </row>
    <row r="13" spans="1:67" s="1" customFormat="1">
      <c r="A13" s="3">
        <v>12</v>
      </c>
      <c r="B13" s="3">
        <v>2022202347</v>
      </c>
      <c r="C13" s="3" t="s">
        <v>180</v>
      </c>
      <c r="D13" s="3" t="s">
        <v>169</v>
      </c>
      <c r="E13" s="15">
        <f>SUM(G13:$XET13)</f>
        <v>132</v>
      </c>
      <c r="F13" s="3">
        <f t="shared" si="0"/>
        <v>12</v>
      </c>
      <c r="G13" s="3"/>
      <c r="H13" s="3"/>
      <c r="I13" s="3"/>
      <c r="J13" s="3"/>
      <c r="K13" s="9"/>
      <c r="L13" s="9"/>
      <c r="M13" s="9"/>
      <c r="N13" s="9">
        <v>4</v>
      </c>
      <c r="O13" s="9">
        <v>4</v>
      </c>
      <c r="P13" s="9">
        <v>2</v>
      </c>
      <c r="Q13" s="9"/>
      <c r="R13" s="9">
        <v>3</v>
      </c>
      <c r="S13" s="9">
        <v>8</v>
      </c>
      <c r="T13" s="9"/>
      <c r="U13" s="9">
        <v>5</v>
      </c>
      <c r="V13" s="9">
        <v>4</v>
      </c>
      <c r="W13" s="9"/>
      <c r="X13" s="10" t="s">
        <v>24</v>
      </c>
      <c r="Y13" s="11">
        <v>6</v>
      </c>
      <c r="Z13" s="9"/>
      <c r="AA13" s="9">
        <v>7</v>
      </c>
      <c r="AB13" s="9"/>
      <c r="AC13" s="1">
        <v>3</v>
      </c>
      <c r="AH13" s="11"/>
      <c r="AI13" s="11"/>
      <c r="AJ13" s="11"/>
      <c r="AK13" s="11">
        <v>84</v>
      </c>
      <c r="AL13" s="11"/>
      <c r="AM13" s="11"/>
      <c r="AN13" s="11"/>
      <c r="AO13" s="11"/>
      <c r="AP13" s="11"/>
      <c r="AQ13" s="11"/>
      <c r="AR13" s="11"/>
      <c r="AS13" s="11"/>
      <c r="AU13" s="10" t="s">
        <v>51</v>
      </c>
      <c r="AW13" s="1">
        <v>2</v>
      </c>
      <c r="AX13" s="12"/>
      <c r="BC13" s="12"/>
      <c r="BD13" s="10" t="s">
        <v>57</v>
      </c>
      <c r="BE13" s="12"/>
      <c r="BF13" s="3"/>
      <c r="BG13" s="12"/>
      <c r="BH13" s="12"/>
      <c r="BI13" s="3"/>
      <c r="BJ13" s="12"/>
    </row>
    <row r="14" spans="1:67" s="1" customFormat="1">
      <c r="A14" s="3">
        <v>13</v>
      </c>
      <c r="B14" s="3">
        <v>2022202348</v>
      </c>
      <c r="C14" s="3" t="s">
        <v>181</v>
      </c>
      <c r="D14" s="3" t="s">
        <v>169</v>
      </c>
      <c r="E14" s="15">
        <f>SUM(G14:$XET14)</f>
        <v>24.5</v>
      </c>
      <c r="F14" s="3">
        <f t="shared" si="0"/>
        <v>6</v>
      </c>
      <c r="G14" s="3"/>
      <c r="H14" s="3"/>
      <c r="I14" s="3"/>
      <c r="J14" s="3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 t="s">
        <v>24</v>
      </c>
      <c r="Y14" s="9"/>
      <c r="Z14" s="9">
        <v>0.5</v>
      </c>
      <c r="AA14" s="9"/>
      <c r="AB14" s="9"/>
      <c r="AE14" s="1">
        <v>5</v>
      </c>
      <c r="AG14" s="1">
        <v>7</v>
      </c>
      <c r="AH14" s="11">
        <v>4</v>
      </c>
      <c r="AI14" s="11">
        <v>3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U14" s="10" t="s">
        <v>51</v>
      </c>
      <c r="AX14" s="12"/>
      <c r="BC14" s="12"/>
      <c r="BD14" s="10" t="s">
        <v>57</v>
      </c>
      <c r="BE14" s="12"/>
      <c r="BF14" s="3"/>
      <c r="BG14" s="12"/>
      <c r="BH14" s="12"/>
      <c r="BI14" s="3"/>
      <c r="BJ14" s="12"/>
      <c r="BN14">
        <v>5</v>
      </c>
      <c r="BO14"/>
    </row>
    <row r="15" spans="1:67" s="1" customFormat="1">
      <c r="A15" s="3">
        <v>14</v>
      </c>
      <c r="B15" s="3">
        <v>2022202349</v>
      </c>
      <c r="C15" s="3" t="s">
        <v>182</v>
      </c>
      <c r="D15" s="3" t="s">
        <v>169</v>
      </c>
      <c r="E15" s="15">
        <f>SUM(G15:$XET15)</f>
        <v>30</v>
      </c>
      <c r="F15" s="3">
        <f t="shared" si="0"/>
        <v>8</v>
      </c>
      <c r="G15" s="3"/>
      <c r="H15" s="3"/>
      <c r="I15" s="3"/>
      <c r="J15" s="3"/>
      <c r="K15" s="9"/>
      <c r="L15" s="9"/>
      <c r="M15" s="9"/>
      <c r="N15" s="9">
        <v>4</v>
      </c>
      <c r="O15" s="9"/>
      <c r="P15" s="9">
        <v>2</v>
      </c>
      <c r="Q15" s="9"/>
      <c r="R15" s="9"/>
      <c r="S15" s="9"/>
      <c r="T15" s="9"/>
      <c r="U15" s="9"/>
      <c r="V15" s="9"/>
      <c r="W15" s="9"/>
      <c r="X15" s="10" t="s">
        <v>24</v>
      </c>
      <c r="Y15" s="9"/>
      <c r="Z15" s="9"/>
      <c r="AA15" s="9">
        <v>7</v>
      </c>
      <c r="AB15" s="9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U15" s="10" t="s">
        <v>51</v>
      </c>
      <c r="AW15" s="1">
        <v>2</v>
      </c>
      <c r="AX15" s="12"/>
      <c r="BC15" s="12"/>
      <c r="BD15" s="10" t="s">
        <v>57</v>
      </c>
      <c r="BE15" s="12"/>
      <c r="BF15" s="3">
        <v>3</v>
      </c>
      <c r="BG15" s="12">
        <v>5</v>
      </c>
      <c r="BH15" s="12">
        <v>2</v>
      </c>
      <c r="BI15" s="3"/>
      <c r="BJ15" s="12"/>
      <c r="BN15"/>
      <c r="BO15">
        <v>5</v>
      </c>
    </row>
    <row r="16" spans="1:67" s="1" customFormat="1">
      <c r="A16" s="3">
        <v>15</v>
      </c>
      <c r="B16" s="3">
        <v>2022202350</v>
      </c>
      <c r="C16" s="3" t="s">
        <v>183</v>
      </c>
      <c r="D16" s="3" t="s">
        <v>169</v>
      </c>
      <c r="E16" s="15">
        <f>SUM(G16:$XET16)</f>
        <v>70</v>
      </c>
      <c r="F16" s="3">
        <f t="shared" si="0"/>
        <v>8</v>
      </c>
      <c r="G16" s="3"/>
      <c r="H16" s="3"/>
      <c r="I16" s="3"/>
      <c r="J16" s="3"/>
      <c r="K16" s="9"/>
      <c r="L16" s="9"/>
      <c r="M16" s="9"/>
      <c r="N16" s="9">
        <v>4</v>
      </c>
      <c r="O16" s="9">
        <v>4</v>
      </c>
      <c r="P16" s="9">
        <v>2</v>
      </c>
      <c r="Q16" s="9"/>
      <c r="R16" s="9"/>
      <c r="S16" s="9"/>
      <c r="T16" s="9"/>
      <c r="U16" s="9">
        <v>32</v>
      </c>
      <c r="V16" s="9">
        <v>4</v>
      </c>
      <c r="W16" s="9"/>
      <c r="X16" s="10" t="s">
        <v>24</v>
      </c>
      <c r="Y16" s="9"/>
      <c r="Z16" s="9"/>
      <c r="AA16" s="9"/>
      <c r="AB16" s="9"/>
      <c r="AD16" s="1">
        <v>16</v>
      </c>
      <c r="AH16" s="11"/>
      <c r="AI16" s="11"/>
      <c r="AJ16" s="11"/>
      <c r="AK16" s="11"/>
      <c r="AL16" s="11"/>
      <c r="AM16" s="11"/>
      <c r="AN16" s="11">
        <v>4</v>
      </c>
      <c r="AO16" s="11"/>
      <c r="AP16" s="11"/>
      <c r="AQ16" s="11"/>
      <c r="AR16" s="11">
        <v>4</v>
      </c>
      <c r="AS16" s="11"/>
      <c r="AU16" s="10" t="s">
        <v>51</v>
      </c>
      <c r="AX16" s="12"/>
      <c r="BC16" s="12"/>
      <c r="BD16" s="10" t="s">
        <v>57</v>
      </c>
      <c r="BE16" s="12"/>
      <c r="BF16" s="3"/>
      <c r="BG16" s="12"/>
      <c r="BH16" s="12"/>
      <c r="BI16" s="3"/>
      <c r="BJ16" s="12"/>
    </row>
    <row r="17" spans="1:67" s="1" customFormat="1">
      <c r="A17" s="3">
        <v>16</v>
      </c>
      <c r="B17" s="3">
        <v>2022202351</v>
      </c>
      <c r="C17" s="3" t="s">
        <v>184</v>
      </c>
      <c r="D17" s="3" t="s">
        <v>169</v>
      </c>
      <c r="E17" s="15">
        <f>SUM(G17:$XET17)</f>
        <v>109.5</v>
      </c>
      <c r="F17" s="3">
        <f t="shared" si="0"/>
        <v>9</v>
      </c>
      <c r="G17" s="3"/>
      <c r="H17" s="3"/>
      <c r="I17" s="3"/>
      <c r="J17" s="3"/>
      <c r="K17" s="9"/>
      <c r="L17" s="9"/>
      <c r="M17" s="9"/>
      <c r="N17" s="9">
        <v>4</v>
      </c>
      <c r="O17" s="9">
        <v>4</v>
      </c>
      <c r="P17" s="9">
        <v>2</v>
      </c>
      <c r="Q17" s="9"/>
      <c r="R17" s="9"/>
      <c r="S17" s="9">
        <v>16</v>
      </c>
      <c r="T17" s="9"/>
      <c r="U17" s="9"/>
      <c r="V17" s="9">
        <v>4</v>
      </c>
      <c r="W17" s="9"/>
      <c r="X17" s="10" t="s">
        <v>24</v>
      </c>
      <c r="Y17" s="9"/>
      <c r="Z17" s="9"/>
      <c r="AA17" s="9">
        <v>16</v>
      </c>
      <c r="AB17" s="9"/>
      <c r="AH17" s="11"/>
      <c r="AI17" s="11"/>
      <c r="AJ17" s="11"/>
      <c r="AK17" s="11"/>
      <c r="AL17" s="11"/>
      <c r="AM17" s="11">
        <v>4</v>
      </c>
      <c r="AN17" s="11"/>
      <c r="AO17" s="11"/>
      <c r="AP17" s="11"/>
      <c r="AQ17" s="11"/>
      <c r="AR17" s="11"/>
      <c r="AS17" s="11">
        <v>59</v>
      </c>
      <c r="AU17" s="10" t="s">
        <v>51</v>
      </c>
      <c r="AX17" s="12"/>
      <c r="BC17" s="12"/>
      <c r="BD17" s="10" t="s">
        <v>57</v>
      </c>
      <c r="BE17" s="12"/>
      <c r="BF17" s="3"/>
      <c r="BG17" s="12"/>
      <c r="BH17" s="12"/>
      <c r="BI17" s="3"/>
      <c r="BJ17" s="12"/>
      <c r="BL17" s="1">
        <v>0.5</v>
      </c>
    </row>
    <row r="18" spans="1:67" s="1" customFormat="1">
      <c r="A18" s="3">
        <v>17</v>
      </c>
      <c r="B18" s="3">
        <v>2022202352</v>
      </c>
      <c r="C18" s="3" t="s">
        <v>185</v>
      </c>
      <c r="D18" s="3" t="s">
        <v>169</v>
      </c>
      <c r="E18" s="15">
        <f>SUM(G18:$XET18)</f>
        <v>21.5</v>
      </c>
      <c r="F18" s="3">
        <f t="shared" si="0"/>
        <v>6</v>
      </c>
      <c r="G18" s="3"/>
      <c r="H18" s="3"/>
      <c r="I18" s="3"/>
      <c r="J18" s="3"/>
      <c r="K18" s="9"/>
      <c r="L18" s="9">
        <v>4</v>
      </c>
      <c r="M18" s="9"/>
      <c r="N18" s="9">
        <v>4</v>
      </c>
      <c r="O18" s="9">
        <v>4</v>
      </c>
      <c r="P18" s="9"/>
      <c r="Q18" s="9"/>
      <c r="R18" s="9"/>
      <c r="S18" s="9"/>
      <c r="T18" s="9"/>
      <c r="U18" s="9"/>
      <c r="V18" s="9">
        <v>4</v>
      </c>
      <c r="W18" s="9"/>
      <c r="X18" s="10" t="s">
        <v>24</v>
      </c>
      <c r="Y18" s="9"/>
      <c r="Z18" s="9">
        <v>0.5</v>
      </c>
      <c r="AA18" s="9"/>
      <c r="AB18" s="9"/>
      <c r="AH18" s="11"/>
      <c r="AI18" s="11"/>
      <c r="AJ18" s="11"/>
      <c r="AK18" s="11"/>
      <c r="AL18" s="11">
        <v>5</v>
      </c>
      <c r="AM18" s="11"/>
      <c r="AN18" s="11"/>
      <c r="AO18" s="11"/>
      <c r="AP18" s="11"/>
      <c r="AQ18" s="11"/>
      <c r="AR18" s="11"/>
      <c r="AS18" s="11"/>
      <c r="AU18" s="10" t="s">
        <v>51</v>
      </c>
      <c r="AX18" s="12"/>
      <c r="BC18" s="12"/>
      <c r="BD18" s="10" t="s">
        <v>57</v>
      </c>
      <c r="BE18" s="12"/>
      <c r="BF18" s="3"/>
      <c r="BG18" s="12"/>
      <c r="BH18" s="12"/>
      <c r="BI18" s="3"/>
      <c r="BJ18" s="12"/>
    </row>
    <row r="19" spans="1:67" s="1" customFormat="1">
      <c r="A19" s="3">
        <v>18</v>
      </c>
      <c r="B19" s="3">
        <v>2022202353</v>
      </c>
      <c r="C19" s="3" t="s">
        <v>186</v>
      </c>
      <c r="D19" s="3" t="s">
        <v>169</v>
      </c>
      <c r="E19" s="15">
        <f>SUM(G19:$XET19)</f>
        <v>31</v>
      </c>
      <c r="F19" s="3">
        <f t="shared" si="0"/>
        <v>6</v>
      </c>
      <c r="G19" s="3"/>
      <c r="H19" s="3"/>
      <c r="I19" s="3"/>
      <c r="J19" s="3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 t="s">
        <v>24</v>
      </c>
      <c r="Y19" s="9"/>
      <c r="Z19" s="9"/>
      <c r="AA19" s="9"/>
      <c r="AB19" s="9"/>
      <c r="AG19" s="1">
        <v>7</v>
      </c>
      <c r="AH19" s="11">
        <v>4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U19" s="10" t="s">
        <v>51</v>
      </c>
      <c r="AX19" s="12"/>
      <c r="BC19" s="12"/>
      <c r="BD19" s="10" t="s">
        <v>57</v>
      </c>
      <c r="BE19" s="12"/>
      <c r="BF19" s="3"/>
      <c r="BG19" s="12"/>
      <c r="BH19" s="12"/>
      <c r="BI19" s="3">
        <v>5</v>
      </c>
      <c r="BJ19" s="12"/>
      <c r="BK19" s="1">
        <v>4</v>
      </c>
      <c r="BN19">
        <v>5</v>
      </c>
      <c r="BO19">
        <v>6</v>
      </c>
    </row>
    <row r="20" spans="1:67" s="1" customFormat="1">
      <c r="A20" s="3">
        <v>19</v>
      </c>
      <c r="B20" s="3">
        <v>2022202354</v>
      </c>
      <c r="C20" s="3" t="s">
        <v>187</v>
      </c>
      <c r="D20" s="3" t="s">
        <v>169</v>
      </c>
      <c r="E20" s="15">
        <f>SUM(G20:$XET20)</f>
        <v>40</v>
      </c>
      <c r="F20" s="3">
        <f t="shared" si="0"/>
        <v>7</v>
      </c>
      <c r="G20" s="3"/>
      <c r="H20" s="3"/>
      <c r="I20" s="3"/>
      <c r="J20" s="3"/>
      <c r="K20" s="9"/>
      <c r="L20" s="9"/>
      <c r="M20" s="9"/>
      <c r="N20" s="9">
        <v>4</v>
      </c>
      <c r="O20" s="9"/>
      <c r="P20" s="9">
        <v>2</v>
      </c>
      <c r="Q20" s="9"/>
      <c r="R20" s="9"/>
      <c r="S20" s="9">
        <v>8</v>
      </c>
      <c r="T20" s="9"/>
      <c r="U20" s="9"/>
      <c r="V20" s="9"/>
      <c r="W20" s="9"/>
      <c r="X20" s="10" t="s">
        <v>24</v>
      </c>
      <c r="Y20" s="9">
        <v>12</v>
      </c>
      <c r="Z20" s="9"/>
      <c r="AA20" s="9"/>
      <c r="AB20" s="9"/>
      <c r="AG20" s="1">
        <v>7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U20" s="10" t="s">
        <v>51</v>
      </c>
      <c r="AW20" s="1">
        <v>2</v>
      </c>
      <c r="AX20" s="12"/>
      <c r="BC20" s="12"/>
      <c r="BD20" s="10" t="s">
        <v>57</v>
      </c>
      <c r="BE20" s="12"/>
      <c r="BF20" s="3"/>
      <c r="BG20" s="12"/>
      <c r="BH20" s="12"/>
      <c r="BI20" s="3"/>
      <c r="BJ20" s="12"/>
      <c r="BN20"/>
      <c r="BO20">
        <v>5</v>
      </c>
    </row>
    <row r="21" spans="1:67" s="1" customFormat="1">
      <c r="A21" s="3">
        <v>20</v>
      </c>
      <c r="B21" s="3">
        <v>2022202355</v>
      </c>
      <c r="C21" s="3" t="s">
        <v>188</v>
      </c>
      <c r="D21" s="3" t="s">
        <v>169</v>
      </c>
      <c r="E21" s="15">
        <f>SUM(G21:$XET21)</f>
        <v>22</v>
      </c>
      <c r="F21" s="3">
        <f t="shared" si="0"/>
        <v>3</v>
      </c>
      <c r="G21" s="3"/>
      <c r="H21" s="3"/>
      <c r="I21" s="3"/>
      <c r="J21" s="3">
        <v>7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 t="s">
        <v>24</v>
      </c>
      <c r="Y21" s="9"/>
      <c r="Z21" s="9"/>
      <c r="AA21" s="9"/>
      <c r="AB21" s="9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U21" s="10" t="s">
        <v>51</v>
      </c>
      <c r="AX21" s="12"/>
      <c r="BC21" s="12"/>
      <c r="BD21" s="10" t="s">
        <v>57</v>
      </c>
      <c r="BE21" s="12"/>
      <c r="BF21" s="3"/>
      <c r="BG21" s="12"/>
      <c r="BH21" s="12"/>
      <c r="BI21" s="3"/>
      <c r="BJ21" s="12"/>
      <c r="BM21" s="1">
        <v>5</v>
      </c>
      <c r="BN21"/>
      <c r="BO21">
        <v>10</v>
      </c>
    </row>
    <row r="22" spans="1:67" s="1" customFormat="1">
      <c r="A22" s="3">
        <v>21</v>
      </c>
      <c r="B22" s="3">
        <v>2022202356</v>
      </c>
      <c r="C22" s="3" t="s">
        <v>189</v>
      </c>
      <c r="D22" s="3" t="s">
        <v>169</v>
      </c>
      <c r="E22" s="15">
        <f>SUM(G22:$XET22)</f>
        <v>42.5</v>
      </c>
      <c r="F22" s="3">
        <f t="shared" si="0"/>
        <v>9</v>
      </c>
      <c r="G22" s="3"/>
      <c r="H22" s="3"/>
      <c r="I22" s="3">
        <v>6</v>
      </c>
      <c r="J22" s="3"/>
      <c r="K22" s="9"/>
      <c r="L22" s="9"/>
      <c r="M22" s="9"/>
      <c r="N22" s="9"/>
      <c r="O22" s="9">
        <v>4</v>
      </c>
      <c r="P22" s="9"/>
      <c r="Q22" s="9">
        <v>8</v>
      </c>
      <c r="R22" s="9"/>
      <c r="S22" s="9"/>
      <c r="T22" s="9"/>
      <c r="U22" s="9"/>
      <c r="V22" s="9">
        <v>4</v>
      </c>
      <c r="W22" s="9"/>
      <c r="X22" s="10" t="s">
        <v>24</v>
      </c>
      <c r="Y22" s="9"/>
      <c r="Z22" s="9">
        <v>0.5</v>
      </c>
      <c r="AA22" s="9"/>
      <c r="AB22" s="9">
        <v>4</v>
      </c>
      <c r="AE22" s="1">
        <v>5</v>
      </c>
      <c r="AG22" s="1">
        <v>7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>
        <v>4</v>
      </c>
      <c r="AR22" s="11"/>
      <c r="AS22" s="11"/>
      <c r="AU22" s="10" t="s">
        <v>51</v>
      </c>
      <c r="AX22" s="12"/>
      <c r="BC22" s="12"/>
      <c r="BD22" s="10" t="s">
        <v>57</v>
      </c>
      <c r="BE22" s="12"/>
      <c r="BF22" s="3"/>
      <c r="BG22" s="12"/>
      <c r="BH22" s="12"/>
      <c r="BI22" s="3"/>
      <c r="BJ22" s="12"/>
    </row>
    <row r="23" spans="1:67" s="1" customFormat="1">
      <c r="A23" s="3">
        <v>22</v>
      </c>
      <c r="B23" s="3">
        <v>2022202357</v>
      </c>
      <c r="C23" s="3" t="s">
        <v>190</v>
      </c>
      <c r="D23" s="3" t="s">
        <v>169</v>
      </c>
      <c r="E23" s="15">
        <f>SUM(G23:$XET23)</f>
        <v>58</v>
      </c>
      <c r="F23" s="3">
        <f t="shared" si="0"/>
        <v>7</v>
      </c>
      <c r="G23" s="3"/>
      <c r="H23" s="3"/>
      <c r="I23" s="3"/>
      <c r="J23" s="3"/>
      <c r="K23" s="9"/>
      <c r="L23" s="9"/>
      <c r="M23" s="9"/>
      <c r="N23" s="9">
        <v>4</v>
      </c>
      <c r="O23" s="9">
        <v>4</v>
      </c>
      <c r="P23" s="9"/>
      <c r="Q23" s="9"/>
      <c r="R23" s="9"/>
      <c r="S23" s="9">
        <v>16</v>
      </c>
      <c r="T23" s="9"/>
      <c r="U23" s="9"/>
      <c r="V23" s="9">
        <v>4</v>
      </c>
      <c r="W23" s="9"/>
      <c r="X23" s="10" t="s">
        <v>24</v>
      </c>
      <c r="Y23" s="9">
        <v>7</v>
      </c>
      <c r="Z23" s="9"/>
      <c r="AA23" s="9">
        <v>20</v>
      </c>
      <c r="AB23" s="9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U23" s="10" t="s">
        <v>51</v>
      </c>
      <c r="AX23" s="12"/>
      <c r="BC23" s="12"/>
      <c r="BD23" s="10" t="s">
        <v>57</v>
      </c>
      <c r="BE23" s="12"/>
      <c r="BF23" s="3"/>
      <c r="BG23" s="12"/>
      <c r="BH23" s="12"/>
      <c r="BI23" s="3"/>
      <c r="BJ23" s="12"/>
      <c r="BN23"/>
      <c r="BO23">
        <v>3</v>
      </c>
    </row>
    <row r="24" spans="1:67" s="1" customFormat="1">
      <c r="A24" s="3">
        <v>23</v>
      </c>
      <c r="B24" s="3">
        <v>2022202358</v>
      </c>
      <c r="C24" s="3" t="s">
        <v>191</v>
      </c>
      <c r="D24" s="3" t="s">
        <v>169</v>
      </c>
      <c r="E24" s="15">
        <f>SUM(G24:$XET24)</f>
        <v>59</v>
      </c>
      <c r="F24" s="3">
        <f t="shared" si="0"/>
        <v>6</v>
      </c>
      <c r="G24" s="3"/>
      <c r="H24" s="3"/>
      <c r="I24" s="3"/>
      <c r="J24" s="3">
        <v>7</v>
      </c>
      <c r="K24" s="9"/>
      <c r="L24" s="9"/>
      <c r="M24" s="9"/>
      <c r="N24" s="9">
        <v>4</v>
      </c>
      <c r="O24" s="9">
        <v>4</v>
      </c>
      <c r="P24" s="9"/>
      <c r="Q24" s="9"/>
      <c r="R24" s="9"/>
      <c r="S24" s="9"/>
      <c r="T24" s="9"/>
      <c r="U24" s="9">
        <v>34</v>
      </c>
      <c r="V24" s="9"/>
      <c r="W24" s="9"/>
      <c r="X24" s="10" t="s">
        <v>24</v>
      </c>
      <c r="Y24" s="9"/>
      <c r="Z24" s="9"/>
      <c r="AA24" s="9"/>
      <c r="AB24" s="9"/>
      <c r="AE24" s="1">
        <v>4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U24" s="10" t="s">
        <v>51</v>
      </c>
      <c r="AX24" s="12"/>
      <c r="BC24" s="12"/>
      <c r="BD24" s="10" t="s">
        <v>57</v>
      </c>
      <c r="BE24" s="12"/>
      <c r="BF24" s="3"/>
      <c r="BG24" s="12"/>
      <c r="BH24" s="12"/>
      <c r="BI24" s="3"/>
      <c r="BJ24" s="12">
        <v>6</v>
      </c>
    </row>
    <row r="25" spans="1:67" s="1" customFormat="1">
      <c r="A25" s="3">
        <v>24</v>
      </c>
      <c r="B25" s="3">
        <v>2022202359</v>
      </c>
      <c r="C25" s="3" t="s">
        <v>192</v>
      </c>
      <c r="D25" s="3" t="s">
        <v>169</v>
      </c>
      <c r="E25" s="15">
        <f>SUM(G25:$XET25)</f>
        <v>52</v>
      </c>
      <c r="F25" s="3">
        <f t="shared" si="0"/>
        <v>7</v>
      </c>
      <c r="G25" s="3"/>
      <c r="H25" s="3">
        <v>6</v>
      </c>
      <c r="I25" s="3"/>
      <c r="J25" s="3"/>
      <c r="K25" s="9"/>
      <c r="L25" s="9"/>
      <c r="M25" s="9"/>
      <c r="N25" s="9">
        <v>4</v>
      </c>
      <c r="O25" s="9"/>
      <c r="P25" s="9">
        <v>4</v>
      </c>
      <c r="Q25" s="9"/>
      <c r="R25" s="9"/>
      <c r="S25" s="9"/>
      <c r="T25" s="9"/>
      <c r="U25" s="9"/>
      <c r="V25" s="9"/>
      <c r="W25" s="9"/>
      <c r="X25" s="10" t="s">
        <v>24</v>
      </c>
      <c r="Y25" s="9"/>
      <c r="Z25" s="9"/>
      <c r="AA25" s="9">
        <v>22</v>
      </c>
      <c r="AB25" s="9"/>
      <c r="AH25" s="11"/>
      <c r="AI25" s="11"/>
      <c r="AJ25" s="11">
        <v>4</v>
      </c>
      <c r="AK25" s="11"/>
      <c r="AL25" s="11"/>
      <c r="AM25" s="11">
        <v>4</v>
      </c>
      <c r="AN25" s="11"/>
      <c r="AO25" s="11"/>
      <c r="AP25" s="11"/>
      <c r="AQ25" s="11"/>
      <c r="AR25" s="11"/>
      <c r="AS25" s="11"/>
      <c r="AU25" s="10" t="s">
        <v>51</v>
      </c>
      <c r="AX25" s="12"/>
      <c r="BC25" s="12"/>
      <c r="BD25" s="10" t="s">
        <v>57</v>
      </c>
      <c r="BE25" s="12"/>
      <c r="BF25" s="3"/>
      <c r="BG25" s="12"/>
      <c r="BH25" s="12"/>
      <c r="BI25" s="3"/>
      <c r="BJ25" s="12"/>
      <c r="BN25"/>
      <c r="BO25">
        <v>8</v>
      </c>
    </row>
    <row r="26" spans="1:67" s="1" customFormat="1">
      <c r="A26" s="3">
        <v>25</v>
      </c>
      <c r="B26" s="3">
        <v>2022202360</v>
      </c>
      <c r="C26" s="3" t="s">
        <v>193</v>
      </c>
      <c r="D26" s="3" t="s">
        <v>169</v>
      </c>
      <c r="E26" s="15">
        <f>SUM(G26:$XET26)</f>
        <v>37.5</v>
      </c>
      <c r="F26" s="3">
        <f t="shared" si="0"/>
        <v>10</v>
      </c>
      <c r="G26" s="3"/>
      <c r="H26" s="3"/>
      <c r="I26" s="3"/>
      <c r="J26" s="3"/>
      <c r="K26" s="9"/>
      <c r="L26" s="9"/>
      <c r="M26" s="9"/>
      <c r="N26" s="9">
        <v>4</v>
      </c>
      <c r="O26" s="9"/>
      <c r="P26" s="9">
        <v>2</v>
      </c>
      <c r="Q26" s="9"/>
      <c r="R26" s="9"/>
      <c r="S26" s="9"/>
      <c r="T26" s="9"/>
      <c r="U26" s="9"/>
      <c r="V26" s="9"/>
      <c r="W26" s="9"/>
      <c r="X26" s="10" t="s">
        <v>24</v>
      </c>
      <c r="Y26" s="9"/>
      <c r="Z26" s="9">
        <v>0.5</v>
      </c>
      <c r="AA26" s="9"/>
      <c r="AB26" s="9"/>
      <c r="AE26" s="1">
        <v>5</v>
      </c>
      <c r="AG26" s="1">
        <v>7</v>
      </c>
      <c r="AH26" s="11">
        <v>4</v>
      </c>
      <c r="AI26" s="11">
        <v>3</v>
      </c>
      <c r="AJ26" s="11">
        <v>4</v>
      </c>
      <c r="AK26" s="11"/>
      <c r="AL26" s="11"/>
      <c r="AM26" s="11"/>
      <c r="AN26" s="11"/>
      <c r="AO26" s="11"/>
      <c r="AP26" s="11"/>
      <c r="AQ26" s="11"/>
      <c r="AR26" s="11"/>
      <c r="AS26" s="11"/>
      <c r="AU26" s="10" t="s">
        <v>51</v>
      </c>
      <c r="AX26" s="12"/>
      <c r="BC26" s="12"/>
      <c r="BD26" s="10" t="s">
        <v>57</v>
      </c>
      <c r="BE26" s="12"/>
      <c r="BF26" s="3"/>
      <c r="BG26" s="12"/>
      <c r="BH26" s="12"/>
      <c r="BI26" s="3"/>
      <c r="BJ26" s="12"/>
      <c r="BN26">
        <v>5</v>
      </c>
      <c r="BO26">
        <v>3</v>
      </c>
    </row>
    <row r="27" spans="1:67" s="1" customFormat="1">
      <c r="A27" s="3">
        <v>26</v>
      </c>
      <c r="B27" s="3">
        <v>2022202361</v>
      </c>
      <c r="C27" s="3" t="s">
        <v>194</v>
      </c>
      <c r="D27" s="3" t="s">
        <v>169</v>
      </c>
      <c r="E27" s="15">
        <f>SUM(G27:$XET27)</f>
        <v>45</v>
      </c>
      <c r="F27" s="3">
        <f t="shared" si="0"/>
        <v>8</v>
      </c>
      <c r="G27" s="3"/>
      <c r="H27" s="3"/>
      <c r="I27" s="3"/>
      <c r="J27" s="3"/>
      <c r="K27" s="9"/>
      <c r="L27" s="9"/>
      <c r="M27" s="9"/>
      <c r="N27" s="9">
        <v>4</v>
      </c>
      <c r="O27" s="9">
        <v>4</v>
      </c>
      <c r="P27" s="9"/>
      <c r="Q27" s="9"/>
      <c r="R27" s="9"/>
      <c r="S27" s="9">
        <v>16</v>
      </c>
      <c r="T27" s="9"/>
      <c r="U27" s="9"/>
      <c r="V27" s="9">
        <v>4</v>
      </c>
      <c r="W27" s="9"/>
      <c r="X27" s="10" t="s">
        <v>24</v>
      </c>
      <c r="Y27" s="9"/>
      <c r="Z27" s="9"/>
      <c r="AA27" s="9"/>
      <c r="AB27" s="9"/>
      <c r="AH27" s="11"/>
      <c r="AI27" s="11">
        <v>3</v>
      </c>
      <c r="AJ27" s="11"/>
      <c r="AK27" s="11"/>
      <c r="AL27" s="11"/>
      <c r="AM27" s="11">
        <v>4</v>
      </c>
      <c r="AN27" s="11"/>
      <c r="AO27" s="11"/>
      <c r="AP27" s="11"/>
      <c r="AQ27" s="11"/>
      <c r="AR27" s="11"/>
      <c r="AS27" s="11"/>
      <c r="AU27" s="10" t="s">
        <v>51</v>
      </c>
      <c r="AX27" s="12"/>
      <c r="BC27" s="12"/>
      <c r="BD27" s="10" t="s">
        <v>57</v>
      </c>
      <c r="BE27" s="12"/>
      <c r="BF27" s="3"/>
      <c r="BG27" s="12"/>
      <c r="BH27" s="12"/>
      <c r="BI27" s="3"/>
      <c r="BJ27" s="12"/>
      <c r="BN27">
        <v>5</v>
      </c>
      <c r="BO27">
        <v>5</v>
      </c>
    </row>
    <row r="28" spans="1:67" s="1" customFormat="1">
      <c r="A28" s="3">
        <v>27</v>
      </c>
      <c r="B28" s="34">
        <v>2020202508</v>
      </c>
      <c r="C28" s="34" t="s">
        <v>195</v>
      </c>
      <c r="D28" s="3" t="s">
        <v>169</v>
      </c>
      <c r="E28" s="15">
        <f>SUM(G28:$XET28)</f>
        <v>29.5</v>
      </c>
      <c r="F28" s="3">
        <f t="shared" si="0"/>
        <v>6</v>
      </c>
      <c r="G28" s="3"/>
      <c r="H28" s="3"/>
      <c r="I28" s="3"/>
      <c r="J28" s="3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 t="s">
        <v>24</v>
      </c>
      <c r="Y28" s="9"/>
      <c r="Z28" s="9"/>
      <c r="AA28" s="9"/>
      <c r="AB28" s="9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U28" s="10"/>
      <c r="AX28" s="12">
        <v>26</v>
      </c>
      <c r="AY28" s="1">
        <v>0</v>
      </c>
      <c r="AZ28" s="1">
        <v>0</v>
      </c>
      <c r="BA28" s="1">
        <v>0</v>
      </c>
      <c r="BB28" s="1">
        <v>0</v>
      </c>
      <c r="BC28" s="12"/>
      <c r="BD28" s="10" t="s">
        <v>57</v>
      </c>
      <c r="BE28" s="12">
        <v>3.5</v>
      </c>
      <c r="BF28" s="3"/>
      <c r="BG28" s="12"/>
      <c r="BH28" s="12"/>
      <c r="BI28" s="3"/>
      <c r="BJ28" s="12"/>
    </row>
    <row r="29" spans="1:67" s="1" customFormat="1">
      <c r="A29" s="3"/>
      <c r="B29" s="3"/>
      <c r="C29" s="3" t="s">
        <v>147</v>
      </c>
      <c r="D29" s="42" t="s">
        <v>196</v>
      </c>
      <c r="E29" s="43"/>
      <c r="F29" s="3">
        <f>COUNT(G29:BE29)</f>
        <v>0</v>
      </c>
      <c r="G29" s="3"/>
      <c r="H29" s="3"/>
      <c r="I29" s="3"/>
      <c r="J29" s="3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 t="s">
        <v>24</v>
      </c>
      <c r="Y29" s="9"/>
      <c r="Z29" s="9"/>
      <c r="AA29" s="9"/>
      <c r="AB29" s="9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U29" s="10" t="s">
        <v>51</v>
      </c>
      <c r="AX29" s="12"/>
      <c r="BC29" s="12"/>
      <c r="BD29" s="10" t="s">
        <v>57</v>
      </c>
      <c r="BE29" s="12"/>
      <c r="BF29" s="3"/>
      <c r="BG29" s="12"/>
      <c r="BH29" s="12"/>
      <c r="BI29" s="3"/>
      <c r="BJ29" s="12"/>
    </row>
    <row r="30" spans="1:67">
      <c r="BC30" s="4"/>
    </row>
    <row r="31" spans="1:67">
      <c r="BC31" s="4"/>
    </row>
    <row r="32" spans="1:67">
      <c r="BC32" s="4"/>
    </row>
    <row r="33" spans="55:55">
      <c r="BC33" s="4"/>
    </row>
    <row r="34" spans="55:55">
      <c r="BC34" s="4"/>
    </row>
    <row r="35" spans="55:55">
      <c r="BC35" s="4"/>
    </row>
    <row r="36" spans="55:55">
      <c r="BC36" s="4"/>
    </row>
    <row r="37" spans="55:55">
      <c r="BC37" s="4"/>
    </row>
    <row r="38" spans="55:55">
      <c r="BC38" s="4"/>
    </row>
    <row r="39" spans="55:55">
      <c r="BC39" s="4"/>
    </row>
    <row r="40" spans="55:55">
      <c r="BC40" s="4"/>
    </row>
    <row r="41" spans="55:55">
      <c r="BC41" s="4"/>
    </row>
    <row r="42" spans="55:55">
      <c r="BC42" s="4"/>
    </row>
    <row r="43" spans="55:55">
      <c r="BC43" s="4"/>
    </row>
    <row r="44" spans="55:55">
      <c r="BC44" s="4"/>
    </row>
    <row r="45" spans="55:55">
      <c r="BC45" s="4"/>
    </row>
    <row r="46" spans="55:55">
      <c r="BC46" s="4"/>
    </row>
    <row r="47" spans="55:55">
      <c r="BC47" s="4"/>
    </row>
    <row r="48" spans="55:55">
      <c r="BC48" s="4"/>
    </row>
    <row r="49" spans="55:55">
      <c r="BC49" s="4"/>
    </row>
    <row r="50" spans="55:55">
      <c r="BC50" s="4"/>
    </row>
    <row r="51" spans="55:55">
      <c r="BC51" s="4"/>
    </row>
    <row r="52" spans="55:55">
      <c r="BC52" s="4"/>
    </row>
    <row r="53" spans="55:55">
      <c r="BC53" s="4"/>
    </row>
  </sheetData>
  <mergeCells count="1">
    <mergeCell ref="D29:E29"/>
  </mergeCells>
  <phoneticPr fontId="1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V25"/>
  <sheetViews>
    <sheetView zoomScale="86" zoomScaleNormal="86" workbookViewId="0">
      <pane xSplit="6" ySplit="1" topLeftCell="BD2" activePane="bottomRight" state="frozen"/>
      <selection pane="topRight"/>
      <selection pane="bottomLeft"/>
      <selection pane="bottomRight" activeCell="BF1" sqref="BF1:BF1048576"/>
    </sheetView>
  </sheetViews>
  <sheetFormatPr baseColWidth="10" defaultColWidth="9.6640625" defaultRowHeight="17"/>
  <cols>
    <col min="1" max="1" width="8" style="4" customWidth="1"/>
    <col min="2" max="2" width="13.83203125" style="4" hidden="1" customWidth="1"/>
    <col min="3" max="3" width="8" style="4" customWidth="1"/>
    <col min="4" max="5" width="7.6640625" style="4" customWidth="1"/>
    <col min="6" max="6" width="9.6640625" style="4" customWidth="1"/>
    <col min="7" max="7" width="24.5" style="4" customWidth="1"/>
    <col min="8" max="8" width="18.1640625" style="4" customWidth="1"/>
    <col min="9" max="9" width="20.5" style="4" customWidth="1"/>
    <col min="10" max="10" width="26.5" style="4" customWidth="1"/>
    <col min="11" max="11" width="17.5" style="4" customWidth="1"/>
    <col min="12" max="12" width="10.5" style="4" customWidth="1"/>
    <col min="13" max="13" width="14.5" style="4" customWidth="1"/>
    <col min="14" max="14" width="12.5" style="4" customWidth="1"/>
    <col min="15" max="15" width="15.5" style="4" customWidth="1"/>
    <col min="16" max="16" width="12.5" style="4" customWidth="1"/>
    <col min="17" max="17" width="19.5" style="4" customWidth="1"/>
    <col min="18" max="18" width="10.5" style="4" customWidth="1"/>
    <col min="19" max="20" width="12.5" style="4" customWidth="1"/>
    <col min="21" max="21" width="10.5" style="4" customWidth="1"/>
    <col min="22" max="22" width="14.5" style="4" customWidth="1"/>
    <col min="23" max="23" width="9.6640625" style="4" customWidth="1"/>
    <col min="24" max="24" width="8.6640625" style="4" customWidth="1"/>
    <col min="25" max="25" width="12.5" style="4" customWidth="1"/>
    <col min="26" max="26" width="16.83203125" style="4" customWidth="1"/>
    <col min="27" max="27" width="10.33203125" style="4" customWidth="1"/>
    <col min="28" max="28" width="11.5" style="4" customWidth="1"/>
    <col min="29" max="29" width="10.5" style="4" customWidth="1"/>
    <col min="30" max="30" width="9.83203125" style="4" customWidth="1"/>
    <col min="31" max="31" width="18.1640625" style="4" customWidth="1"/>
    <col min="32" max="32" width="12.5" style="4" customWidth="1"/>
    <col min="33" max="33" width="9.6640625" style="4" customWidth="1"/>
    <col min="34" max="34" width="12.33203125" style="4" customWidth="1"/>
    <col min="35" max="35" width="9.6640625" style="4" customWidth="1"/>
    <col min="36" max="36" width="14.83203125" style="4" customWidth="1"/>
    <col min="37" max="37" width="15.5" style="4" customWidth="1"/>
    <col min="38" max="38" width="10.5" style="4" customWidth="1"/>
    <col min="39" max="39" width="9.6640625" style="4" customWidth="1"/>
    <col min="40" max="40" width="10.5" style="4" customWidth="1"/>
    <col min="41" max="41" width="9.6640625" style="4" customWidth="1"/>
    <col min="42" max="42" width="9.83203125" style="4" customWidth="1"/>
    <col min="43" max="44" width="9.6640625" style="4" customWidth="1"/>
    <col min="46" max="51" width="9.6640625" style="4" customWidth="1"/>
    <col min="52" max="52" width="26" style="4" customWidth="1"/>
    <col min="53" max="53" width="6" style="4" hidden="1" customWidth="1"/>
    <col min="54" max="54" width="8.6640625" style="4" customWidth="1"/>
    <col min="55" max="55" width="14.1640625" style="4" customWidth="1"/>
    <col min="56" max="56" width="9.6640625" style="4" customWidth="1"/>
    <col min="57" max="57" width="8.6640625" style="4" customWidth="1"/>
    <col min="58" max="58" width="9.6640625" style="5" customWidth="1"/>
    <col min="59" max="59" width="8.6640625" style="4" customWidth="1"/>
    <col min="60" max="16376" width="9.6640625" style="4" customWidth="1"/>
  </cols>
  <sheetData>
    <row r="1" spans="1:61" s="1" customFormat="1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197</v>
      </c>
      <c r="I1" s="35" t="s">
        <v>198</v>
      </c>
      <c r="J1" s="35" t="s">
        <v>7</v>
      </c>
      <c r="K1" s="35" t="s">
        <v>21</v>
      </c>
      <c r="L1" s="35" t="s">
        <v>11</v>
      </c>
      <c r="M1" s="35" t="s">
        <v>12</v>
      </c>
      <c r="N1" s="35" t="s">
        <v>10</v>
      </c>
      <c r="O1" s="35" t="s">
        <v>13</v>
      </c>
      <c r="P1" s="35" t="s">
        <v>14</v>
      </c>
      <c r="Q1" s="35" t="s">
        <v>19</v>
      </c>
      <c r="R1" s="35" t="s">
        <v>20</v>
      </c>
      <c r="S1" s="35" t="s">
        <v>15</v>
      </c>
      <c r="T1" s="35" t="s">
        <v>16</v>
      </c>
      <c r="U1" s="35" t="s">
        <v>199</v>
      </c>
      <c r="V1" s="35" t="s">
        <v>200</v>
      </c>
      <c r="W1" s="12" t="s">
        <v>201</v>
      </c>
      <c r="X1" s="10" t="s">
        <v>24</v>
      </c>
      <c r="Y1" s="35" t="s">
        <v>25</v>
      </c>
      <c r="Z1" s="35" t="s">
        <v>113</v>
      </c>
      <c r="AA1" s="35" t="s">
        <v>28</v>
      </c>
      <c r="AB1" s="35" t="s">
        <v>29</v>
      </c>
      <c r="AC1" s="35" t="s">
        <v>115</v>
      </c>
      <c r="AD1" s="35" t="s">
        <v>116</v>
      </c>
      <c r="AE1" s="35" t="s">
        <v>31</v>
      </c>
      <c r="AF1" s="35" t="s">
        <v>202</v>
      </c>
      <c r="AG1" s="35" t="s">
        <v>33</v>
      </c>
      <c r="AH1" s="35" t="s">
        <v>36</v>
      </c>
      <c r="AI1" s="35" t="s">
        <v>37</v>
      </c>
      <c r="AJ1" s="35" t="s">
        <v>203</v>
      </c>
      <c r="AK1" s="11" t="s">
        <v>119</v>
      </c>
      <c r="AL1" s="11" t="s">
        <v>159</v>
      </c>
      <c r="AM1" s="11" t="s">
        <v>121</v>
      </c>
      <c r="AN1" s="11" t="s">
        <v>39</v>
      </c>
      <c r="AO1" s="11" t="s">
        <v>40</v>
      </c>
      <c r="AP1" s="11" t="s">
        <v>41</v>
      </c>
      <c r="AQ1" s="9" t="s">
        <v>42</v>
      </c>
      <c r="AR1" s="9" t="s">
        <v>43</v>
      </c>
      <c r="AT1" s="1" t="s">
        <v>44</v>
      </c>
      <c r="AU1" s="11" t="s">
        <v>47</v>
      </c>
      <c r="AV1" s="11" t="s">
        <v>160</v>
      </c>
      <c r="AW1" s="11" t="s">
        <v>46</v>
      </c>
      <c r="AX1" s="11" t="s">
        <v>45</v>
      </c>
      <c r="AY1" s="11" t="s">
        <v>204</v>
      </c>
      <c r="AZ1" s="35" t="s">
        <v>49</v>
      </c>
      <c r="BB1" s="10" t="s">
        <v>51</v>
      </c>
      <c r="BC1" s="15" t="s">
        <v>53</v>
      </c>
      <c r="BD1" s="15" t="s">
        <v>54</v>
      </c>
      <c r="BE1" s="10" t="s">
        <v>57</v>
      </c>
      <c r="BF1" s="12" t="s">
        <v>61</v>
      </c>
      <c r="BG1" s="3" t="s">
        <v>62</v>
      </c>
      <c r="BH1" s="12" t="s">
        <v>165</v>
      </c>
      <c r="BI1" s="12" t="s">
        <v>64</v>
      </c>
    </row>
    <row r="2" spans="1:61" s="1" customFormat="1">
      <c r="A2" s="35">
        <v>1</v>
      </c>
      <c r="B2" s="35">
        <v>2022202286</v>
      </c>
      <c r="C2" s="35" t="s">
        <v>205</v>
      </c>
      <c r="D2" s="35" t="s">
        <v>206</v>
      </c>
      <c r="E2" s="15">
        <f>SUM(G2:$XEO2)</f>
        <v>78</v>
      </c>
      <c r="F2" s="3">
        <f t="shared" ref="F2:F25" si="0">COUNT(G2:EE2)</f>
        <v>6</v>
      </c>
      <c r="G2" s="35"/>
      <c r="H2" s="35"/>
      <c r="I2" s="35"/>
      <c r="J2" s="35">
        <v>4</v>
      </c>
      <c r="K2" s="35"/>
      <c r="L2" s="35"/>
      <c r="M2" s="35"/>
      <c r="N2" s="35"/>
      <c r="O2" s="35"/>
      <c r="P2" s="35"/>
      <c r="Q2" s="35">
        <v>16</v>
      </c>
      <c r="R2" s="35">
        <v>34</v>
      </c>
      <c r="S2" s="35">
        <v>4</v>
      </c>
      <c r="T2" s="35">
        <v>4</v>
      </c>
      <c r="U2" s="35"/>
      <c r="V2" s="35"/>
      <c r="W2" s="12"/>
      <c r="X2" s="10" t="s">
        <v>24</v>
      </c>
      <c r="Y2" s="35"/>
      <c r="Z2" s="35"/>
      <c r="AA2" s="35"/>
      <c r="AB2" s="35"/>
      <c r="AC2" s="35"/>
      <c r="AD2" s="35"/>
      <c r="AE2" s="35">
        <v>16</v>
      </c>
      <c r="AF2" s="35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T2" s="11"/>
      <c r="AU2" s="11"/>
      <c r="AV2" s="11"/>
      <c r="AW2" s="11"/>
      <c r="AX2" s="11"/>
      <c r="AY2" s="11"/>
      <c r="AZ2" s="35"/>
      <c r="BB2" s="10" t="s">
        <v>51</v>
      </c>
      <c r="BC2" s="12"/>
      <c r="BD2" s="12"/>
      <c r="BE2" s="10" t="s">
        <v>57</v>
      </c>
      <c r="BF2" s="12"/>
      <c r="BG2" s="3"/>
      <c r="BH2" s="12"/>
      <c r="BI2" s="12"/>
    </row>
    <row r="3" spans="1:61" s="1" customFormat="1">
      <c r="A3" s="35">
        <v>2</v>
      </c>
      <c r="B3" s="35">
        <v>2022202287</v>
      </c>
      <c r="C3" s="35" t="s">
        <v>207</v>
      </c>
      <c r="D3" s="35" t="s">
        <v>206</v>
      </c>
      <c r="E3" s="15">
        <f>SUM(G3:$XEO3)</f>
        <v>4</v>
      </c>
      <c r="F3" s="3">
        <f t="shared" si="0"/>
        <v>1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>
        <v>4</v>
      </c>
      <c r="T3" s="35"/>
      <c r="U3" s="35"/>
      <c r="V3" s="35"/>
      <c r="W3" s="12"/>
      <c r="X3" s="10" t="s">
        <v>24</v>
      </c>
      <c r="Y3" s="35"/>
      <c r="Z3" s="35"/>
      <c r="AA3" s="35"/>
      <c r="AB3" s="35"/>
      <c r="AC3" s="35"/>
      <c r="AD3" s="35"/>
      <c r="AE3" s="35"/>
      <c r="AF3" s="35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T3" s="11"/>
      <c r="AU3" s="11"/>
      <c r="AV3" s="11"/>
      <c r="AW3" s="11"/>
      <c r="AX3" s="11"/>
      <c r="AY3" s="11"/>
      <c r="AZ3" s="35"/>
      <c r="BB3" s="10" t="s">
        <v>51</v>
      </c>
      <c r="BC3" s="12"/>
      <c r="BD3" s="12"/>
      <c r="BE3" s="10" t="s">
        <v>57</v>
      </c>
      <c r="BF3" s="12"/>
      <c r="BG3" s="3"/>
      <c r="BH3" s="12"/>
      <c r="BI3" s="12"/>
    </row>
    <row r="4" spans="1:61" s="1" customFormat="1" ht="18" customHeight="1">
      <c r="A4" s="35">
        <v>3</v>
      </c>
      <c r="B4" s="35">
        <v>2022202288</v>
      </c>
      <c r="C4" s="35" t="s">
        <v>208</v>
      </c>
      <c r="D4" s="35" t="s">
        <v>206</v>
      </c>
      <c r="E4" s="15">
        <f>SUM(G4:$XEO4)</f>
        <v>182.5</v>
      </c>
      <c r="F4" s="3">
        <f t="shared" si="0"/>
        <v>11</v>
      </c>
      <c r="G4" s="35"/>
      <c r="H4" s="35"/>
      <c r="I4" s="35"/>
      <c r="J4" s="35"/>
      <c r="K4" s="35"/>
      <c r="L4" s="35">
        <v>6</v>
      </c>
      <c r="M4" s="35"/>
      <c r="N4" s="35"/>
      <c r="O4" s="35">
        <v>1</v>
      </c>
      <c r="P4" s="35">
        <v>108</v>
      </c>
      <c r="Q4" s="35"/>
      <c r="R4" s="35"/>
      <c r="S4" s="35">
        <v>4</v>
      </c>
      <c r="T4" s="35">
        <v>4</v>
      </c>
      <c r="U4" s="35"/>
      <c r="V4" s="35"/>
      <c r="W4" s="12"/>
      <c r="X4" s="10" t="s">
        <v>24</v>
      </c>
      <c r="Y4" s="35" t="s">
        <v>209</v>
      </c>
      <c r="Z4" s="35">
        <v>0.5</v>
      </c>
      <c r="AA4" s="35">
        <v>26</v>
      </c>
      <c r="AB4" s="35">
        <v>24</v>
      </c>
      <c r="AC4" s="35">
        <v>2</v>
      </c>
      <c r="AD4" s="35"/>
      <c r="AE4" s="35"/>
      <c r="AF4" s="35"/>
      <c r="AG4" s="11"/>
      <c r="AH4" s="11"/>
      <c r="AI4" s="11"/>
      <c r="AJ4" s="11"/>
      <c r="AK4" s="11"/>
      <c r="AL4" s="11"/>
      <c r="AM4" s="11"/>
      <c r="AN4" s="11"/>
      <c r="AO4" s="11">
        <v>3</v>
      </c>
      <c r="AP4" s="11"/>
      <c r="AQ4" s="11"/>
      <c r="AR4" s="11"/>
      <c r="AT4" s="11"/>
      <c r="AU4" s="11"/>
      <c r="AV4" s="11"/>
      <c r="AW4" s="11"/>
      <c r="AX4" s="11"/>
      <c r="AY4" s="11"/>
      <c r="AZ4" s="35"/>
      <c r="BB4" s="10" t="s">
        <v>51</v>
      </c>
      <c r="BC4" s="12">
        <v>4</v>
      </c>
      <c r="BD4" s="12"/>
      <c r="BE4" s="10" t="s">
        <v>57</v>
      </c>
      <c r="BF4" s="12"/>
      <c r="BG4" s="3"/>
      <c r="BH4" s="12"/>
      <c r="BI4" s="12"/>
    </row>
    <row r="5" spans="1:61" s="1" customFormat="1">
      <c r="A5" s="35">
        <v>4</v>
      </c>
      <c r="B5" s="35">
        <v>2022202289</v>
      </c>
      <c r="C5" s="35" t="s">
        <v>210</v>
      </c>
      <c r="D5" s="35" t="s">
        <v>206</v>
      </c>
      <c r="E5" s="15">
        <f>SUM(G5:$XEO5)</f>
        <v>21</v>
      </c>
      <c r="F5" s="3">
        <f t="shared" si="0"/>
        <v>4</v>
      </c>
      <c r="G5" s="35">
        <v>6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12"/>
      <c r="X5" s="10" t="s">
        <v>24</v>
      </c>
      <c r="Y5" s="35"/>
      <c r="Z5" s="35"/>
      <c r="AA5" s="35"/>
      <c r="AB5" s="35"/>
      <c r="AC5" s="35"/>
      <c r="AD5" s="35"/>
      <c r="AE5" s="35"/>
      <c r="AF5" s="35"/>
      <c r="AG5" s="11"/>
      <c r="AH5" s="11"/>
      <c r="AI5" s="11"/>
      <c r="AJ5" s="11"/>
      <c r="AK5" s="11"/>
      <c r="AL5" s="11"/>
      <c r="AM5" s="11"/>
      <c r="AN5" s="11"/>
      <c r="AO5" s="11"/>
      <c r="AP5" s="11">
        <v>4</v>
      </c>
      <c r="AQ5" s="11"/>
      <c r="AR5" s="11"/>
      <c r="AT5" s="11"/>
      <c r="AU5" s="11"/>
      <c r="AV5" s="11"/>
      <c r="AW5" s="11"/>
      <c r="AX5" s="11"/>
      <c r="AY5" s="11"/>
      <c r="AZ5" s="35">
        <v>6</v>
      </c>
      <c r="BB5" s="10" t="s">
        <v>51</v>
      </c>
      <c r="BC5" s="12"/>
      <c r="BD5" s="12"/>
      <c r="BE5" s="10" t="s">
        <v>57</v>
      </c>
      <c r="BF5" s="12"/>
      <c r="BG5" s="3"/>
      <c r="BH5" s="12"/>
      <c r="BI5" s="12">
        <v>5</v>
      </c>
    </row>
    <row r="6" spans="1:61" s="1" customFormat="1">
      <c r="A6" s="35">
        <v>5</v>
      </c>
      <c r="B6" s="35">
        <v>2022202290</v>
      </c>
      <c r="C6" s="35" t="s">
        <v>211</v>
      </c>
      <c r="D6" s="35" t="s">
        <v>206</v>
      </c>
      <c r="E6" s="15">
        <f>SUM(G6:$XEO6)</f>
        <v>116</v>
      </c>
      <c r="F6" s="3">
        <f t="shared" si="0"/>
        <v>5</v>
      </c>
      <c r="G6" s="35"/>
      <c r="H6" s="35"/>
      <c r="I6" s="35"/>
      <c r="J6" s="35">
        <v>2</v>
      </c>
      <c r="K6" s="35"/>
      <c r="L6" s="35"/>
      <c r="M6" s="35"/>
      <c r="N6" s="35"/>
      <c r="O6" s="35"/>
      <c r="P6" s="35">
        <v>92</v>
      </c>
      <c r="Q6" s="35">
        <v>16</v>
      </c>
      <c r="R6" s="35"/>
      <c r="S6" s="35">
        <v>4</v>
      </c>
      <c r="T6" s="35"/>
      <c r="U6" s="35"/>
      <c r="V6" s="35"/>
      <c r="W6" s="12"/>
      <c r="X6" s="10" t="s">
        <v>24</v>
      </c>
      <c r="Y6" s="35"/>
      <c r="Z6" s="35"/>
      <c r="AA6" s="35"/>
      <c r="AB6" s="35"/>
      <c r="AC6" s="35"/>
      <c r="AD6" s="35"/>
      <c r="AE6" s="35"/>
      <c r="AF6" s="35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T6" s="11"/>
      <c r="AU6" s="11"/>
      <c r="AV6" s="11"/>
      <c r="AW6" s="11"/>
      <c r="AX6" s="11">
        <v>2</v>
      </c>
      <c r="AY6" s="11"/>
      <c r="AZ6" s="35"/>
      <c r="BB6" s="10" t="s">
        <v>51</v>
      </c>
      <c r="BC6" s="12"/>
      <c r="BD6" s="12"/>
      <c r="BE6" s="10" t="s">
        <v>57</v>
      </c>
      <c r="BF6" s="12"/>
      <c r="BG6" s="3"/>
      <c r="BH6" s="12"/>
      <c r="BI6" s="12"/>
    </row>
    <row r="7" spans="1:61" s="1" customFormat="1">
      <c r="A7" s="35">
        <v>6</v>
      </c>
      <c r="B7" s="35">
        <v>2022202291</v>
      </c>
      <c r="C7" s="35" t="s">
        <v>212</v>
      </c>
      <c r="D7" s="35" t="s">
        <v>206</v>
      </c>
      <c r="E7" s="15">
        <f>SUM(G7:$XEO7)</f>
        <v>13.5</v>
      </c>
      <c r="F7" s="3">
        <f t="shared" si="0"/>
        <v>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>
        <v>4</v>
      </c>
      <c r="T7" s="35">
        <v>4</v>
      </c>
      <c r="U7" s="35"/>
      <c r="V7" s="35"/>
      <c r="W7" s="12"/>
      <c r="X7" s="10" t="s">
        <v>24</v>
      </c>
      <c r="Y7" s="35"/>
      <c r="Z7" s="35">
        <v>0.5</v>
      </c>
      <c r="AA7" s="35"/>
      <c r="AB7" s="35"/>
      <c r="AC7" s="35">
        <v>2</v>
      </c>
      <c r="AD7" s="35"/>
      <c r="AE7" s="35"/>
      <c r="AF7" s="35"/>
      <c r="AG7" s="11"/>
      <c r="AH7" s="11"/>
      <c r="AI7" s="11"/>
      <c r="AJ7" s="11"/>
      <c r="AK7" s="11"/>
      <c r="AL7" s="11"/>
      <c r="AM7" s="11"/>
      <c r="AN7" s="11"/>
      <c r="AO7" s="11">
        <v>3</v>
      </c>
      <c r="AP7" s="11"/>
      <c r="AQ7" s="11"/>
      <c r="AR7" s="11"/>
      <c r="AT7" s="11"/>
      <c r="AU7" s="11"/>
      <c r="AV7" s="11"/>
      <c r="AW7" s="11"/>
      <c r="AX7" s="11"/>
      <c r="AY7" s="11"/>
      <c r="AZ7" s="35"/>
      <c r="BB7" s="10" t="s">
        <v>51</v>
      </c>
      <c r="BC7" s="12"/>
      <c r="BD7" s="12"/>
      <c r="BE7" s="10" t="s">
        <v>57</v>
      </c>
      <c r="BF7" s="12"/>
      <c r="BG7" s="3"/>
      <c r="BH7" s="12"/>
      <c r="BI7" s="12"/>
    </row>
    <row r="8" spans="1:61" s="1" customFormat="1">
      <c r="A8" s="35">
        <v>7</v>
      </c>
      <c r="B8" s="35">
        <v>2022202292</v>
      </c>
      <c r="C8" s="35" t="s">
        <v>213</v>
      </c>
      <c r="D8" s="35" t="s">
        <v>206</v>
      </c>
      <c r="E8" s="15">
        <f>SUM(G8:$XEO8)</f>
        <v>72.5</v>
      </c>
      <c r="F8" s="3">
        <f t="shared" si="0"/>
        <v>13</v>
      </c>
      <c r="G8" s="35"/>
      <c r="H8" s="35"/>
      <c r="I8" s="35">
        <v>6</v>
      </c>
      <c r="J8" s="35"/>
      <c r="K8" s="35"/>
      <c r="L8" s="35">
        <v>5</v>
      </c>
      <c r="M8" s="35"/>
      <c r="N8" s="35">
        <v>5</v>
      </c>
      <c r="O8" s="35"/>
      <c r="P8" s="35"/>
      <c r="Q8" s="35">
        <v>16</v>
      </c>
      <c r="R8" s="35">
        <v>3</v>
      </c>
      <c r="S8" s="35">
        <v>4</v>
      </c>
      <c r="T8" s="35">
        <v>4</v>
      </c>
      <c r="U8" s="35">
        <v>2</v>
      </c>
      <c r="V8" s="35"/>
      <c r="W8" s="12"/>
      <c r="X8" s="10" t="s">
        <v>24</v>
      </c>
      <c r="Y8" s="35"/>
      <c r="Z8" s="35">
        <v>0.5</v>
      </c>
      <c r="AA8" s="35"/>
      <c r="AB8" s="35"/>
      <c r="AC8" s="35">
        <v>1</v>
      </c>
      <c r="AD8" s="35"/>
      <c r="AE8" s="35">
        <v>16</v>
      </c>
      <c r="AF8" s="35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T8" s="11"/>
      <c r="AU8" s="11"/>
      <c r="AV8" s="11"/>
      <c r="AW8" s="11"/>
      <c r="AX8" s="11">
        <v>4</v>
      </c>
      <c r="AY8" s="11"/>
      <c r="AZ8" s="35"/>
      <c r="BB8" s="10" t="s">
        <v>51</v>
      </c>
      <c r="BC8" s="12"/>
      <c r="BD8" s="12">
        <v>6</v>
      </c>
      <c r="BE8" s="10" t="s">
        <v>57</v>
      </c>
      <c r="BF8" s="12"/>
      <c r="BG8" s="3"/>
      <c r="BH8" s="12"/>
      <c r="BI8" s="12"/>
    </row>
    <row r="9" spans="1:61" s="1" customFormat="1" ht="14.75" customHeight="1">
      <c r="A9" s="35">
        <v>8</v>
      </c>
      <c r="B9" s="35">
        <v>2022202293</v>
      </c>
      <c r="C9" s="35" t="s">
        <v>214</v>
      </c>
      <c r="D9" s="35" t="s">
        <v>206</v>
      </c>
      <c r="E9" s="15">
        <f>SUM(G9:$XEO9)</f>
        <v>154</v>
      </c>
      <c r="F9" s="3">
        <f t="shared" si="0"/>
        <v>11</v>
      </c>
      <c r="G9" s="35"/>
      <c r="H9" s="35"/>
      <c r="I9" s="35"/>
      <c r="J9" s="35"/>
      <c r="K9" s="35">
        <v>4</v>
      </c>
      <c r="L9" s="35"/>
      <c r="M9" s="35"/>
      <c r="N9" s="35"/>
      <c r="O9" s="35"/>
      <c r="P9" s="35"/>
      <c r="Q9" s="35">
        <v>16</v>
      </c>
      <c r="R9" s="35">
        <v>6</v>
      </c>
      <c r="S9" s="35">
        <v>4</v>
      </c>
      <c r="T9" s="35">
        <v>4</v>
      </c>
      <c r="U9" s="35">
        <v>2</v>
      </c>
      <c r="V9" s="35"/>
      <c r="W9" s="12"/>
      <c r="X9" s="10" t="s">
        <v>24</v>
      </c>
      <c r="Y9" s="35"/>
      <c r="Z9" s="35"/>
      <c r="AA9" s="35">
        <v>26</v>
      </c>
      <c r="AB9" s="35"/>
      <c r="AC9" s="35"/>
      <c r="AD9" s="35"/>
      <c r="AE9" s="35"/>
      <c r="AF9" s="35"/>
      <c r="AG9" s="11"/>
      <c r="AH9" s="11"/>
      <c r="AI9" s="11"/>
      <c r="AJ9" s="11"/>
      <c r="AK9" s="11"/>
      <c r="AL9" s="11"/>
      <c r="AM9" s="11"/>
      <c r="AN9" s="11">
        <v>84</v>
      </c>
      <c r="AO9" s="11"/>
      <c r="AP9" s="11"/>
      <c r="AQ9" s="11"/>
      <c r="AR9" s="11"/>
      <c r="AT9" s="11"/>
      <c r="AU9" s="11"/>
      <c r="AV9" s="11"/>
      <c r="AW9" s="11"/>
      <c r="AX9" s="11">
        <v>2</v>
      </c>
      <c r="AY9" s="11"/>
      <c r="AZ9" s="35"/>
      <c r="BB9" s="10" t="s">
        <v>51</v>
      </c>
      <c r="BC9" s="12">
        <v>4</v>
      </c>
      <c r="BD9" s="12">
        <v>2</v>
      </c>
      <c r="BE9" s="10" t="s">
        <v>57</v>
      </c>
      <c r="BF9" s="12"/>
      <c r="BG9" s="3"/>
      <c r="BH9" s="12"/>
      <c r="BI9" s="12"/>
    </row>
    <row r="10" spans="1:61" s="1" customFormat="1" ht="16.25" customHeight="1">
      <c r="A10" s="35">
        <v>9</v>
      </c>
      <c r="B10" s="35">
        <v>2022202294</v>
      </c>
      <c r="C10" s="35" t="s">
        <v>215</v>
      </c>
      <c r="D10" s="35" t="s">
        <v>206</v>
      </c>
      <c r="E10" s="15">
        <f>SUM(G10:$XEO10)</f>
        <v>152</v>
      </c>
      <c r="F10" s="3">
        <f t="shared" si="0"/>
        <v>9</v>
      </c>
      <c r="G10" s="35">
        <v>21</v>
      </c>
      <c r="H10" s="35"/>
      <c r="I10" s="35"/>
      <c r="J10" s="35"/>
      <c r="K10" s="35"/>
      <c r="L10" s="35"/>
      <c r="M10" s="35"/>
      <c r="N10" s="35"/>
      <c r="O10" s="35"/>
      <c r="P10" s="35"/>
      <c r="Q10" s="35">
        <v>16</v>
      </c>
      <c r="R10" s="35"/>
      <c r="S10" s="35">
        <v>4</v>
      </c>
      <c r="T10" s="35"/>
      <c r="U10" s="35">
        <v>2</v>
      </c>
      <c r="V10" s="35"/>
      <c r="W10" s="12"/>
      <c r="X10" s="10" t="s">
        <v>24</v>
      </c>
      <c r="Y10" s="35"/>
      <c r="Z10" s="35"/>
      <c r="AA10" s="35"/>
      <c r="AB10" s="35"/>
      <c r="AC10" s="35"/>
      <c r="AD10" s="35">
        <v>14</v>
      </c>
      <c r="AE10" s="35"/>
      <c r="AF10" s="35"/>
      <c r="AG10" s="11"/>
      <c r="AH10" s="11">
        <v>7</v>
      </c>
      <c r="AI10" s="11"/>
      <c r="AJ10" s="11"/>
      <c r="AK10" s="11"/>
      <c r="AL10" s="11"/>
      <c r="AM10" s="11"/>
      <c r="AN10" s="11">
        <v>84</v>
      </c>
      <c r="AO10" s="11"/>
      <c r="AP10" s="11"/>
      <c r="AQ10" s="11"/>
      <c r="AR10" s="11"/>
      <c r="AT10" s="11"/>
      <c r="AU10" s="11"/>
      <c r="AV10" s="11"/>
      <c r="AW10" s="11"/>
      <c r="AX10" s="11">
        <v>2</v>
      </c>
      <c r="AY10" s="11"/>
      <c r="AZ10" s="35"/>
      <c r="BB10" s="10" t="s">
        <v>51</v>
      </c>
      <c r="BC10" s="12"/>
      <c r="BD10" s="12">
        <v>2</v>
      </c>
      <c r="BE10" s="10" t="s">
        <v>57</v>
      </c>
      <c r="BF10" s="12"/>
      <c r="BG10" s="3"/>
      <c r="BH10" s="12"/>
      <c r="BI10" s="12"/>
    </row>
    <row r="11" spans="1:61" s="1" customFormat="1">
      <c r="A11" s="35">
        <v>10</v>
      </c>
      <c r="B11" s="35">
        <v>2022202295</v>
      </c>
      <c r="C11" s="35" t="s">
        <v>216</v>
      </c>
      <c r="D11" s="35" t="s">
        <v>206</v>
      </c>
      <c r="E11" s="15">
        <f>SUM(G11:$XEO11)</f>
        <v>62</v>
      </c>
      <c r="F11" s="3">
        <f t="shared" si="0"/>
        <v>13</v>
      </c>
      <c r="G11" s="35">
        <v>4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>
        <v>14</v>
      </c>
      <c r="S11" s="35">
        <v>4</v>
      </c>
      <c r="T11" s="35">
        <v>4</v>
      </c>
      <c r="U11" s="35">
        <v>2</v>
      </c>
      <c r="V11" s="35"/>
      <c r="W11" s="12"/>
      <c r="X11" s="10" t="s">
        <v>24</v>
      </c>
      <c r="Y11" s="35"/>
      <c r="Z11" s="35"/>
      <c r="AA11" s="35"/>
      <c r="AB11" s="35"/>
      <c r="AC11" s="35"/>
      <c r="AD11" s="35"/>
      <c r="AE11" s="35"/>
      <c r="AF11" s="35"/>
      <c r="AG11" s="11"/>
      <c r="AH11" s="11"/>
      <c r="AI11" s="11">
        <v>10</v>
      </c>
      <c r="AJ11" s="11"/>
      <c r="AK11" s="11">
        <v>5</v>
      </c>
      <c r="AL11" s="11"/>
      <c r="AM11" s="11"/>
      <c r="AN11" s="11"/>
      <c r="AO11" s="11">
        <v>4</v>
      </c>
      <c r="AP11" s="11"/>
      <c r="AQ11" s="11"/>
      <c r="AR11" s="11"/>
      <c r="AT11" s="11"/>
      <c r="AU11" s="11"/>
      <c r="AV11" s="11"/>
      <c r="AW11" s="11"/>
      <c r="AX11" s="11">
        <v>2</v>
      </c>
      <c r="AY11" s="11">
        <v>3</v>
      </c>
      <c r="AZ11" s="35">
        <v>4</v>
      </c>
      <c r="BB11" s="10" t="s">
        <v>51</v>
      </c>
      <c r="BC11" s="12">
        <v>4</v>
      </c>
      <c r="BD11" s="12">
        <v>2</v>
      </c>
      <c r="BE11" s="10" t="s">
        <v>57</v>
      </c>
      <c r="BF11" s="12"/>
      <c r="BG11" s="3"/>
      <c r="BH11" s="12"/>
      <c r="BI11" s="12"/>
    </row>
    <row r="12" spans="1:61" s="1" customFormat="1">
      <c r="A12" s="35">
        <v>11</v>
      </c>
      <c r="B12" s="35">
        <v>2022202296</v>
      </c>
      <c r="C12" s="35" t="s">
        <v>217</v>
      </c>
      <c r="D12" s="35" t="s">
        <v>206</v>
      </c>
      <c r="E12" s="15">
        <f>SUM(G12:$XEO12)</f>
        <v>0</v>
      </c>
      <c r="F12" s="3">
        <f t="shared" si="0"/>
        <v>0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12"/>
      <c r="X12" s="10" t="s">
        <v>24</v>
      </c>
      <c r="Y12" s="35"/>
      <c r="Z12" s="35"/>
      <c r="AA12" s="35"/>
      <c r="AB12" s="35"/>
      <c r="AC12" s="35"/>
      <c r="AD12" s="35"/>
      <c r="AE12" s="35"/>
      <c r="AF12" s="35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T12" s="11"/>
      <c r="AU12" s="11"/>
      <c r="AV12" s="11"/>
      <c r="AW12" s="11"/>
      <c r="AX12" s="11"/>
      <c r="AY12" s="11"/>
      <c r="AZ12" s="35"/>
      <c r="BB12" s="10" t="s">
        <v>51</v>
      </c>
      <c r="BC12" s="12"/>
      <c r="BD12" s="12"/>
      <c r="BE12" s="10" t="s">
        <v>57</v>
      </c>
      <c r="BF12" s="12"/>
      <c r="BG12" s="3"/>
      <c r="BH12" s="12"/>
      <c r="BI12" s="12"/>
    </row>
    <row r="13" spans="1:61" s="1" customFormat="1">
      <c r="A13" s="35">
        <v>12</v>
      </c>
      <c r="B13" s="35">
        <v>2022202297</v>
      </c>
      <c r="C13" s="35" t="s">
        <v>218</v>
      </c>
      <c r="D13" s="35" t="s">
        <v>206</v>
      </c>
      <c r="E13" s="15">
        <f>SUM(G13:$XEO13)</f>
        <v>44</v>
      </c>
      <c r="F13" s="3">
        <f t="shared" si="0"/>
        <v>10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>
        <v>16</v>
      </c>
      <c r="R13" s="35"/>
      <c r="S13" s="35">
        <v>4</v>
      </c>
      <c r="T13" s="35">
        <v>4</v>
      </c>
      <c r="U13" s="35">
        <v>2</v>
      </c>
      <c r="V13" s="35"/>
      <c r="W13" s="12"/>
      <c r="X13" s="10" t="s">
        <v>24</v>
      </c>
      <c r="Y13" s="35"/>
      <c r="Z13" s="35"/>
      <c r="AA13" s="35"/>
      <c r="AB13" s="35"/>
      <c r="AC13" s="35"/>
      <c r="AD13" s="35"/>
      <c r="AE13" s="35"/>
      <c r="AF13" s="35"/>
      <c r="AG13" s="11"/>
      <c r="AH13" s="11"/>
      <c r="AI13" s="11"/>
      <c r="AJ13" s="11"/>
      <c r="AK13" s="11"/>
      <c r="AL13" s="11"/>
      <c r="AM13" s="11">
        <v>4</v>
      </c>
      <c r="AN13" s="11"/>
      <c r="AO13" s="11"/>
      <c r="AP13" s="11"/>
      <c r="AQ13" s="11"/>
      <c r="AR13" s="11"/>
      <c r="AT13" s="11"/>
      <c r="AU13" s="11">
        <v>1</v>
      </c>
      <c r="AV13" s="11"/>
      <c r="AW13" s="11">
        <v>4</v>
      </c>
      <c r="AX13" s="11">
        <v>2</v>
      </c>
      <c r="AY13" s="11"/>
      <c r="AZ13" s="35"/>
      <c r="BB13" s="10" t="s">
        <v>51</v>
      </c>
      <c r="BC13" s="12"/>
      <c r="BD13" s="12">
        <v>2</v>
      </c>
      <c r="BE13" s="10" t="s">
        <v>57</v>
      </c>
      <c r="BF13" s="12"/>
      <c r="BG13" s="3"/>
      <c r="BH13" s="12"/>
      <c r="BI13" s="12">
        <v>5</v>
      </c>
    </row>
    <row r="14" spans="1:61" s="1" customFormat="1">
      <c r="A14" s="35">
        <v>13</v>
      </c>
      <c r="B14" s="35">
        <v>2022202298</v>
      </c>
      <c r="C14" s="35" t="s">
        <v>219</v>
      </c>
      <c r="D14" s="35" t="s">
        <v>206</v>
      </c>
      <c r="E14" s="15">
        <f>SUM(G14:$XEO14)</f>
        <v>138</v>
      </c>
      <c r="F14" s="3">
        <f t="shared" si="0"/>
        <v>10</v>
      </c>
      <c r="G14" s="35">
        <v>2</v>
      </c>
      <c r="H14" s="35"/>
      <c r="I14" s="35"/>
      <c r="J14" s="35">
        <v>4</v>
      </c>
      <c r="K14" s="35"/>
      <c r="L14" s="35"/>
      <c r="M14" s="35"/>
      <c r="N14" s="35"/>
      <c r="O14" s="35"/>
      <c r="P14" s="35"/>
      <c r="Q14" s="35">
        <v>8</v>
      </c>
      <c r="R14" s="35"/>
      <c r="S14" s="35">
        <v>4</v>
      </c>
      <c r="T14" s="35">
        <v>4</v>
      </c>
      <c r="U14" s="35">
        <v>2</v>
      </c>
      <c r="V14" s="35"/>
      <c r="W14" s="12"/>
      <c r="X14" s="10" t="s">
        <v>24</v>
      </c>
      <c r="Y14" s="35"/>
      <c r="Z14" s="35"/>
      <c r="AA14" s="35">
        <v>26</v>
      </c>
      <c r="AB14" s="35"/>
      <c r="AC14" s="35"/>
      <c r="AD14" s="35"/>
      <c r="AE14" s="35"/>
      <c r="AF14" s="35"/>
      <c r="AG14" s="11"/>
      <c r="AH14" s="11"/>
      <c r="AI14" s="11"/>
      <c r="AJ14" s="11"/>
      <c r="AK14" s="11"/>
      <c r="AL14" s="11"/>
      <c r="AM14" s="11"/>
      <c r="AN14" s="11">
        <v>84</v>
      </c>
      <c r="AO14" s="11"/>
      <c r="AP14" s="11"/>
      <c r="AQ14" s="11"/>
      <c r="AR14" s="11"/>
      <c r="AT14" s="11"/>
      <c r="AU14" s="11"/>
      <c r="AV14" s="11"/>
      <c r="AW14" s="11"/>
      <c r="AX14" s="11">
        <v>2</v>
      </c>
      <c r="AY14" s="11"/>
      <c r="AZ14" s="35"/>
      <c r="BB14" s="10" t="s">
        <v>51</v>
      </c>
      <c r="BC14" s="12"/>
      <c r="BD14" s="12">
        <v>2</v>
      </c>
      <c r="BE14" s="10" t="s">
        <v>57</v>
      </c>
      <c r="BF14" s="12"/>
      <c r="BG14" s="3"/>
      <c r="BH14" s="12"/>
      <c r="BI14" s="12"/>
    </row>
    <row r="15" spans="1:61" s="1" customFormat="1">
      <c r="A15" s="35">
        <v>14</v>
      </c>
      <c r="B15" s="35">
        <v>2022202299</v>
      </c>
      <c r="C15" s="35" t="s">
        <v>220</v>
      </c>
      <c r="D15" s="35" t="s">
        <v>206</v>
      </c>
      <c r="E15" s="15">
        <f>SUM(G15:$XEO15)</f>
        <v>33</v>
      </c>
      <c r="F15" s="3">
        <f t="shared" si="0"/>
        <v>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>
        <v>16</v>
      </c>
      <c r="R15" s="35"/>
      <c r="S15" s="35">
        <v>4</v>
      </c>
      <c r="T15" s="35">
        <v>4</v>
      </c>
      <c r="U15" s="35"/>
      <c r="V15" s="35"/>
      <c r="W15" s="12"/>
      <c r="X15" s="10" t="s">
        <v>24</v>
      </c>
      <c r="Y15" s="35"/>
      <c r="Z15" s="35"/>
      <c r="AA15" s="35"/>
      <c r="AB15" s="35"/>
      <c r="AC15" s="35"/>
      <c r="AD15" s="35"/>
      <c r="AE15" s="35"/>
      <c r="AF15" s="35"/>
      <c r="AG15" s="11">
        <v>5</v>
      </c>
      <c r="AH15" s="11"/>
      <c r="AI15" s="11"/>
      <c r="AJ15" s="11"/>
      <c r="AK15" s="11"/>
      <c r="AL15" s="11"/>
      <c r="AM15" s="11">
        <v>4</v>
      </c>
      <c r="AN15" s="11"/>
      <c r="AO15" s="11"/>
      <c r="AP15" s="11"/>
      <c r="AQ15" s="11"/>
      <c r="AR15" s="11"/>
      <c r="AT15" s="11"/>
      <c r="AU15" s="11"/>
      <c r="AV15" s="11"/>
      <c r="AW15" s="11"/>
      <c r="AX15" s="11"/>
      <c r="AY15" s="11"/>
      <c r="AZ15" s="35"/>
      <c r="BB15" s="10" t="s">
        <v>51</v>
      </c>
      <c r="BC15" s="12"/>
      <c r="BD15" s="12"/>
      <c r="BE15" s="10" t="s">
        <v>57</v>
      </c>
      <c r="BF15" s="12"/>
      <c r="BG15" s="3"/>
      <c r="BH15" s="12"/>
      <c r="BI15" s="12"/>
    </row>
    <row r="16" spans="1:61" s="1" customFormat="1">
      <c r="A16" s="35">
        <v>15</v>
      </c>
      <c r="B16" s="35">
        <v>2022202300</v>
      </c>
      <c r="C16" s="35" t="s">
        <v>221</v>
      </c>
      <c r="D16" s="35" t="s">
        <v>206</v>
      </c>
      <c r="E16" s="15">
        <f>SUM(G16:$XEO16)</f>
        <v>39</v>
      </c>
      <c r="F16" s="3">
        <f t="shared" si="0"/>
        <v>10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>
        <v>4</v>
      </c>
      <c r="T16" s="35"/>
      <c r="U16" s="35"/>
      <c r="V16" s="35"/>
      <c r="W16" s="12"/>
      <c r="X16" s="10" t="s">
        <v>24</v>
      </c>
      <c r="Y16" s="35"/>
      <c r="Z16" s="35"/>
      <c r="AA16" s="35"/>
      <c r="AB16" s="35"/>
      <c r="AC16" s="35"/>
      <c r="AD16" s="35"/>
      <c r="AE16" s="35"/>
      <c r="AF16" s="35"/>
      <c r="AG16" s="11">
        <v>4</v>
      </c>
      <c r="AH16" s="11"/>
      <c r="AI16" s="11"/>
      <c r="AJ16" s="11"/>
      <c r="AK16" s="11"/>
      <c r="AL16" s="11">
        <v>3</v>
      </c>
      <c r="AM16" s="11">
        <v>4</v>
      </c>
      <c r="AN16" s="11"/>
      <c r="AO16" s="11">
        <v>5</v>
      </c>
      <c r="AP16" s="11"/>
      <c r="AQ16" s="11"/>
      <c r="AR16" s="11"/>
      <c r="AT16" s="11"/>
      <c r="AU16" s="11"/>
      <c r="AV16" s="11"/>
      <c r="AW16" s="11"/>
      <c r="AX16" s="11">
        <v>4</v>
      </c>
      <c r="AY16" s="11"/>
      <c r="AZ16" s="35"/>
      <c r="BB16" s="10" t="s">
        <v>51</v>
      </c>
      <c r="BC16" s="12"/>
      <c r="BD16" s="12">
        <v>4</v>
      </c>
      <c r="BE16" s="10" t="s">
        <v>57</v>
      </c>
      <c r="BF16" s="12">
        <v>2</v>
      </c>
      <c r="BG16" s="3">
        <v>5</v>
      </c>
      <c r="BH16" s="12">
        <v>4</v>
      </c>
      <c r="BI16" s="12"/>
    </row>
    <row r="17" spans="1:61" s="1" customFormat="1">
      <c r="A17" s="35">
        <v>16</v>
      </c>
      <c r="B17" s="35">
        <v>2022202301</v>
      </c>
      <c r="C17" s="35" t="s">
        <v>222</v>
      </c>
      <c r="D17" s="35" t="s">
        <v>206</v>
      </c>
      <c r="E17" s="15">
        <f>SUM(G17:$XEO17)</f>
        <v>50</v>
      </c>
      <c r="F17" s="3">
        <f t="shared" si="0"/>
        <v>5</v>
      </c>
      <c r="G17" s="35"/>
      <c r="H17" s="35"/>
      <c r="I17" s="35">
        <v>6</v>
      </c>
      <c r="J17" s="35"/>
      <c r="K17" s="35"/>
      <c r="L17" s="35"/>
      <c r="M17" s="35">
        <v>4</v>
      </c>
      <c r="N17" s="35"/>
      <c r="O17" s="35"/>
      <c r="P17" s="35"/>
      <c r="Q17" s="35">
        <v>16</v>
      </c>
      <c r="R17" s="35"/>
      <c r="S17" s="35">
        <v>4</v>
      </c>
      <c r="T17" s="35"/>
      <c r="U17" s="35"/>
      <c r="V17" s="35"/>
      <c r="W17" s="12"/>
      <c r="X17" s="10" t="s">
        <v>24</v>
      </c>
      <c r="Y17" s="35"/>
      <c r="Z17" s="35"/>
      <c r="AA17" s="35"/>
      <c r="AB17" s="35"/>
      <c r="AC17" s="35"/>
      <c r="AD17" s="35"/>
      <c r="AE17" s="35"/>
      <c r="AF17" s="35">
        <v>20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T17" s="11"/>
      <c r="AU17" s="11"/>
      <c r="AV17" s="11"/>
      <c r="AW17" s="11"/>
      <c r="AX17" s="11"/>
      <c r="AY17" s="11"/>
      <c r="AZ17" s="35"/>
      <c r="BB17" s="10" t="s">
        <v>51</v>
      </c>
      <c r="BC17" s="12"/>
      <c r="BD17" s="12"/>
      <c r="BE17" s="10" t="s">
        <v>57</v>
      </c>
      <c r="BF17" s="12"/>
      <c r="BG17" s="3"/>
      <c r="BH17" s="12"/>
      <c r="BI17" s="12"/>
    </row>
    <row r="18" spans="1:61" s="1" customFormat="1">
      <c r="A18" s="35">
        <v>17</v>
      </c>
      <c r="B18" s="35">
        <v>2022202302</v>
      </c>
      <c r="C18" s="35" t="s">
        <v>223</v>
      </c>
      <c r="D18" s="35" t="s">
        <v>206</v>
      </c>
      <c r="E18" s="15">
        <f>SUM(G18:$XEO18)</f>
        <v>54</v>
      </c>
      <c r="F18" s="3">
        <f t="shared" si="0"/>
        <v>10</v>
      </c>
      <c r="G18" s="35"/>
      <c r="H18" s="35"/>
      <c r="I18" s="35"/>
      <c r="J18" s="35"/>
      <c r="K18" s="35">
        <v>4</v>
      </c>
      <c r="L18" s="35"/>
      <c r="M18" s="35"/>
      <c r="N18" s="35"/>
      <c r="O18" s="35"/>
      <c r="P18" s="35"/>
      <c r="Q18" s="35">
        <v>16</v>
      </c>
      <c r="R18" s="35">
        <v>2</v>
      </c>
      <c r="S18" s="35">
        <v>4</v>
      </c>
      <c r="T18" s="35">
        <v>4</v>
      </c>
      <c r="U18" s="35">
        <v>2</v>
      </c>
      <c r="V18" s="35"/>
      <c r="W18" s="12"/>
      <c r="X18" s="10" t="s">
        <v>24</v>
      </c>
      <c r="Y18" s="35"/>
      <c r="Z18" s="35"/>
      <c r="AA18" s="35"/>
      <c r="AB18" s="35"/>
      <c r="AC18" s="35">
        <v>2</v>
      </c>
      <c r="AD18" s="35"/>
      <c r="AE18" s="35">
        <v>16</v>
      </c>
      <c r="AF18" s="35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T18" s="11"/>
      <c r="AU18" s="11"/>
      <c r="AV18" s="11"/>
      <c r="AW18" s="11"/>
      <c r="AX18" s="11">
        <v>2</v>
      </c>
      <c r="AY18" s="11"/>
      <c r="AZ18" s="35"/>
      <c r="BB18" s="10" t="s">
        <v>51</v>
      </c>
      <c r="BC18" s="12"/>
      <c r="BD18" s="12">
        <v>2</v>
      </c>
      <c r="BE18" s="10" t="s">
        <v>57</v>
      </c>
      <c r="BF18" s="12"/>
      <c r="BG18" s="3"/>
      <c r="BH18" s="12"/>
      <c r="BI18" s="12"/>
    </row>
    <row r="19" spans="1:61" s="1" customFormat="1">
      <c r="A19" s="35">
        <v>18</v>
      </c>
      <c r="B19" s="35">
        <v>2022202303</v>
      </c>
      <c r="C19" s="35" t="s">
        <v>224</v>
      </c>
      <c r="D19" s="35" t="s">
        <v>206</v>
      </c>
      <c r="E19" s="15">
        <f>SUM(G19:$XEO19)</f>
        <v>52</v>
      </c>
      <c r="F19" s="3">
        <f t="shared" si="0"/>
        <v>8</v>
      </c>
      <c r="G19" s="35"/>
      <c r="H19" s="35"/>
      <c r="I19" s="35"/>
      <c r="J19" s="35"/>
      <c r="K19" s="35">
        <v>4</v>
      </c>
      <c r="L19" s="35"/>
      <c r="M19" s="35"/>
      <c r="N19" s="35"/>
      <c r="O19" s="35"/>
      <c r="P19" s="35"/>
      <c r="Q19" s="35"/>
      <c r="R19" s="35"/>
      <c r="S19" s="35">
        <v>4</v>
      </c>
      <c r="T19" s="35">
        <v>4</v>
      </c>
      <c r="U19" s="35">
        <v>2</v>
      </c>
      <c r="V19" s="35"/>
      <c r="W19" s="12"/>
      <c r="X19" s="10" t="s">
        <v>24</v>
      </c>
      <c r="Y19" s="35"/>
      <c r="Z19" s="35"/>
      <c r="AA19" s="35">
        <v>29</v>
      </c>
      <c r="AB19" s="35"/>
      <c r="AC19" s="35"/>
      <c r="AD19" s="35"/>
      <c r="AE19" s="35"/>
      <c r="AF19" s="35"/>
      <c r="AG19" s="11">
        <v>5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T19" s="11"/>
      <c r="AU19" s="11"/>
      <c r="AV19" s="11"/>
      <c r="AW19" s="11"/>
      <c r="AX19" s="11">
        <v>2</v>
      </c>
      <c r="AY19" s="11"/>
      <c r="AZ19" s="35"/>
      <c r="BB19" s="10" t="s">
        <v>51</v>
      </c>
      <c r="BC19" s="12"/>
      <c r="BD19" s="12">
        <v>2</v>
      </c>
      <c r="BE19" s="10" t="s">
        <v>57</v>
      </c>
      <c r="BF19" s="12"/>
      <c r="BG19" s="3"/>
      <c r="BH19" s="12"/>
      <c r="BI19" s="12"/>
    </row>
    <row r="20" spans="1:61" s="1" customFormat="1" ht="14" customHeight="1">
      <c r="A20" s="35">
        <v>19</v>
      </c>
      <c r="B20" s="35">
        <v>2022202304</v>
      </c>
      <c r="C20" s="35" t="s">
        <v>225</v>
      </c>
      <c r="D20" s="35" t="s">
        <v>206</v>
      </c>
      <c r="E20" s="15">
        <f>SUM(G20:$XEO20)</f>
        <v>118</v>
      </c>
      <c r="F20" s="3">
        <f t="shared" si="0"/>
        <v>16</v>
      </c>
      <c r="G20" s="35"/>
      <c r="H20" s="35">
        <v>2</v>
      </c>
      <c r="I20" s="35"/>
      <c r="J20" s="35">
        <v>6</v>
      </c>
      <c r="K20" s="35">
        <v>4</v>
      </c>
      <c r="L20" s="35"/>
      <c r="M20" s="35"/>
      <c r="N20" s="35"/>
      <c r="O20" s="35"/>
      <c r="P20" s="35"/>
      <c r="Q20" s="35">
        <v>16</v>
      </c>
      <c r="R20" s="35">
        <v>5</v>
      </c>
      <c r="S20" s="35">
        <v>4</v>
      </c>
      <c r="T20" s="35">
        <v>4</v>
      </c>
      <c r="U20" s="35">
        <v>4</v>
      </c>
      <c r="V20" s="35"/>
      <c r="W20" s="12"/>
      <c r="X20" s="10" t="s">
        <v>24</v>
      </c>
      <c r="Y20" s="35"/>
      <c r="Z20" s="35"/>
      <c r="AA20" s="35">
        <v>33</v>
      </c>
      <c r="AB20" s="35"/>
      <c r="AC20" s="35"/>
      <c r="AD20" s="35"/>
      <c r="AE20" s="35">
        <v>16</v>
      </c>
      <c r="AF20" s="35"/>
      <c r="AG20" s="11">
        <v>4</v>
      </c>
      <c r="AH20" s="11"/>
      <c r="AI20" s="11"/>
      <c r="AJ20" s="11"/>
      <c r="AK20" s="11"/>
      <c r="AL20" s="11">
        <v>3</v>
      </c>
      <c r="AM20" s="11"/>
      <c r="AN20" s="11"/>
      <c r="AO20" s="11">
        <v>5</v>
      </c>
      <c r="AP20" s="11"/>
      <c r="AQ20" s="11"/>
      <c r="AR20" s="11"/>
      <c r="AT20" s="11"/>
      <c r="AU20" s="11"/>
      <c r="AV20" s="11"/>
      <c r="AW20" s="11"/>
      <c r="AX20" s="11">
        <v>4</v>
      </c>
      <c r="AY20" s="11"/>
      <c r="AZ20" s="35"/>
      <c r="BB20" s="10" t="s">
        <v>51</v>
      </c>
      <c r="BC20" s="12">
        <v>4</v>
      </c>
      <c r="BD20" s="12">
        <v>4</v>
      </c>
      <c r="BE20" s="10" t="s">
        <v>57</v>
      </c>
      <c r="BF20" s="12"/>
      <c r="BG20" s="3"/>
      <c r="BH20" s="12"/>
      <c r="BI20" s="12"/>
    </row>
    <row r="21" spans="1:61" s="1" customFormat="1">
      <c r="A21" s="35">
        <v>20</v>
      </c>
      <c r="B21" s="35">
        <v>2022202305</v>
      </c>
      <c r="C21" s="35" t="s">
        <v>226</v>
      </c>
      <c r="D21" s="35" t="s">
        <v>206</v>
      </c>
      <c r="E21" s="15">
        <f>SUM(G21:$XEO21)</f>
        <v>96.5</v>
      </c>
      <c r="F21" s="3">
        <f t="shared" si="0"/>
        <v>9</v>
      </c>
      <c r="G21" s="35">
        <v>30</v>
      </c>
      <c r="H21" s="35">
        <v>2.5</v>
      </c>
      <c r="I21" s="35"/>
      <c r="J21" s="35"/>
      <c r="K21" s="35">
        <v>4</v>
      </c>
      <c r="L21" s="35"/>
      <c r="M21" s="35"/>
      <c r="N21" s="35"/>
      <c r="O21" s="35"/>
      <c r="P21" s="35"/>
      <c r="Q21" s="35"/>
      <c r="R21" s="35">
        <v>46</v>
      </c>
      <c r="S21" s="35">
        <v>4</v>
      </c>
      <c r="T21" s="35">
        <v>4</v>
      </c>
      <c r="U21" s="35">
        <v>2</v>
      </c>
      <c r="V21" s="35"/>
      <c r="W21" s="12"/>
      <c r="X21" s="10" t="s">
        <v>24</v>
      </c>
      <c r="Y21" s="35"/>
      <c r="Z21" s="35"/>
      <c r="AA21" s="35"/>
      <c r="AB21" s="35"/>
      <c r="AC21" s="35"/>
      <c r="AD21" s="35"/>
      <c r="AE21" s="35"/>
      <c r="AF21" s="35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T21" s="11"/>
      <c r="AU21" s="11"/>
      <c r="AV21" s="11"/>
      <c r="AW21" s="11"/>
      <c r="AX21" s="11">
        <v>2</v>
      </c>
      <c r="AY21" s="11"/>
      <c r="AZ21" s="35"/>
      <c r="BB21" s="10" t="s">
        <v>51</v>
      </c>
      <c r="BC21" s="12"/>
      <c r="BD21" s="12">
        <v>2</v>
      </c>
      <c r="BE21" s="10" t="s">
        <v>57</v>
      </c>
      <c r="BF21" s="12"/>
      <c r="BG21" s="3"/>
      <c r="BH21" s="12"/>
      <c r="BI21" s="12"/>
    </row>
    <row r="22" spans="1:61" s="1" customFormat="1">
      <c r="A22" s="35">
        <v>21</v>
      </c>
      <c r="B22" s="35">
        <v>2022202306</v>
      </c>
      <c r="C22" s="35" t="s">
        <v>227</v>
      </c>
      <c r="D22" s="35" t="s">
        <v>206</v>
      </c>
      <c r="E22" s="15">
        <f>SUM(G22:$XEO22)</f>
        <v>124.5</v>
      </c>
      <c r="F22" s="3">
        <f t="shared" si="0"/>
        <v>8</v>
      </c>
      <c r="G22" s="35"/>
      <c r="H22" s="35"/>
      <c r="I22" s="35"/>
      <c r="J22" s="35"/>
      <c r="K22" s="35"/>
      <c r="L22" s="35"/>
      <c r="M22" s="35"/>
      <c r="N22" s="35">
        <v>6</v>
      </c>
      <c r="O22" s="35"/>
      <c r="P22" s="35"/>
      <c r="Q22" s="35">
        <v>16</v>
      </c>
      <c r="R22" s="35"/>
      <c r="S22" s="35">
        <v>4</v>
      </c>
      <c r="T22" s="35">
        <v>4</v>
      </c>
      <c r="U22" s="35">
        <v>2</v>
      </c>
      <c r="V22" s="35"/>
      <c r="W22" s="12">
        <v>12.5</v>
      </c>
      <c r="X22" s="10" t="s">
        <v>24</v>
      </c>
      <c r="Y22" s="35"/>
      <c r="Z22" s="35"/>
      <c r="AA22" s="35"/>
      <c r="AB22" s="35"/>
      <c r="AC22" s="35"/>
      <c r="AD22" s="35"/>
      <c r="AE22" s="35"/>
      <c r="AF22" s="35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T22" s="11"/>
      <c r="AU22" s="11"/>
      <c r="AV22" s="11"/>
      <c r="AW22" s="11"/>
      <c r="AX22" s="11"/>
      <c r="AY22" s="11"/>
      <c r="AZ22" s="35">
        <v>80</v>
      </c>
      <c r="BA22" s="1">
        <v>0</v>
      </c>
      <c r="BB22" s="10" t="s">
        <v>51</v>
      </c>
      <c r="BC22" s="12"/>
      <c r="BD22" s="12"/>
      <c r="BE22" s="10" t="s">
        <v>57</v>
      </c>
      <c r="BF22" s="12"/>
      <c r="BG22" s="3"/>
      <c r="BH22" s="12"/>
      <c r="BI22" s="12"/>
    </row>
    <row r="23" spans="1:61" s="1" customFormat="1">
      <c r="A23" s="35">
        <v>22</v>
      </c>
      <c r="B23" s="35">
        <v>2022202307</v>
      </c>
      <c r="C23" s="35" t="s">
        <v>228</v>
      </c>
      <c r="D23" s="35" t="s">
        <v>206</v>
      </c>
      <c r="E23" s="15">
        <f>SUM(G23:$XEO23)</f>
        <v>36</v>
      </c>
      <c r="F23" s="3">
        <f t="shared" si="0"/>
        <v>8</v>
      </c>
      <c r="G23" s="35"/>
      <c r="H23" s="35">
        <v>2.5</v>
      </c>
      <c r="I23" s="35"/>
      <c r="J23" s="35"/>
      <c r="K23" s="35">
        <v>4</v>
      </c>
      <c r="L23" s="35"/>
      <c r="M23" s="35"/>
      <c r="N23" s="35"/>
      <c r="O23" s="35"/>
      <c r="P23" s="35"/>
      <c r="Q23" s="35">
        <v>8</v>
      </c>
      <c r="R23" s="35"/>
      <c r="S23" s="35">
        <v>4</v>
      </c>
      <c r="T23" s="35">
        <v>4</v>
      </c>
      <c r="U23" s="35"/>
      <c r="V23" s="35"/>
      <c r="W23" s="12"/>
      <c r="X23" s="10" t="s">
        <v>24</v>
      </c>
      <c r="Y23" s="35"/>
      <c r="Z23" s="35"/>
      <c r="AA23" s="35"/>
      <c r="AB23" s="35"/>
      <c r="AC23" s="35"/>
      <c r="AD23" s="35"/>
      <c r="AE23" s="35"/>
      <c r="AF23" s="35"/>
      <c r="AG23" s="11">
        <v>5</v>
      </c>
      <c r="AH23" s="11"/>
      <c r="AI23" s="11"/>
      <c r="AJ23" s="11">
        <v>4.5</v>
      </c>
      <c r="AK23" s="11"/>
      <c r="AL23" s="11"/>
      <c r="AM23" s="11">
        <v>4</v>
      </c>
      <c r="AN23" s="11"/>
      <c r="AO23" s="11"/>
      <c r="AP23" s="11"/>
      <c r="AQ23" s="11"/>
      <c r="AR23" s="11"/>
      <c r="AT23" s="11"/>
      <c r="AU23" s="11"/>
      <c r="AV23" s="11"/>
      <c r="AW23" s="11"/>
      <c r="AX23" s="11"/>
      <c r="AY23" s="11"/>
      <c r="AZ23" s="35"/>
      <c r="BB23" s="10" t="s">
        <v>51</v>
      </c>
      <c r="BC23" s="12"/>
      <c r="BD23" s="12"/>
      <c r="BE23" s="10" t="s">
        <v>57</v>
      </c>
      <c r="BF23" s="12"/>
      <c r="BG23" s="3"/>
      <c r="BH23" s="12"/>
      <c r="BI23" s="12"/>
    </row>
    <row r="24" spans="1:61" s="1" customFormat="1">
      <c r="A24" s="35">
        <v>23</v>
      </c>
      <c r="B24" s="35">
        <v>2022202860</v>
      </c>
      <c r="C24" s="35" t="s">
        <v>229</v>
      </c>
      <c r="D24" s="35" t="s">
        <v>206</v>
      </c>
      <c r="E24" s="15">
        <f>SUM(G24:$XEO24)</f>
        <v>129</v>
      </c>
      <c r="F24" s="3">
        <f t="shared" si="0"/>
        <v>13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>
        <v>16</v>
      </c>
      <c r="R24" s="35"/>
      <c r="S24" s="35">
        <v>4</v>
      </c>
      <c r="T24" s="35">
        <v>4</v>
      </c>
      <c r="U24" s="35">
        <v>2</v>
      </c>
      <c r="V24" s="35">
        <v>4</v>
      </c>
      <c r="W24" s="12"/>
      <c r="X24" s="10" t="s">
        <v>24</v>
      </c>
      <c r="Y24" s="35"/>
      <c r="Z24" s="35">
        <v>0.5</v>
      </c>
      <c r="AA24" s="35">
        <v>30</v>
      </c>
      <c r="AB24" s="35"/>
      <c r="AC24" s="35"/>
      <c r="AD24" s="35">
        <v>22.5</v>
      </c>
      <c r="AE24" s="35">
        <v>16</v>
      </c>
      <c r="AF24" s="35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T24" s="11"/>
      <c r="AU24" s="11"/>
      <c r="AV24" s="11"/>
      <c r="AW24" s="11"/>
      <c r="AX24" s="11">
        <v>4</v>
      </c>
      <c r="AY24" s="11"/>
      <c r="AZ24" s="35">
        <v>18</v>
      </c>
      <c r="BB24" s="10" t="s">
        <v>51</v>
      </c>
      <c r="BC24" s="12">
        <v>4</v>
      </c>
      <c r="BD24" s="12">
        <v>4</v>
      </c>
      <c r="BE24" s="10" t="s">
        <v>57</v>
      </c>
      <c r="BF24" s="12"/>
      <c r="BG24" s="3"/>
      <c r="BH24" s="12"/>
      <c r="BI24" s="12"/>
    </row>
    <row r="25" spans="1:61" s="1" customFormat="1">
      <c r="A25" s="35"/>
      <c r="B25" s="35"/>
      <c r="C25" s="35" t="s">
        <v>141</v>
      </c>
      <c r="D25" s="35"/>
      <c r="E25" s="35" t="s">
        <v>196</v>
      </c>
      <c r="F25" s="3">
        <f t="shared" si="0"/>
        <v>0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12"/>
      <c r="X25" s="10" t="s">
        <v>24</v>
      </c>
      <c r="Y25" s="35"/>
      <c r="Z25" s="35"/>
      <c r="AA25" s="35"/>
      <c r="AB25" s="35"/>
      <c r="AC25" s="35"/>
      <c r="AD25" s="35"/>
      <c r="AE25" s="35"/>
      <c r="AF25" s="35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T25" s="11"/>
      <c r="AU25" s="11"/>
      <c r="AV25" s="11"/>
      <c r="AW25" s="11"/>
      <c r="AX25" s="11"/>
      <c r="AY25" s="11"/>
      <c r="AZ25" s="35"/>
      <c r="BB25" s="10" t="s">
        <v>51</v>
      </c>
      <c r="BC25" s="15"/>
      <c r="BD25" s="15"/>
      <c r="BE25" s="10" t="s">
        <v>57</v>
      </c>
      <c r="BF25" s="36"/>
      <c r="BG25" s="3"/>
      <c r="BH25" s="12"/>
      <c r="BI25" s="12"/>
    </row>
  </sheetData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51"/>
  <sheetViews>
    <sheetView zoomScale="75" zoomScaleNormal="75" workbookViewId="0">
      <pane xSplit="6" ySplit="1" topLeftCell="CH24" activePane="bottomRight" state="frozen"/>
      <selection pane="topRight"/>
      <selection pane="bottomLeft"/>
      <selection pane="bottomRight" activeCell="CJ1" sqref="CJ1:CJ1048576"/>
    </sheetView>
  </sheetViews>
  <sheetFormatPr baseColWidth="10" defaultColWidth="9.6640625" defaultRowHeight="14"/>
  <cols>
    <col min="1" max="1" width="8" style="4" customWidth="1"/>
    <col min="2" max="2" width="12.6640625" style="4" hidden="1" customWidth="1"/>
    <col min="3" max="3" width="8" style="4" customWidth="1"/>
    <col min="4" max="5" width="7.6640625" style="4" customWidth="1"/>
    <col min="6" max="6" width="9.6640625" style="4" customWidth="1"/>
    <col min="7" max="7" width="24.33203125" style="4" customWidth="1"/>
    <col min="8" max="8" width="18.1640625" style="4" customWidth="1"/>
    <col min="9" max="9" width="24.33203125" style="4" customWidth="1"/>
    <col min="10" max="10" width="15.5" style="4" customWidth="1"/>
    <col min="11" max="12" width="11.1640625" style="4" customWidth="1"/>
    <col min="13" max="13" width="8.5" style="4" customWidth="1"/>
    <col min="14" max="14" width="14.1640625" style="4" customWidth="1"/>
    <col min="15" max="15" width="13.5" style="4" customWidth="1"/>
    <col min="16" max="16" width="11.83203125" style="4" customWidth="1"/>
    <col min="17" max="17" width="8.5" style="4" customWidth="1"/>
    <col min="18" max="18" width="17.5" style="4" customWidth="1"/>
    <col min="19" max="19" width="15.6640625" style="4" customWidth="1"/>
    <col min="20" max="20" width="11.6640625" style="4" customWidth="1"/>
    <col min="21" max="21" width="11.33203125" style="4" customWidth="1"/>
    <col min="22" max="22" width="9.6640625" style="4" customWidth="1"/>
    <col min="23" max="23" width="7.6640625" style="4" customWidth="1"/>
    <col min="24" max="24" width="16" style="4" customWidth="1"/>
    <col min="25" max="25" width="7.6640625" style="4" customWidth="1"/>
    <col min="26" max="26" width="9.5" style="4" customWidth="1"/>
    <col min="27" max="27" width="7.6640625" style="4" customWidth="1"/>
    <col min="28" max="28" width="12.5" style="4" customWidth="1"/>
    <col min="29" max="29" width="7.6640625" style="4" customWidth="1"/>
    <col min="30" max="30" width="18.1640625" style="4" customWidth="1"/>
    <col min="31" max="31" width="20.5" style="4" customWidth="1"/>
    <col min="32" max="32" width="8.6640625" style="4" customWidth="1"/>
    <col min="33" max="33" width="12" style="4" customWidth="1"/>
    <col min="34" max="34" width="11.6640625" style="4" customWidth="1"/>
    <col min="35" max="35" width="19.1640625" style="4" customWidth="1"/>
    <col min="36" max="38" width="11.5" style="4" customWidth="1"/>
    <col min="39" max="39" width="11.6640625" style="4" customWidth="1"/>
    <col min="40" max="40" width="18" style="4" customWidth="1"/>
    <col min="41" max="41" width="12.33203125" style="4" customWidth="1"/>
    <col min="42" max="43" width="17.5" style="4" customWidth="1"/>
    <col min="44" max="45" width="12.1640625" style="4" customWidth="1"/>
    <col min="46" max="46" width="14.33203125" style="4" customWidth="1"/>
    <col min="47" max="47" width="9.6640625" style="4" customWidth="1"/>
    <col min="48" max="48" width="15.33203125" style="4" customWidth="1"/>
    <col min="49" max="49" width="14.1640625" style="4" customWidth="1"/>
    <col min="50" max="51" width="11.1640625" style="4" customWidth="1"/>
    <col min="52" max="53" width="9.6640625" style="4" customWidth="1"/>
    <col min="54" max="54" width="11.6640625" style="4" customWidth="1"/>
    <col min="55" max="61" width="9.6640625" style="4" customWidth="1"/>
    <col min="62" max="62" width="24.33203125" style="4" customWidth="1"/>
    <col min="63" max="63" width="8.6640625" style="4" customWidth="1"/>
    <col min="64" max="64" width="9.6640625" style="4" customWidth="1"/>
    <col min="65" max="65" width="24.33203125" style="4" customWidth="1"/>
    <col min="66" max="66" width="1.1640625" style="4" hidden="1" customWidth="1"/>
    <col min="67" max="67" width="16.5" style="4" customWidth="1"/>
    <col min="68" max="69" width="1" style="4" hidden="1" customWidth="1"/>
    <col min="70" max="72" width="9.6640625" style="4" customWidth="1"/>
    <col min="73" max="74" width="9.6640625" style="4" hidden="1" customWidth="1"/>
    <col min="75" max="75" width="8.6640625" style="4" customWidth="1"/>
    <col min="76" max="76" width="20.6640625" style="4" customWidth="1"/>
    <col min="77" max="79" width="1.83203125" style="4" hidden="1" customWidth="1"/>
    <col min="80" max="81" width="9.6640625" style="4" customWidth="1"/>
    <col min="82" max="83" width="8.6640625" style="4" customWidth="1"/>
    <col min="84" max="84" width="19.83203125" style="4" customWidth="1"/>
    <col min="85" max="85" width="9.6640625" style="4" customWidth="1"/>
    <col min="86" max="86" width="14.83203125" style="4" customWidth="1"/>
    <col min="87" max="87" width="9.6640625" style="4" customWidth="1"/>
    <col min="88" max="89" width="16.6640625" style="4" customWidth="1"/>
    <col min="90" max="90" width="9.6640625" style="4" customWidth="1"/>
    <col min="91" max="16384" width="9.6640625" style="4"/>
  </cols>
  <sheetData>
    <row r="1" spans="1:89" s="1" customFormat="1" ht="17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197</v>
      </c>
      <c r="I1" s="26" t="s">
        <v>7</v>
      </c>
      <c r="J1" s="26" t="s">
        <v>8</v>
      </c>
      <c r="K1" s="26" t="s">
        <v>103</v>
      </c>
      <c r="L1" s="26" t="s">
        <v>9</v>
      </c>
      <c r="M1" s="27" t="s">
        <v>11</v>
      </c>
      <c r="N1" s="27" t="s">
        <v>12</v>
      </c>
      <c r="O1" s="27" t="s">
        <v>230</v>
      </c>
      <c r="P1" s="27" t="s">
        <v>10</v>
      </c>
      <c r="Q1" s="27" t="s">
        <v>112</v>
      </c>
      <c r="R1" s="27" t="s">
        <v>231</v>
      </c>
      <c r="S1" s="27" t="s">
        <v>14</v>
      </c>
      <c r="T1" s="27" t="s">
        <v>15</v>
      </c>
      <c r="U1" s="27" t="s">
        <v>16</v>
      </c>
      <c r="V1" s="27" t="s">
        <v>199</v>
      </c>
      <c r="W1" s="27" t="s">
        <v>18</v>
      </c>
      <c r="X1" s="27" t="s">
        <v>19</v>
      </c>
      <c r="Y1" s="27" t="s">
        <v>232</v>
      </c>
      <c r="Z1" s="27" t="s">
        <v>233</v>
      </c>
      <c r="AA1" s="27" t="s">
        <v>112</v>
      </c>
      <c r="AB1" s="27" t="s">
        <v>111</v>
      </c>
      <c r="AC1" s="27" t="s">
        <v>112</v>
      </c>
      <c r="AD1" s="27" t="s">
        <v>21</v>
      </c>
      <c r="AE1" s="9" t="s">
        <v>234</v>
      </c>
      <c r="AF1" s="10" t="s">
        <v>24</v>
      </c>
      <c r="AG1" s="27" t="s">
        <v>25</v>
      </c>
      <c r="AH1" s="27" t="s">
        <v>235</v>
      </c>
      <c r="AI1" s="27" t="s">
        <v>236</v>
      </c>
      <c r="AJ1" s="27" t="s">
        <v>28</v>
      </c>
      <c r="AK1" s="9" t="s">
        <v>29</v>
      </c>
      <c r="AL1" s="9" t="s">
        <v>115</v>
      </c>
      <c r="AM1" s="9" t="s">
        <v>116</v>
      </c>
      <c r="AN1" s="3" t="s">
        <v>31</v>
      </c>
      <c r="AO1" s="9" t="s">
        <v>33</v>
      </c>
      <c r="AP1" s="9" t="s">
        <v>34</v>
      </c>
      <c r="AQ1" s="9" t="s">
        <v>237</v>
      </c>
      <c r="AR1" s="9" t="s">
        <v>238</v>
      </c>
      <c r="AS1" s="9" t="s">
        <v>117</v>
      </c>
      <c r="AT1" s="9" t="s">
        <v>36</v>
      </c>
      <c r="AU1" s="9" t="s">
        <v>158</v>
      </c>
      <c r="AV1" s="9" t="s">
        <v>119</v>
      </c>
      <c r="AW1" s="9" t="s">
        <v>120</v>
      </c>
      <c r="AX1" s="9" t="s">
        <v>239</v>
      </c>
      <c r="AY1" s="11" t="s">
        <v>159</v>
      </c>
      <c r="AZ1" s="9" t="s">
        <v>39</v>
      </c>
      <c r="BA1" s="9" t="s">
        <v>40</v>
      </c>
      <c r="BB1" s="1" t="s">
        <v>41</v>
      </c>
      <c r="BC1" s="9" t="s">
        <v>42</v>
      </c>
      <c r="BD1" s="9" t="s">
        <v>43</v>
      </c>
      <c r="BE1" s="1" t="s">
        <v>44</v>
      </c>
      <c r="BF1" s="1" t="s">
        <v>45</v>
      </c>
      <c r="BG1" s="1" t="s">
        <v>160</v>
      </c>
      <c r="BH1" s="1" t="s">
        <v>122</v>
      </c>
      <c r="BI1" s="1" t="s">
        <v>48</v>
      </c>
      <c r="BJ1" s="26" t="s">
        <v>49</v>
      </c>
      <c r="BK1" s="10" t="s">
        <v>51</v>
      </c>
      <c r="BL1" s="3" t="s">
        <v>240</v>
      </c>
      <c r="BM1" s="26" t="s">
        <v>124</v>
      </c>
      <c r="BO1" s="3" t="s">
        <v>55</v>
      </c>
      <c r="BR1" s="1" t="s">
        <v>53</v>
      </c>
      <c r="BS1" s="1" t="s">
        <v>54</v>
      </c>
      <c r="BT1" s="1" t="s">
        <v>241</v>
      </c>
      <c r="BW1" s="10" t="s">
        <v>57</v>
      </c>
      <c r="BX1" s="12" t="s">
        <v>242</v>
      </c>
      <c r="BY1" s="12"/>
      <c r="BZ1" s="12"/>
      <c r="CA1" s="12"/>
      <c r="CB1" s="12" t="s">
        <v>163</v>
      </c>
      <c r="CC1" s="12" t="s">
        <v>58</v>
      </c>
      <c r="CD1" s="3" t="s">
        <v>59</v>
      </c>
      <c r="CE1" s="12" t="s">
        <v>61</v>
      </c>
      <c r="CF1" s="12" t="s">
        <v>164</v>
      </c>
      <c r="CG1" s="1" t="s">
        <v>165</v>
      </c>
      <c r="CH1" s="1" t="s">
        <v>63</v>
      </c>
      <c r="CI1" s="12" t="s">
        <v>64</v>
      </c>
      <c r="CJ1" s="12" t="s">
        <v>167</v>
      </c>
      <c r="CK1" s="12" t="s">
        <v>65</v>
      </c>
    </row>
    <row r="2" spans="1:89" s="1" customFormat="1" ht="17" customHeight="1">
      <c r="A2" s="26">
        <v>1</v>
      </c>
      <c r="B2" s="26" t="s">
        <v>243</v>
      </c>
      <c r="C2" s="26" t="s">
        <v>244</v>
      </c>
      <c r="D2" s="26" t="s">
        <v>245</v>
      </c>
      <c r="E2" s="15">
        <f>SUM(G2:$XEZ2)</f>
        <v>0</v>
      </c>
      <c r="F2" s="3">
        <f t="shared" ref="F2:F33" si="0">COUNT(G2:FB2)</f>
        <v>0</v>
      </c>
      <c r="G2" s="26"/>
      <c r="H2" s="26"/>
      <c r="I2" s="26"/>
      <c r="J2" s="26"/>
      <c r="K2" s="26"/>
      <c r="L2" s="26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9"/>
      <c r="AF2" s="10" t="s">
        <v>24</v>
      </c>
      <c r="AG2" s="27"/>
      <c r="AH2" s="27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11"/>
      <c r="AZ2" s="9"/>
      <c r="BG2" s="3"/>
      <c r="BH2" s="3"/>
      <c r="BI2" s="3"/>
      <c r="BJ2" s="26"/>
      <c r="BK2" s="10" t="s">
        <v>51</v>
      </c>
      <c r="BM2" s="26"/>
      <c r="BW2" s="10" t="s">
        <v>57</v>
      </c>
      <c r="BX2" s="12"/>
      <c r="BY2" s="12"/>
      <c r="BZ2" s="12"/>
      <c r="CA2" s="12"/>
      <c r="CB2" s="12"/>
      <c r="CC2" s="16"/>
      <c r="CD2" s="3"/>
      <c r="CE2" s="12"/>
      <c r="CF2" s="12"/>
      <c r="CI2" s="12"/>
      <c r="CJ2" s="12"/>
      <c r="CK2" s="12"/>
    </row>
    <row r="3" spans="1:89" s="1" customFormat="1" ht="17" customHeight="1">
      <c r="A3" s="26">
        <v>2</v>
      </c>
      <c r="B3" s="26" t="s">
        <v>246</v>
      </c>
      <c r="C3" s="26" t="s">
        <v>247</v>
      </c>
      <c r="D3" s="26" t="s">
        <v>245</v>
      </c>
      <c r="E3" s="15">
        <f>SUM(G3:$XEZ3)</f>
        <v>54.5</v>
      </c>
      <c r="F3" s="3">
        <f t="shared" si="0"/>
        <v>6</v>
      </c>
      <c r="G3" s="26"/>
      <c r="H3" s="26"/>
      <c r="I3" s="26"/>
      <c r="J3" s="26"/>
      <c r="K3" s="26"/>
      <c r="L3" s="26"/>
      <c r="M3" s="27"/>
      <c r="N3" s="27"/>
      <c r="O3" s="27"/>
      <c r="P3" s="27"/>
      <c r="Q3" s="27"/>
      <c r="R3" s="27">
        <v>6</v>
      </c>
      <c r="S3" s="27"/>
      <c r="T3" s="27">
        <v>4</v>
      </c>
      <c r="U3" s="27"/>
      <c r="V3" s="27"/>
      <c r="W3" s="27"/>
      <c r="X3" s="27"/>
      <c r="Y3" s="27"/>
      <c r="Z3" s="27">
        <v>38</v>
      </c>
      <c r="AA3" s="27"/>
      <c r="AB3" s="27"/>
      <c r="AC3" s="27"/>
      <c r="AD3" s="27"/>
      <c r="AE3" s="9"/>
      <c r="AF3" s="10" t="s">
        <v>24</v>
      </c>
      <c r="AG3" s="27"/>
      <c r="AH3" s="27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11"/>
      <c r="AZ3" s="9"/>
      <c r="BG3" s="3"/>
      <c r="BH3" s="3"/>
      <c r="BI3" s="3"/>
      <c r="BJ3" s="26"/>
      <c r="BK3" s="10" t="s">
        <v>51</v>
      </c>
      <c r="BM3" s="26"/>
      <c r="BW3" s="10" t="s">
        <v>57</v>
      </c>
      <c r="BX3" s="12"/>
      <c r="BY3" s="12"/>
      <c r="BZ3" s="12"/>
      <c r="CA3" s="12"/>
      <c r="CB3" s="12"/>
      <c r="CC3" s="16"/>
      <c r="CD3" s="3"/>
      <c r="CE3" s="12"/>
      <c r="CF3" s="12"/>
      <c r="CG3" s="1">
        <v>4</v>
      </c>
      <c r="CH3" s="1">
        <v>0.5</v>
      </c>
      <c r="CI3" s="12"/>
      <c r="CJ3" s="12"/>
      <c r="CK3" s="12">
        <v>2</v>
      </c>
    </row>
    <row r="4" spans="1:89" s="1" customFormat="1" ht="17" customHeight="1">
      <c r="A4" s="26">
        <v>3</v>
      </c>
      <c r="B4" s="26" t="s">
        <v>248</v>
      </c>
      <c r="C4" s="26" t="s">
        <v>249</v>
      </c>
      <c r="D4" s="26" t="s">
        <v>245</v>
      </c>
      <c r="E4" s="15">
        <f>SUM(G4:$XEZ4)</f>
        <v>75.5</v>
      </c>
      <c r="F4" s="3">
        <f t="shared" si="0"/>
        <v>9</v>
      </c>
      <c r="G4" s="26"/>
      <c r="H4" s="26"/>
      <c r="I4" s="26"/>
      <c r="J4" s="26"/>
      <c r="K4" s="26"/>
      <c r="L4" s="26"/>
      <c r="M4" s="27"/>
      <c r="N4" s="27"/>
      <c r="O4" s="27"/>
      <c r="P4" s="27"/>
      <c r="Q4" s="27"/>
      <c r="R4" s="27"/>
      <c r="S4" s="27"/>
      <c r="T4" s="27"/>
      <c r="U4" s="27"/>
      <c r="V4" s="27">
        <v>2</v>
      </c>
      <c r="W4" s="27"/>
      <c r="X4" s="27"/>
      <c r="Y4" s="27"/>
      <c r="Z4" s="27"/>
      <c r="AA4" s="27"/>
      <c r="AB4" s="27">
        <v>6</v>
      </c>
      <c r="AC4" s="27"/>
      <c r="AD4" s="27"/>
      <c r="AE4" s="9">
        <v>4</v>
      </c>
      <c r="AF4" s="10" t="s">
        <v>24</v>
      </c>
      <c r="AG4" s="27"/>
      <c r="AH4" s="27"/>
      <c r="AI4" s="9">
        <v>0.5</v>
      </c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>
        <v>5</v>
      </c>
      <c r="AW4" s="9"/>
      <c r="AX4" s="9"/>
      <c r="AY4" s="11"/>
      <c r="AZ4" s="9"/>
      <c r="BA4" s="1">
        <v>8</v>
      </c>
      <c r="BF4" s="1">
        <v>2</v>
      </c>
      <c r="BG4" s="3"/>
      <c r="BH4" s="3"/>
      <c r="BI4" s="3">
        <v>46</v>
      </c>
      <c r="BJ4" s="26"/>
      <c r="BK4" s="10" t="s">
        <v>51</v>
      </c>
      <c r="BM4" s="26"/>
      <c r="BS4" s="1">
        <v>2</v>
      </c>
      <c r="BW4" s="10" t="s">
        <v>57</v>
      </c>
      <c r="BX4" s="12"/>
      <c r="BY4" s="12"/>
      <c r="BZ4" s="12"/>
      <c r="CA4" s="12"/>
      <c r="CB4" s="12"/>
      <c r="CC4" s="16"/>
      <c r="CD4" s="3"/>
      <c r="CE4" s="12"/>
      <c r="CF4" s="12"/>
      <c r="CI4" s="12"/>
      <c r="CJ4" s="12"/>
      <c r="CK4" s="12"/>
    </row>
    <row r="5" spans="1:89" s="1" customFormat="1" ht="17" customHeight="1">
      <c r="A5" s="26">
        <v>4</v>
      </c>
      <c r="B5" s="26" t="s">
        <v>250</v>
      </c>
      <c r="C5" s="26" t="s">
        <v>251</v>
      </c>
      <c r="D5" s="26" t="s">
        <v>245</v>
      </c>
      <c r="E5" s="15">
        <f>SUM(G5:$XEZ5)</f>
        <v>12</v>
      </c>
      <c r="F5" s="3">
        <f t="shared" si="0"/>
        <v>2</v>
      </c>
      <c r="G5" s="26"/>
      <c r="H5" s="26"/>
      <c r="I5" s="26"/>
      <c r="J5" s="26"/>
      <c r="K5" s="26"/>
      <c r="L5" s="26"/>
      <c r="M5" s="27"/>
      <c r="N5" s="27"/>
      <c r="O5" s="27"/>
      <c r="P5" s="27"/>
      <c r="Q5" s="27"/>
      <c r="R5" s="27"/>
      <c r="S5" s="27"/>
      <c r="T5" s="27">
        <v>4</v>
      </c>
      <c r="U5" s="27"/>
      <c r="V5" s="27"/>
      <c r="W5" s="27"/>
      <c r="X5" s="27">
        <v>8</v>
      </c>
      <c r="Y5" s="27"/>
      <c r="Z5" s="27"/>
      <c r="AA5" s="27"/>
      <c r="AB5" s="27"/>
      <c r="AC5" s="27"/>
      <c r="AD5" s="27"/>
      <c r="AE5" s="9"/>
      <c r="AF5" s="10" t="s">
        <v>24</v>
      </c>
      <c r="AG5" s="27"/>
      <c r="AH5" s="27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11"/>
      <c r="AZ5" s="9"/>
      <c r="BG5" s="3"/>
      <c r="BH5" s="3"/>
      <c r="BI5" s="3"/>
      <c r="BJ5" s="26"/>
      <c r="BK5" s="10" t="s">
        <v>51</v>
      </c>
      <c r="BM5" s="26"/>
      <c r="BW5" s="10" t="s">
        <v>57</v>
      </c>
      <c r="BX5" s="12"/>
      <c r="BY5" s="12"/>
      <c r="BZ5" s="12"/>
      <c r="CA5" s="12"/>
      <c r="CB5" s="12"/>
      <c r="CC5" s="16"/>
      <c r="CD5" s="3"/>
      <c r="CE5" s="12"/>
      <c r="CF5" s="12"/>
      <c r="CI5" s="12"/>
      <c r="CJ5" s="12"/>
      <c r="CK5" s="12"/>
    </row>
    <row r="6" spans="1:89" s="1" customFormat="1" ht="17" customHeight="1">
      <c r="A6" s="26">
        <v>5</v>
      </c>
      <c r="B6" s="26" t="s">
        <v>252</v>
      </c>
      <c r="C6" s="26" t="s">
        <v>253</v>
      </c>
      <c r="D6" s="26" t="s">
        <v>245</v>
      </c>
      <c r="E6" s="15">
        <f>SUM(G6:$XEZ6)</f>
        <v>75</v>
      </c>
      <c r="F6" s="3">
        <f t="shared" si="0"/>
        <v>11</v>
      </c>
      <c r="G6" s="26">
        <v>2</v>
      </c>
      <c r="H6" s="26"/>
      <c r="I6" s="26"/>
      <c r="J6" s="26"/>
      <c r="K6" s="26">
        <v>8</v>
      </c>
      <c r="L6" s="26"/>
      <c r="M6" s="27"/>
      <c r="N6" s="27"/>
      <c r="O6" s="27">
        <v>3</v>
      </c>
      <c r="P6" s="27">
        <v>7</v>
      </c>
      <c r="Q6" s="27"/>
      <c r="R6" s="27"/>
      <c r="S6" s="27"/>
      <c r="T6" s="27">
        <v>4</v>
      </c>
      <c r="U6" s="27">
        <v>4</v>
      </c>
      <c r="V6" s="27"/>
      <c r="W6" s="27"/>
      <c r="X6" s="27">
        <v>16</v>
      </c>
      <c r="Y6" s="27"/>
      <c r="Z6" s="27"/>
      <c r="AA6" s="27"/>
      <c r="AB6" s="27"/>
      <c r="AC6" s="27"/>
      <c r="AD6" s="27">
        <v>4</v>
      </c>
      <c r="AE6" s="9"/>
      <c r="AF6" s="10" t="s">
        <v>24</v>
      </c>
      <c r="AG6" s="27"/>
      <c r="AH6" s="27"/>
      <c r="AI6" s="9"/>
      <c r="AJ6" s="9">
        <v>19</v>
      </c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11"/>
      <c r="AZ6" s="9"/>
      <c r="BC6" s="1">
        <v>4</v>
      </c>
      <c r="BG6" s="9">
        <v>4</v>
      </c>
      <c r="BH6" s="3"/>
      <c r="BI6" s="3"/>
      <c r="BJ6" s="26"/>
      <c r="BK6" s="10" t="s">
        <v>51</v>
      </c>
      <c r="BM6" s="26"/>
      <c r="BW6" s="10" t="s">
        <v>57</v>
      </c>
      <c r="BX6" s="12"/>
      <c r="BY6" s="12"/>
      <c r="BZ6" s="12"/>
      <c r="CA6" s="12"/>
      <c r="CB6" s="12"/>
      <c r="CC6" s="16"/>
      <c r="CD6" s="3"/>
      <c r="CE6" s="12"/>
      <c r="CF6" s="12"/>
      <c r="CI6" s="12"/>
      <c r="CJ6" s="12"/>
      <c r="CK6" s="12"/>
    </row>
    <row r="7" spans="1:89" s="1" customFormat="1" ht="17" customHeight="1">
      <c r="A7" s="26">
        <v>6</v>
      </c>
      <c r="B7" s="26" t="s">
        <v>254</v>
      </c>
      <c r="C7" s="26" t="s">
        <v>255</v>
      </c>
      <c r="D7" s="26" t="s">
        <v>245</v>
      </c>
      <c r="E7" s="15">
        <f>SUM(G7:$XEZ7)</f>
        <v>14</v>
      </c>
      <c r="F7" s="3">
        <f t="shared" si="0"/>
        <v>3</v>
      </c>
      <c r="G7" s="26"/>
      <c r="H7" s="26"/>
      <c r="I7" s="26">
        <v>6</v>
      </c>
      <c r="J7" s="26"/>
      <c r="K7" s="26"/>
      <c r="L7" s="26"/>
      <c r="M7" s="27"/>
      <c r="N7" s="27"/>
      <c r="O7" s="27"/>
      <c r="P7" s="27"/>
      <c r="Q7" s="27"/>
      <c r="R7" s="27"/>
      <c r="S7" s="27"/>
      <c r="T7" s="27">
        <v>4</v>
      </c>
      <c r="U7" s="27"/>
      <c r="V7" s="27"/>
      <c r="W7" s="27"/>
      <c r="X7" s="27"/>
      <c r="Y7" s="27"/>
      <c r="Z7" s="27"/>
      <c r="AA7" s="27"/>
      <c r="AB7" s="27"/>
      <c r="AC7" s="27"/>
      <c r="AD7" s="27"/>
      <c r="AE7" s="9"/>
      <c r="AF7" s="10" t="s">
        <v>24</v>
      </c>
      <c r="AG7" s="27"/>
      <c r="AH7" s="27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11"/>
      <c r="AZ7" s="9"/>
      <c r="BC7" s="1">
        <v>4</v>
      </c>
      <c r="BG7" s="3"/>
      <c r="BH7" s="3"/>
      <c r="BI7" s="3"/>
      <c r="BJ7" s="26"/>
      <c r="BK7" s="10" t="s">
        <v>51</v>
      </c>
      <c r="BM7" s="26"/>
      <c r="BW7" s="10" t="s">
        <v>57</v>
      </c>
      <c r="BX7" s="12"/>
      <c r="BY7" s="12"/>
      <c r="BZ7" s="12"/>
      <c r="CA7" s="12"/>
      <c r="CB7" s="12"/>
      <c r="CC7" s="16"/>
      <c r="CD7" s="3"/>
      <c r="CE7" s="12"/>
      <c r="CF7" s="12"/>
      <c r="CI7" s="12"/>
      <c r="CJ7" s="12"/>
      <c r="CK7" s="12"/>
    </row>
    <row r="8" spans="1:89" s="1" customFormat="1" ht="17" customHeight="1">
      <c r="A8" s="26">
        <v>7</v>
      </c>
      <c r="B8" s="26" t="s">
        <v>256</v>
      </c>
      <c r="C8" s="26" t="s">
        <v>257</v>
      </c>
      <c r="D8" s="26" t="s">
        <v>245</v>
      </c>
      <c r="E8" s="15">
        <f>SUM(G8:$XEZ8)</f>
        <v>24</v>
      </c>
      <c r="F8" s="3">
        <f t="shared" si="0"/>
        <v>3</v>
      </c>
      <c r="G8" s="26"/>
      <c r="H8" s="26"/>
      <c r="I8" s="26"/>
      <c r="J8" s="26"/>
      <c r="K8" s="26"/>
      <c r="L8" s="26"/>
      <c r="M8" s="27"/>
      <c r="N8" s="27"/>
      <c r="O8" s="27"/>
      <c r="P8" s="27"/>
      <c r="Q8" s="27"/>
      <c r="R8" s="27"/>
      <c r="S8" s="27"/>
      <c r="T8" s="27">
        <v>4</v>
      </c>
      <c r="U8" s="27"/>
      <c r="V8" s="27"/>
      <c r="W8" s="27"/>
      <c r="X8" s="27">
        <v>16</v>
      </c>
      <c r="Y8" s="27"/>
      <c r="Z8" s="27"/>
      <c r="AA8" s="27"/>
      <c r="AB8" s="27"/>
      <c r="AC8" s="27"/>
      <c r="AD8" s="27"/>
      <c r="AE8" s="9"/>
      <c r="AF8" s="10" t="s">
        <v>24</v>
      </c>
      <c r="AG8" s="27"/>
      <c r="AH8" s="27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1"/>
      <c r="AZ8" s="9"/>
      <c r="BC8" s="1">
        <v>4</v>
      </c>
      <c r="BG8" s="3"/>
      <c r="BH8" s="3"/>
      <c r="BI8" s="3"/>
      <c r="BJ8" s="26"/>
      <c r="BK8" s="10" t="s">
        <v>51</v>
      </c>
      <c r="BM8" s="26"/>
      <c r="BW8" s="10" t="s">
        <v>57</v>
      </c>
      <c r="BX8" s="12"/>
      <c r="BY8" s="12"/>
      <c r="BZ8" s="12"/>
      <c r="CA8" s="12"/>
      <c r="CB8" s="12"/>
      <c r="CC8" s="16"/>
      <c r="CD8" s="3"/>
      <c r="CE8" s="12"/>
      <c r="CF8" s="12"/>
      <c r="CI8" s="12"/>
      <c r="CJ8" s="12"/>
      <c r="CK8" s="12"/>
    </row>
    <row r="9" spans="1:89" s="1" customFormat="1" ht="17" customHeight="1">
      <c r="A9" s="26">
        <v>8</v>
      </c>
      <c r="B9" s="26" t="s">
        <v>258</v>
      </c>
      <c r="C9" s="26" t="s">
        <v>259</v>
      </c>
      <c r="D9" s="26" t="s">
        <v>245</v>
      </c>
      <c r="E9" s="15">
        <f>SUM(G9:$XEZ9)</f>
        <v>19</v>
      </c>
      <c r="F9" s="3">
        <f t="shared" si="0"/>
        <v>4</v>
      </c>
      <c r="G9" s="26">
        <v>8</v>
      </c>
      <c r="H9" s="26"/>
      <c r="I9" s="26"/>
      <c r="J9" s="26"/>
      <c r="K9" s="26"/>
      <c r="L9" s="26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9"/>
      <c r="AF9" s="10" t="s">
        <v>24</v>
      </c>
      <c r="AG9" s="27"/>
      <c r="AH9" s="27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11"/>
      <c r="AZ9" s="9"/>
      <c r="BG9" s="33"/>
      <c r="BH9" s="3"/>
      <c r="BI9" s="3"/>
      <c r="BJ9" s="26"/>
      <c r="BK9" s="10" t="s">
        <v>51</v>
      </c>
      <c r="BM9" s="26"/>
      <c r="BO9" s="1">
        <v>6</v>
      </c>
      <c r="BW9" s="10" t="s">
        <v>57</v>
      </c>
      <c r="BX9" s="12">
        <v>4</v>
      </c>
      <c r="BY9" s="12"/>
      <c r="BZ9" s="12"/>
      <c r="CA9" s="12"/>
      <c r="CB9" s="12"/>
      <c r="CC9" s="16"/>
      <c r="CD9" s="3"/>
      <c r="CE9" s="12"/>
      <c r="CF9" s="12"/>
      <c r="CI9" s="12"/>
      <c r="CJ9" s="12"/>
      <c r="CK9" s="12">
        <v>1</v>
      </c>
    </row>
    <row r="10" spans="1:89" s="1" customFormat="1" ht="17" customHeight="1">
      <c r="A10" s="26">
        <v>9</v>
      </c>
      <c r="B10" s="26" t="s">
        <v>260</v>
      </c>
      <c r="C10" s="26" t="s">
        <v>261</v>
      </c>
      <c r="D10" s="26" t="s">
        <v>245</v>
      </c>
      <c r="E10" s="15">
        <f>SUM(G10:$XEZ10)</f>
        <v>28</v>
      </c>
      <c r="F10" s="3">
        <f t="shared" si="0"/>
        <v>6</v>
      </c>
      <c r="G10" s="26"/>
      <c r="H10" s="26"/>
      <c r="I10" s="26">
        <v>4</v>
      </c>
      <c r="J10" s="26"/>
      <c r="K10" s="26"/>
      <c r="L10" s="26"/>
      <c r="M10" s="27"/>
      <c r="N10" s="27"/>
      <c r="O10" s="27"/>
      <c r="P10" s="27"/>
      <c r="Q10" s="27"/>
      <c r="R10" s="27"/>
      <c r="S10" s="27"/>
      <c r="T10" s="27">
        <v>4</v>
      </c>
      <c r="U10" s="27">
        <v>4</v>
      </c>
      <c r="V10" s="27">
        <v>2</v>
      </c>
      <c r="W10" s="27"/>
      <c r="X10" s="27">
        <v>8</v>
      </c>
      <c r="Y10" s="27"/>
      <c r="Z10" s="27"/>
      <c r="AA10" s="27"/>
      <c r="AB10" s="27"/>
      <c r="AC10" s="27"/>
      <c r="AD10" s="27"/>
      <c r="AE10" s="9"/>
      <c r="AF10" s="10" t="s">
        <v>24</v>
      </c>
      <c r="AG10" s="27"/>
      <c r="AH10" s="27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11"/>
      <c r="AZ10" s="9"/>
      <c r="BG10" s="3"/>
      <c r="BH10" s="3"/>
      <c r="BI10" s="3"/>
      <c r="BJ10" s="26"/>
      <c r="BK10" s="10" t="s">
        <v>51</v>
      </c>
      <c r="BM10" s="26"/>
      <c r="BW10" s="10" t="s">
        <v>57</v>
      </c>
      <c r="BX10" s="12"/>
      <c r="BY10" s="12"/>
      <c r="BZ10" s="12"/>
      <c r="CA10" s="12"/>
      <c r="CB10" s="12"/>
      <c r="CC10" s="16"/>
      <c r="CD10" s="3"/>
      <c r="CE10" s="12"/>
      <c r="CF10" s="12"/>
      <c r="CI10" s="12"/>
      <c r="CJ10" s="12"/>
      <c r="CK10" s="12">
        <v>6</v>
      </c>
    </row>
    <row r="11" spans="1:89" s="1" customFormat="1" ht="17" customHeight="1">
      <c r="A11" s="26">
        <v>10</v>
      </c>
      <c r="B11" s="26" t="s">
        <v>262</v>
      </c>
      <c r="C11" s="26" t="s">
        <v>263</v>
      </c>
      <c r="D11" s="26" t="s">
        <v>245</v>
      </c>
      <c r="E11" s="15">
        <f>SUM(G11:$XEZ11)</f>
        <v>34</v>
      </c>
      <c r="F11" s="3">
        <f t="shared" si="0"/>
        <v>8</v>
      </c>
      <c r="G11" s="26"/>
      <c r="H11" s="26"/>
      <c r="I11" s="26"/>
      <c r="J11" s="26"/>
      <c r="K11" s="26"/>
      <c r="L11" s="26"/>
      <c r="M11" s="27"/>
      <c r="N11" s="27"/>
      <c r="O11" s="27"/>
      <c r="P11" s="27"/>
      <c r="Q11" s="27"/>
      <c r="R11" s="27"/>
      <c r="S11" s="27"/>
      <c r="T11" s="27">
        <v>4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9"/>
      <c r="AF11" s="10" t="s">
        <v>24</v>
      </c>
      <c r="AG11" s="27">
        <v>10</v>
      </c>
      <c r="AH11" s="27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1">
        <v>3</v>
      </c>
      <c r="AZ11" s="9"/>
      <c r="BC11" s="1">
        <v>4</v>
      </c>
      <c r="BG11" s="33"/>
      <c r="BH11" s="3"/>
      <c r="BI11" s="3"/>
      <c r="BJ11" s="26"/>
      <c r="BK11" s="10" t="s">
        <v>51</v>
      </c>
      <c r="BM11" s="26"/>
      <c r="BW11" s="10" t="s">
        <v>57</v>
      </c>
      <c r="BX11" s="12"/>
      <c r="BY11" s="12"/>
      <c r="BZ11" s="12"/>
      <c r="CA11" s="12"/>
      <c r="CB11" s="12">
        <v>4</v>
      </c>
      <c r="CC11" s="16"/>
      <c r="CD11" s="3">
        <v>3</v>
      </c>
      <c r="CE11" s="12"/>
      <c r="CF11" s="12"/>
      <c r="CG11" s="1">
        <v>4</v>
      </c>
      <c r="CI11" s="12">
        <v>2</v>
      </c>
      <c r="CJ11" s="12"/>
      <c r="CK11" s="12"/>
    </row>
    <row r="12" spans="1:89" s="1" customFormat="1" ht="17" customHeight="1">
      <c r="A12" s="26">
        <v>11</v>
      </c>
      <c r="B12" s="26" t="s">
        <v>264</v>
      </c>
      <c r="C12" s="26" t="s">
        <v>265</v>
      </c>
      <c r="D12" s="26" t="s">
        <v>245</v>
      </c>
      <c r="E12" s="15">
        <f>SUM(G12:$XEZ12)</f>
        <v>28</v>
      </c>
      <c r="F12" s="3">
        <f t="shared" si="0"/>
        <v>4</v>
      </c>
      <c r="G12" s="26"/>
      <c r="H12" s="26"/>
      <c r="I12" s="26"/>
      <c r="J12" s="26"/>
      <c r="K12" s="26"/>
      <c r="L12" s="26"/>
      <c r="M12" s="27"/>
      <c r="N12" s="27"/>
      <c r="O12" s="27"/>
      <c r="P12" s="27"/>
      <c r="Q12" s="27"/>
      <c r="R12" s="27"/>
      <c r="S12" s="27"/>
      <c r="T12" s="27">
        <v>4</v>
      </c>
      <c r="U12" s="27">
        <v>4</v>
      </c>
      <c r="V12" s="27"/>
      <c r="W12" s="27"/>
      <c r="X12" s="27"/>
      <c r="Y12" s="27"/>
      <c r="Z12" s="27"/>
      <c r="AA12" s="27"/>
      <c r="AB12" s="27"/>
      <c r="AC12" s="27"/>
      <c r="AD12" s="27"/>
      <c r="AE12" s="9"/>
      <c r="AF12" s="10" t="s">
        <v>24</v>
      </c>
      <c r="AG12" s="27"/>
      <c r="AH12" s="27"/>
      <c r="AI12" s="9"/>
      <c r="AJ12" s="9"/>
      <c r="AK12" s="9"/>
      <c r="AL12" s="9"/>
      <c r="AM12" s="9"/>
      <c r="AN12" s="9">
        <v>16</v>
      </c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1"/>
      <c r="AZ12" s="9"/>
      <c r="BC12" s="1">
        <v>4</v>
      </c>
      <c r="BJ12" s="26"/>
      <c r="BK12" s="10" t="s">
        <v>51</v>
      </c>
      <c r="BM12" s="26"/>
      <c r="BW12" s="10" t="s">
        <v>57</v>
      </c>
      <c r="BX12" s="12"/>
      <c r="BY12" s="12"/>
      <c r="BZ12" s="12"/>
      <c r="CA12" s="12"/>
      <c r="CB12" s="12"/>
      <c r="CC12" s="16"/>
      <c r="CD12" s="3"/>
      <c r="CE12" s="12"/>
      <c r="CF12" s="12"/>
      <c r="CI12" s="12"/>
      <c r="CJ12" s="12"/>
      <c r="CK12" s="12"/>
    </row>
    <row r="13" spans="1:89" s="1" customFormat="1" ht="17" customHeight="1">
      <c r="A13" s="26">
        <v>12</v>
      </c>
      <c r="B13" s="26" t="s">
        <v>266</v>
      </c>
      <c r="C13" s="26" t="s">
        <v>267</v>
      </c>
      <c r="D13" s="26" t="s">
        <v>245</v>
      </c>
      <c r="E13" s="15">
        <f>SUM(G13:$XEZ13)</f>
        <v>55.5</v>
      </c>
      <c r="F13" s="3">
        <f t="shared" si="0"/>
        <v>8</v>
      </c>
      <c r="G13" s="26"/>
      <c r="H13" s="26"/>
      <c r="I13" s="26"/>
      <c r="J13" s="26"/>
      <c r="K13" s="26"/>
      <c r="L13" s="26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>
        <v>16</v>
      </c>
      <c r="Y13" s="27"/>
      <c r="Z13" s="27"/>
      <c r="AA13" s="27"/>
      <c r="AB13" s="27"/>
      <c r="AC13" s="27"/>
      <c r="AD13" s="27"/>
      <c r="AE13" s="9"/>
      <c r="AF13" s="10" t="s">
        <v>24</v>
      </c>
      <c r="AG13" s="27">
        <v>12</v>
      </c>
      <c r="AH13" s="27"/>
      <c r="AI13" s="9"/>
      <c r="AJ13" s="9"/>
      <c r="AK13" s="9"/>
      <c r="AL13" s="9"/>
      <c r="AM13" s="9"/>
      <c r="AN13" s="9">
        <v>16</v>
      </c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11"/>
      <c r="AZ13" s="9"/>
      <c r="BJ13" s="26"/>
      <c r="BK13" s="10" t="s">
        <v>51</v>
      </c>
      <c r="BM13" s="26"/>
      <c r="BW13" s="10" t="s">
        <v>57</v>
      </c>
      <c r="BX13" s="12"/>
      <c r="BY13" s="12"/>
      <c r="BZ13" s="12"/>
      <c r="CA13" s="12"/>
      <c r="CB13" s="12">
        <v>3.5</v>
      </c>
      <c r="CC13" s="16"/>
      <c r="CD13" s="3"/>
      <c r="CE13" s="12"/>
      <c r="CF13" s="12"/>
      <c r="CG13" s="1">
        <v>4</v>
      </c>
      <c r="CH13" s="1">
        <v>0.5</v>
      </c>
      <c r="CI13" s="12">
        <v>0.5</v>
      </c>
      <c r="CJ13" s="12"/>
      <c r="CK13" s="12">
        <v>3</v>
      </c>
    </row>
    <row r="14" spans="1:89" s="1" customFormat="1" ht="17" customHeight="1">
      <c r="A14" s="26">
        <v>13</v>
      </c>
      <c r="B14" s="26" t="s">
        <v>268</v>
      </c>
      <c r="C14" s="26" t="s">
        <v>269</v>
      </c>
      <c r="D14" s="26" t="s">
        <v>245</v>
      </c>
      <c r="E14" s="15">
        <f>SUM(G14:$XEZ14)</f>
        <v>8</v>
      </c>
      <c r="F14" s="3">
        <f t="shared" si="0"/>
        <v>2</v>
      </c>
      <c r="G14" s="26"/>
      <c r="H14" s="26"/>
      <c r="I14" s="26"/>
      <c r="J14" s="26"/>
      <c r="K14" s="26"/>
      <c r="L14" s="26"/>
      <c r="M14" s="27"/>
      <c r="N14" s="27"/>
      <c r="O14" s="27"/>
      <c r="P14" s="27"/>
      <c r="Q14" s="27"/>
      <c r="R14" s="27"/>
      <c r="S14" s="27"/>
      <c r="T14" s="27">
        <v>4</v>
      </c>
      <c r="U14" s="27"/>
      <c r="V14" s="27">
        <v>4</v>
      </c>
      <c r="W14" s="27"/>
      <c r="X14" s="27"/>
      <c r="Y14" s="27"/>
      <c r="Z14" s="27"/>
      <c r="AA14" s="27"/>
      <c r="AB14" s="27"/>
      <c r="AC14" s="27"/>
      <c r="AD14" s="27"/>
      <c r="AE14" s="9"/>
      <c r="AF14" s="10" t="s">
        <v>24</v>
      </c>
      <c r="AG14" s="27"/>
      <c r="AH14" s="27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11"/>
      <c r="AZ14" s="9"/>
      <c r="BJ14" s="26"/>
      <c r="BK14" s="10" t="s">
        <v>51</v>
      </c>
      <c r="BM14" s="26"/>
      <c r="BW14" s="10" t="s">
        <v>57</v>
      </c>
      <c r="BX14" s="12"/>
      <c r="BY14" s="12"/>
      <c r="BZ14" s="12"/>
      <c r="CA14" s="12"/>
      <c r="CB14" s="12"/>
      <c r="CC14" s="16"/>
      <c r="CD14" s="3"/>
      <c r="CE14" s="12"/>
      <c r="CF14" s="12"/>
      <c r="CI14" s="12"/>
      <c r="CJ14" s="12"/>
      <c r="CK14" s="12"/>
    </row>
    <row r="15" spans="1:89" s="1" customFormat="1" ht="17" customHeight="1">
      <c r="A15" s="26">
        <v>14</v>
      </c>
      <c r="B15" s="26" t="s">
        <v>270</v>
      </c>
      <c r="C15" s="26" t="s">
        <v>271</v>
      </c>
      <c r="D15" s="26" t="s">
        <v>245</v>
      </c>
      <c r="E15" s="15">
        <f>SUM(G15:$XEZ15)</f>
        <v>52</v>
      </c>
      <c r="F15" s="3">
        <f t="shared" si="0"/>
        <v>7</v>
      </c>
      <c r="G15" s="26"/>
      <c r="H15" s="26"/>
      <c r="I15" s="26"/>
      <c r="J15" s="26"/>
      <c r="K15" s="26"/>
      <c r="L15" s="26">
        <v>6</v>
      </c>
      <c r="M15" s="27"/>
      <c r="N15" s="27"/>
      <c r="O15" s="27"/>
      <c r="P15" s="27"/>
      <c r="Q15" s="27"/>
      <c r="R15" s="27"/>
      <c r="S15" s="27"/>
      <c r="T15" s="27">
        <v>4</v>
      </c>
      <c r="U15" s="27"/>
      <c r="V15" s="27"/>
      <c r="W15" s="27"/>
      <c r="X15" s="27">
        <v>16</v>
      </c>
      <c r="Y15" s="27"/>
      <c r="Z15" s="27"/>
      <c r="AA15" s="27"/>
      <c r="AB15" s="27"/>
      <c r="AC15" s="27"/>
      <c r="AD15" s="27">
        <v>4</v>
      </c>
      <c r="AE15" s="9"/>
      <c r="AF15" s="10" t="s">
        <v>24</v>
      </c>
      <c r="AG15" s="27"/>
      <c r="AH15" s="27"/>
      <c r="AI15" s="9"/>
      <c r="AJ15" s="9"/>
      <c r="AK15" s="9"/>
      <c r="AL15" s="9"/>
      <c r="AM15" s="9"/>
      <c r="AN15" s="9">
        <v>16</v>
      </c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1"/>
      <c r="AZ15" s="9"/>
      <c r="BC15" s="1">
        <v>4</v>
      </c>
      <c r="BJ15" s="26"/>
      <c r="BK15" s="10" t="s">
        <v>51</v>
      </c>
      <c r="BM15" s="26"/>
      <c r="BW15" s="10" t="s">
        <v>57</v>
      </c>
      <c r="BX15" s="12"/>
      <c r="BY15" s="12"/>
      <c r="BZ15" s="12"/>
      <c r="CA15" s="12"/>
      <c r="CB15" s="12"/>
      <c r="CC15" s="16"/>
      <c r="CD15" s="3"/>
      <c r="CE15" s="12"/>
      <c r="CF15" s="12"/>
      <c r="CI15" s="12"/>
      <c r="CJ15" s="12"/>
      <c r="CK15" s="12">
        <v>2</v>
      </c>
    </row>
    <row r="16" spans="1:89" s="1" customFormat="1" ht="17" customHeight="1">
      <c r="A16" s="26">
        <v>15</v>
      </c>
      <c r="B16" s="26" t="s">
        <v>272</v>
      </c>
      <c r="C16" s="26" t="s">
        <v>273</v>
      </c>
      <c r="D16" s="26" t="s">
        <v>245</v>
      </c>
      <c r="E16" s="15">
        <f>SUM(G16:$XEZ16)</f>
        <v>26</v>
      </c>
      <c r="F16" s="3">
        <f t="shared" si="0"/>
        <v>6</v>
      </c>
      <c r="G16" s="26"/>
      <c r="H16" s="26"/>
      <c r="I16" s="26"/>
      <c r="J16" s="26"/>
      <c r="K16" s="26"/>
      <c r="L16" s="26"/>
      <c r="M16" s="27"/>
      <c r="N16" s="27"/>
      <c r="O16" s="27"/>
      <c r="P16" s="27"/>
      <c r="Q16" s="27"/>
      <c r="R16" s="27"/>
      <c r="S16" s="27"/>
      <c r="T16" s="27">
        <v>4</v>
      </c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9"/>
      <c r="AF16" s="10" t="s">
        <v>24</v>
      </c>
      <c r="AG16" s="27">
        <v>1</v>
      </c>
      <c r="AH16" s="27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>
        <v>7</v>
      </c>
      <c r="AY16" s="11"/>
      <c r="AZ16" s="9"/>
      <c r="BA16" s="1">
        <v>8</v>
      </c>
      <c r="BC16" s="1">
        <v>4</v>
      </c>
      <c r="BJ16" s="26"/>
      <c r="BK16" s="10" t="s">
        <v>51</v>
      </c>
      <c r="BM16" s="26"/>
      <c r="BW16" s="10" t="s">
        <v>57</v>
      </c>
      <c r="BX16" s="12"/>
      <c r="BY16" s="12"/>
      <c r="BZ16" s="12"/>
      <c r="CA16" s="12"/>
      <c r="CB16" s="12"/>
      <c r="CC16" s="16"/>
      <c r="CD16" s="3"/>
      <c r="CE16" s="12">
        <v>2</v>
      </c>
      <c r="CF16" s="12"/>
      <c r="CI16" s="12"/>
      <c r="CJ16" s="12"/>
      <c r="CK16" s="12"/>
    </row>
    <row r="17" spans="1:89" s="1" customFormat="1" ht="17" customHeight="1">
      <c r="A17" s="26">
        <v>16</v>
      </c>
      <c r="B17" s="26" t="s">
        <v>274</v>
      </c>
      <c r="C17" s="26" t="s">
        <v>275</v>
      </c>
      <c r="D17" s="26" t="s">
        <v>245</v>
      </c>
      <c r="E17" s="15">
        <f>SUM(G17:$XEZ17)</f>
        <v>59</v>
      </c>
      <c r="F17" s="3">
        <f t="shared" si="0"/>
        <v>7</v>
      </c>
      <c r="G17" s="26"/>
      <c r="H17" s="26"/>
      <c r="I17" s="26"/>
      <c r="J17" s="26"/>
      <c r="K17" s="26"/>
      <c r="L17" s="26"/>
      <c r="M17" s="27"/>
      <c r="N17" s="27"/>
      <c r="O17" s="27"/>
      <c r="P17" s="27"/>
      <c r="Q17" s="27"/>
      <c r="R17" s="27"/>
      <c r="S17" s="27"/>
      <c r="T17" s="27">
        <v>4</v>
      </c>
      <c r="U17" s="27">
        <v>4</v>
      </c>
      <c r="V17" s="27"/>
      <c r="W17" s="27"/>
      <c r="X17" s="27">
        <v>16</v>
      </c>
      <c r="Y17" s="27"/>
      <c r="Z17" s="27"/>
      <c r="AA17" s="27"/>
      <c r="AB17" s="27"/>
      <c r="AC17" s="27"/>
      <c r="AD17" s="27"/>
      <c r="AE17" s="9"/>
      <c r="AF17" s="10" t="s">
        <v>24</v>
      </c>
      <c r="AG17" s="27">
        <v>11</v>
      </c>
      <c r="AH17" s="27"/>
      <c r="AI17" s="9"/>
      <c r="AJ17" s="9"/>
      <c r="AK17" s="9"/>
      <c r="AL17" s="9"/>
      <c r="AM17" s="9"/>
      <c r="AN17" s="9">
        <v>16</v>
      </c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11"/>
      <c r="AZ17" s="9"/>
      <c r="BC17" s="1">
        <v>4</v>
      </c>
      <c r="BJ17" s="26"/>
      <c r="BK17" s="10" t="s">
        <v>51</v>
      </c>
      <c r="BM17" s="26"/>
      <c r="BW17" s="10" t="s">
        <v>57</v>
      </c>
      <c r="BX17" s="12"/>
      <c r="BY17" s="12"/>
      <c r="BZ17" s="12"/>
      <c r="CA17" s="12"/>
      <c r="CB17" s="12"/>
      <c r="CC17" s="16"/>
      <c r="CD17" s="3"/>
      <c r="CE17" s="12"/>
      <c r="CF17" s="12"/>
      <c r="CI17" s="12"/>
      <c r="CJ17" s="12"/>
      <c r="CK17" s="12">
        <v>4</v>
      </c>
    </row>
    <row r="18" spans="1:89" s="1" customFormat="1" ht="17" customHeight="1">
      <c r="A18" s="26">
        <v>17</v>
      </c>
      <c r="B18" s="26" t="s">
        <v>276</v>
      </c>
      <c r="C18" s="26" t="s">
        <v>277</v>
      </c>
      <c r="D18" s="26" t="s">
        <v>245</v>
      </c>
      <c r="E18" s="15">
        <f>SUM(G18:$XEZ18)</f>
        <v>20.5</v>
      </c>
      <c r="F18" s="3">
        <f t="shared" si="0"/>
        <v>6</v>
      </c>
      <c r="G18" s="26"/>
      <c r="H18" s="26"/>
      <c r="I18" s="26">
        <v>3.5</v>
      </c>
      <c r="J18" s="26"/>
      <c r="K18" s="26"/>
      <c r="L18" s="26"/>
      <c r="M18" s="27"/>
      <c r="N18" s="27"/>
      <c r="O18" s="27"/>
      <c r="P18" s="27"/>
      <c r="Q18" s="27"/>
      <c r="R18" s="27"/>
      <c r="S18" s="27"/>
      <c r="T18" s="27">
        <v>4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9"/>
      <c r="AF18" s="10" t="s">
        <v>24</v>
      </c>
      <c r="AG18" s="27"/>
      <c r="AH18" s="27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1"/>
      <c r="AZ18" s="9"/>
      <c r="BJ18" s="26"/>
      <c r="BK18" s="10" t="s">
        <v>51</v>
      </c>
      <c r="BM18" s="26"/>
      <c r="BW18" s="10" t="s">
        <v>57</v>
      </c>
      <c r="BX18" s="12"/>
      <c r="BY18" s="12"/>
      <c r="BZ18" s="12"/>
      <c r="CA18" s="12"/>
      <c r="CB18" s="12"/>
      <c r="CC18" s="16"/>
      <c r="CD18" s="3"/>
      <c r="CE18" s="12">
        <v>2</v>
      </c>
      <c r="CF18" s="12"/>
      <c r="CH18" s="1">
        <v>1</v>
      </c>
      <c r="CI18" s="12">
        <v>5</v>
      </c>
      <c r="CJ18" s="12"/>
      <c r="CK18" s="12">
        <v>5</v>
      </c>
    </row>
    <row r="19" spans="1:89" s="1" customFormat="1" ht="17" customHeight="1">
      <c r="A19" s="26">
        <v>18</v>
      </c>
      <c r="B19" s="26" t="s">
        <v>278</v>
      </c>
      <c r="C19" s="26" t="s">
        <v>279</v>
      </c>
      <c r="D19" s="26" t="s">
        <v>245</v>
      </c>
      <c r="E19" s="15">
        <f>SUM(G19:$XEZ19)</f>
        <v>42</v>
      </c>
      <c r="F19" s="3">
        <f t="shared" si="0"/>
        <v>8</v>
      </c>
      <c r="G19" s="26"/>
      <c r="H19" s="26"/>
      <c r="I19" s="26"/>
      <c r="J19" s="26"/>
      <c r="K19" s="26"/>
      <c r="L19" s="26">
        <v>6</v>
      </c>
      <c r="M19" s="27"/>
      <c r="N19" s="27"/>
      <c r="O19" s="27"/>
      <c r="P19" s="27"/>
      <c r="Q19" s="27"/>
      <c r="R19" s="27"/>
      <c r="S19" s="27"/>
      <c r="T19" s="27">
        <v>4</v>
      </c>
      <c r="U19" s="27">
        <v>4</v>
      </c>
      <c r="V19" s="27"/>
      <c r="W19" s="27"/>
      <c r="X19" s="27">
        <v>16</v>
      </c>
      <c r="Y19" s="27"/>
      <c r="Z19" s="27"/>
      <c r="AA19" s="27"/>
      <c r="AB19" s="27"/>
      <c r="AC19" s="27"/>
      <c r="AD19" s="27"/>
      <c r="AE19" s="9"/>
      <c r="AF19" s="10" t="s">
        <v>24</v>
      </c>
      <c r="AG19" s="27"/>
      <c r="AH19" s="27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1"/>
      <c r="AZ19" s="9"/>
      <c r="BC19" s="1">
        <v>4</v>
      </c>
      <c r="BF19" s="1">
        <v>2</v>
      </c>
      <c r="BJ19" s="26"/>
      <c r="BK19" s="10" t="s">
        <v>51</v>
      </c>
      <c r="BM19" s="26"/>
      <c r="BR19" s="1">
        <v>4</v>
      </c>
      <c r="BS19" s="1">
        <v>2</v>
      </c>
      <c r="BW19" s="10" t="s">
        <v>57</v>
      </c>
      <c r="BX19" s="12"/>
      <c r="BY19" s="12"/>
      <c r="BZ19" s="12"/>
      <c r="CA19" s="12"/>
      <c r="CB19" s="12"/>
      <c r="CC19" s="16"/>
      <c r="CD19" s="3"/>
      <c r="CE19" s="12"/>
      <c r="CF19" s="12"/>
      <c r="CI19" s="12"/>
      <c r="CJ19" s="12"/>
      <c r="CK19" s="12"/>
    </row>
    <row r="20" spans="1:89" s="1" customFormat="1" ht="17" customHeight="1">
      <c r="A20" s="26">
        <v>19</v>
      </c>
      <c r="B20" s="26">
        <v>2022202478</v>
      </c>
      <c r="C20" s="26" t="s">
        <v>280</v>
      </c>
      <c r="D20" s="26" t="s">
        <v>245</v>
      </c>
      <c r="E20" s="15">
        <f>SUM(G20:$XEZ20)</f>
        <v>24</v>
      </c>
      <c r="F20" s="3">
        <f t="shared" si="0"/>
        <v>7</v>
      </c>
      <c r="G20" s="26"/>
      <c r="H20" s="26"/>
      <c r="I20" s="26"/>
      <c r="J20" s="26"/>
      <c r="K20" s="26"/>
      <c r="L20" s="26"/>
      <c r="M20" s="27"/>
      <c r="N20" s="27"/>
      <c r="O20" s="27"/>
      <c r="P20" s="27"/>
      <c r="Q20" s="27"/>
      <c r="R20" s="27"/>
      <c r="S20" s="27"/>
      <c r="T20" s="27">
        <v>4</v>
      </c>
      <c r="U20" s="27">
        <v>4</v>
      </c>
      <c r="V20" s="27">
        <v>2</v>
      </c>
      <c r="W20" s="27"/>
      <c r="X20" s="27"/>
      <c r="Y20" s="27"/>
      <c r="Z20" s="27"/>
      <c r="AA20" s="27"/>
      <c r="AB20" s="27"/>
      <c r="AC20" s="27"/>
      <c r="AD20" s="27">
        <v>4</v>
      </c>
      <c r="AE20" s="9"/>
      <c r="AF20" s="10" t="s">
        <v>24</v>
      </c>
      <c r="AG20" s="27"/>
      <c r="AH20" s="27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11"/>
      <c r="AZ20" s="9"/>
      <c r="BB20" s="1">
        <v>4</v>
      </c>
      <c r="BF20" s="1">
        <v>2</v>
      </c>
      <c r="BG20" s="1">
        <v>4</v>
      </c>
      <c r="BJ20" s="26"/>
      <c r="BK20" s="10" t="s">
        <v>51</v>
      </c>
      <c r="BM20" s="26"/>
      <c r="BW20" s="10" t="s">
        <v>57</v>
      </c>
      <c r="BX20" s="12"/>
      <c r="BY20" s="12"/>
      <c r="BZ20" s="12"/>
      <c r="CA20" s="12"/>
      <c r="CB20" s="12"/>
      <c r="CC20" s="16"/>
      <c r="CD20" s="3"/>
      <c r="CE20" s="12"/>
      <c r="CF20" s="12"/>
      <c r="CI20" s="12"/>
      <c r="CJ20" s="12"/>
      <c r="CK20" s="12"/>
    </row>
    <row r="21" spans="1:89" s="1" customFormat="1" ht="17" customHeight="1">
      <c r="A21" s="26">
        <v>20</v>
      </c>
      <c r="B21" s="26">
        <v>2022202479</v>
      </c>
      <c r="C21" s="26" t="s">
        <v>281</v>
      </c>
      <c r="D21" s="26" t="s">
        <v>245</v>
      </c>
      <c r="E21" s="15">
        <f>SUM(G21:$XEZ21)</f>
        <v>19</v>
      </c>
      <c r="F21" s="3">
        <f t="shared" si="0"/>
        <v>5</v>
      </c>
      <c r="G21" s="26"/>
      <c r="H21" s="26"/>
      <c r="I21" s="26"/>
      <c r="J21" s="26"/>
      <c r="K21" s="26"/>
      <c r="L21" s="26">
        <v>6</v>
      </c>
      <c r="M21" s="27"/>
      <c r="N21" s="27"/>
      <c r="O21" s="27"/>
      <c r="P21" s="27"/>
      <c r="Q21" s="27"/>
      <c r="R21" s="27"/>
      <c r="S21" s="27"/>
      <c r="T21" s="27">
        <v>4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9">
        <v>4</v>
      </c>
      <c r="AF21" s="10" t="s">
        <v>24</v>
      </c>
      <c r="AG21" s="27"/>
      <c r="AH21" s="27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11"/>
      <c r="AZ21" s="9"/>
      <c r="BJ21" s="26"/>
      <c r="BK21" s="10" t="s">
        <v>51</v>
      </c>
      <c r="BM21" s="26"/>
      <c r="BW21" s="10" t="s">
        <v>57</v>
      </c>
      <c r="BX21" s="12"/>
      <c r="BY21" s="12"/>
      <c r="BZ21" s="12"/>
      <c r="CA21" s="12"/>
      <c r="CB21" s="12"/>
      <c r="CC21" s="16"/>
      <c r="CD21" s="3"/>
      <c r="CE21" s="12"/>
      <c r="CF21" s="12"/>
      <c r="CG21" s="1">
        <v>4</v>
      </c>
      <c r="CI21" s="12">
        <v>1</v>
      </c>
      <c r="CJ21" s="12"/>
      <c r="CK21" s="12"/>
    </row>
    <row r="22" spans="1:89" s="1" customFormat="1" ht="17" customHeight="1">
      <c r="A22" s="26">
        <v>21</v>
      </c>
      <c r="B22" s="26">
        <v>2022202481</v>
      </c>
      <c r="C22" s="26" t="s">
        <v>282</v>
      </c>
      <c r="D22" s="26" t="s">
        <v>245</v>
      </c>
      <c r="E22" s="15">
        <f>SUM(G22:$XEZ22)</f>
        <v>20</v>
      </c>
      <c r="F22" s="3">
        <f t="shared" si="0"/>
        <v>2</v>
      </c>
      <c r="G22" s="26"/>
      <c r="H22" s="26"/>
      <c r="I22" s="26"/>
      <c r="J22" s="26"/>
      <c r="K22" s="26"/>
      <c r="L22" s="26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>
        <v>16</v>
      </c>
      <c r="Y22" s="27"/>
      <c r="Z22" s="27"/>
      <c r="AA22" s="27"/>
      <c r="AB22" s="27"/>
      <c r="AC22" s="27"/>
      <c r="AD22" s="27">
        <v>4</v>
      </c>
      <c r="AE22" s="9"/>
      <c r="AF22" s="10" t="s">
        <v>24</v>
      </c>
      <c r="AG22" s="27"/>
      <c r="AH22" s="27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11"/>
      <c r="AZ22" s="9"/>
      <c r="BJ22" s="26"/>
      <c r="BK22" s="10" t="s">
        <v>51</v>
      </c>
      <c r="BM22" s="26"/>
      <c r="BW22" s="10" t="s">
        <v>57</v>
      </c>
      <c r="BX22" s="12"/>
      <c r="BY22" s="12"/>
      <c r="BZ22" s="12"/>
      <c r="CA22" s="12"/>
      <c r="CB22" s="12"/>
      <c r="CC22" s="16"/>
      <c r="CD22" s="3"/>
      <c r="CE22" s="12"/>
      <c r="CF22" s="12"/>
      <c r="CI22" s="12"/>
      <c r="CJ22" s="12"/>
      <c r="CK22" s="12"/>
    </row>
    <row r="23" spans="1:89" s="1" customFormat="1" ht="17" customHeight="1">
      <c r="A23" s="26">
        <v>22</v>
      </c>
      <c r="B23" s="26">
        <v>2022202491</v>
      </c>
      <c r="C23" s="26" t="s">
        <v>283</v>
      </c>
      <c r="D23" s="26" t="s">
        <v>245</v>
      </c>
      <c r="E23" s="15">
        <f>SUM(G23:$XEZ23)</f>
        <v>25</v>
      </c>
      <c r="F23" s="3">
        <f t="shared" si="0"/>
        <v>4</v>
      </c>
      <c r="G23" s="26"/>
      <c r="H23" s="26"/>
      <c r="I23" s="26"/>
      <c r="J23" s="26"/>
      <c r="K23" s="26"/>
      <c r="L23" s="26"/>
      <c r="M23" s="27"/>
      <c r="N23" s="27"/>
      <c r="O23" s="27"/>
      <c r="P23" s="27"/>
      <c r="Q23" s="27"/>
      <c r="R23" s="27"/>
      <c r="S23" s="27"/>
      <c r="T23" s="27">
        <v>4</v>
      </c>
      <c r="U23" s="27"/>
      <c r="V23" s="27"/>
      <c r="W23" s="27"/>
      <c r="X23" s="27">
        <v>16</v>
      </c>
      <c r="Y23" s="27"/>
      <c r="Z23" s="27"/>
      <c r="AA23" s="27"/>
      <c r="AB23" s="27"/>
      <c r="AC23" s="27"/>
      <c r="AD23" s="27"/>
      <c r="AE23" s="9"/>
      <c r="AF23" s="10" t="s">
        <v>24</v>
      </c>
      <c r="AG23" s="27"/>
      <c r="AH23" s="27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11"/>
      <c r="AZ23" s="9"/>
      <c r="BJ23" s="26"/>
      <c r="BK23" s="10" t="s">
        <v>51</v>
      </c>
      <c r="BM23" s="26"/>
      <c r="BW23" s="10" t="s">
        <v>57</v>
      </c>
      <c r="BX23" s="12"/>
      <c r="BY23" s="12"/>
      <c r="BZ23" s="12"/>
      <c r="CA23" s="12"/>
      <c r="CB23" s="12"/>
      <c r="CC23" s="16"/>
      <c r="CD23" s="3"/>
      <c r="CE23" s="12"/>
      <c r="CF23" s="12"/>
      <c r="CG23" s="1">
        <v>4</v>
      </c>
      <c r="CI23" s="12">
        <v>1</v>
      </c>
      <c r="CJ23" s="12"/>
      <c r="CK23" s="12"/>
    </row>
    <row r="24" spans="1:89" s="1" customFormat="1" ht="17" customHeight="1">
      <c r="A24" s="26">
        <v>23</v>
      </c>
      <c r="B24" s="26">
        <v>2022202492</v>
      </c>
      <c r="C24" s="26" t="s">
        <v>284</v>
      </c>
      <c r="D24" s="26" t="s">
        <v>245</v>
      </c>
      <c r="E24" s="15">
        <f>SUM(G24:$XEZ24)</f>
        <v>27</v>
      </c>
      <c r="F24" s="3">
        <f t="shared" si="0"/>
        <v>6</v>
      </c>
      <c r="G24" s="26">
        <v>7</v>
      </c>
      <c r="H24" s="26"/>
      <c r="I24" s="26"/>
      <c r="J24" s="26"/>
      <c r="K24" s="26"/>
      <c r="L24" s="26"/>
      <c r="M24" s="27"/>
      <c r="N24" s="27"/>
      <c r="O24" s="27"/>
      <c r="P24" s="27"/>
      <c r="Q24" s="27"/>
      <c r="R24" s="27"/>
      <c r="S24" s="27"/>
      <c r="T24" s="27">
        <v>4</v>
      </c>
      <c r="U24" s="27"/>
      <c r="V24" s="27">
        <v>4</v>
      </c>
      <c r="W24" s="27"/>
      <c r="X24" s="27"/>
      <c r="Y24" s="27"/>
      <c r="Z24" s="27"/>
      <c r="AA24" s="27"/>
      <c r="AB24" s="27"/>
      <c r="AC24" s="27"/>
      <c r="AD24" s="27"/>
      <c r="AE24" s="9"/>
      <c r="AF24" s="10" t="s">
        <v>24</v>
      </c>
      <c r="AG24" s="27"/>
      <c r="AH24" s="27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11"/>
      <c r="AZ24" s="9"/>
      <c r="BB24" s="1">
        <v>4</v>
      </c>
      <c r="BJ24" s="26">
        <v>4</v>
      </c>
      <c r="BK24" s="10" t="s">
        <v>51</v>
      </c>
      <c r="BM24" s="26"/>
      <c r="BS24" s="1">
        <v>4</v>
      </c>
      <c r="BW24" s="10" t="s">
        <v>57</v>
      </c>
      <c r="BX24" s="12"/>
      <c r="BY24" s="12"/>
      <c r="BZ24" s="12"/>
      <c r="CA24" s="12"/>
      <c r="CB24" s="12"/>
      <c r="CC24" s="16"/>
      <c r="CD24" s="3"/>
      <c r="CE24" s="12"/>
      <c r="CF24" s="12"/>
      <c r="CI24" s="12"/>
      <c r="CJ24" s="12"/>
      <c r="CK24" s="12"/>
    </row>
    <row r="25" spans="1:89" s="1" customFormat="1" ht="17" customHeight="1">
      <c r="A25" s="26">
        <v>24</v>
      </c>
      <c r="B25" s="26">
        <v>2022202362</v>
      </c>
      <c r="C25" s="26" t="s">
        <v>285</v>
      </c>
      <c r="D25" s="26" t="s">
        <v>245</v>
      </c>
      <c r="E25" s="15">
        <f>SUM(G25:$XEZ25)</f>
        <v>10</v>
      </c>
      <c r="F25" s="3">
        <f t="shared" si="0"/>
        <v>3</v>
      </c>
      <c r="G25" s="26"/>
      <c r="H25" s="26"/>
      <c r="I25" s="26"/>
      <c r="J25" s="26"/>
      <c r="K25" s="26"/>
      <c r="L25" s="26"/>
      <c r="M25" s="27"/>
      <c r="N25" s="27"/>
      <c r="O25" s="27"/>
      <c r="P25" s="27"/>
      <c r="Q25" s="27"/>
      <c r="R25" s="27"/>
      <c r="S25" s="27"/>
      <c r="T25" s="27">
        <v>4</v>
      </c>
      <c r="U25" s="27">
        <v>4</v>
      </c>
      <c r="V25" s="27">
        <v>2</v>
      </c>
      <c r="W25" s="27"/>
      <c r="X25" s="27"/>
      <c r="Y25" s="27"/>
      <c r="Z25" s="27"/>
      <c r="AA25" s="27"/>
      <c r="AB25" s="27"/>
      <c r="AC25" s="27"/>
      <c r="AD25" s="27"/>
      <c r="AE25" s="9"/>
      <c r="AF25" s="10" t="s">
        <v>24</v>
      </c>
      <c r="AG25" s="27"/>
      <c r="AH25" s="27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11"/>
      <c r="AZ25" s="9"/>
      <c r="BJ25" s="26"/>
      <c r="BK25" s="10" t="s">
        <v>51</v>
      </c>
      <c r="BM25" s="26"/>
      <c r="BW25" s="10" t="s">
        <v>57</v>
      </c>
      <c r="BX25" s="12"/>
      <c r="BY25" s="12"/>
      <c r="BZ25" s="12"/>
      <c r="CA25" s="12"/>
      <c r="CB25" s="12"/>
      <c r="CC25" s="16"/>
      <c r="CD25" s="3"/>
      <c r="CE25" s="12"/>
      <c r="CF25" s="12"/>
      <c r="CI25" s="12"/>
      <c r="CJ25" s="12"/>
      <c r="CK25" s="12"/>
    </row>
    <row r="26" spans="1:89" s="1" customFormat="1" ht="17" customHeight="1">
      <c r="A26" s="26">
        <v>25</v>
      </c>
      <c r="B26" s="26">
        <v>2022202373</v>
      </c>
      <c r="C26" s="26" t="s">
        <v>286</v>
      </c>
      <c r="D26" s="26" t="s">
        <v>245</v>
      </c>
      <c r="E26" s="15">
        <f>SUM(G26:$XEZ26)</f>
        <v>64.5</v>
      </c>
      <c r="F26" s="3">
        <f t="shared" si="0"/>
        <v>9</v>
      </c>
      <c r="G26" s="26"/>
      <c r="H26" s="26"/>
      <c r="I26" s="26"/>
      <c r="J26" s="26"/>
      <c r="K26" s="26"/>
      <c r="L26" s="26"/>
      <c r="M26" s="27"/>
      <c r="N26" s="27"/>
      <c r="O26" s="27"/>
      <c r="P26" s="27"/>
      <c r="Q26" s="27">
        <v>8</v>
      </c>
      <c r="R26" s="27"/>
      <c r="S26" s="27"/>
      <c r="T26" s="27">
        <v>4</v>
      </c>
      <c r="U26" s="27">
        <v>4</v>
      </c>
      <c r="V26" s="27"/>
      <c r="W26" s="27"/>
      <c r="X26" s="27"/>
      <c r="Y26" s="27"/>
      <c r="Z26" s="27"/>
      <c r="AA26" s="27">
        <v>16</v>
      </c>
      <c r="AB26" s="27"/>
      <c r="AC26" s="27"/>
      <c r="AD26" s="27"/>
      <c r="AE26" s="9"/>
      <c r="AF26" s="10" t="s">
        <v>24</v>
      </c>
      <c r="AG26" s="27"/>
      <c r="AH26" s="27"/>
      <c r="AI26" s="9">
        <v>0.5</v>
      </c>
      <c r="AJ26" s="9"/>
      <c r="AK26" s="9"/>
      <c r="AL26" s="9"/>
      <c r="AM26" s="9"/>
      <c r="AN26" s="9"/>
      <c r="AO26" s="9"/>
      <c r="AP26" s="9">
        <v>20</v>
      </c>
      <c r="AQ26" s="9"/>
      <c r="AR26" s="9"/>
      <c r="AS26" s="9"/>
      <c r="AT26" s="9"/>
      <c r="AU26" s="9"/>
      <c r="AV26" s="9"/>
      <c r="AW26" s="9"/>
      <c r="AX26" s="9"/>
      <c r="AY26" s="11"/>
      <c r="AZ26" s="9"/>
      <c r="BG26" s="1">
        <v>4</v>
      </c>
      <c r="BJ26" s="26"/>
      <c r="BK26" s="10" t="s">
        <v>51</v>
      </c>
      <c r="BM26" s="26">
        <v>4</v>
      </c>
      <c r="BR26" s="1">
        <v>4</v>
      </c>
      <c r="BW26" s="10" t="s">
        <v>57</v>
      </c>
      <c r="BX26" s="12"/>
      <c r="BY26" s="12"/>
      <c r="BZ26" s="12"/>
      <c r="CA26" s="12"/>
      <c r="CB26" s="12"/>
      <c r="CC26" s="16"/>
      <c r="CD26" s="3"/>
      <c r="CE26" s="12"/>
      <c r="CF26" s="12"/>
      <c r="CI26" s="12"/>
      <c r="CJ26" s="12"/>
      <c r="CK26" s="12"/>
    </row>
    <row r="27" spans="1:89" s="1" customFormat="1" ht="17" customHeight="1">
      <c r="A27" s="26">
        <v>26</v>
      </c>
      <c r="B27" s="26">
        <v>2022202377</v>
      </c>
      <c r="C27" s="26" t="s">
        <v>287</v>
      </c>
      <c r="D27" s="26" t="s">
        <v>245</v>
      </c>
      <c r="E27" s="15">
        <f>SUM(G27:$XEZ27)</f>
        <v>67.5</v>
      </c>
      <c r="F27" s="3">
        <f t="shared" si="0"/>
        <v>11</v>
      </c>
      <c r="G27" s="26"/>
      <c r="H27" s="26"/>
      <c r="I27" s="26"/>
      <c r="J27" s="26"/>
      <c r="K27" s="26"/>
      <c r="L27" s="26"/>
      <c r="M27" s="27">
        <v>8</v>
      </c>
      <c r="N27" s="27"/>
      <c r="O27" s="27">
        <v>3</v>
      </c>
      <c r="P27" s="27">
        <v>8</v>
      </c>
      <c r="Q27" s="27"/>
      <c r="R27" s="27"/>
      <c r="S27" s="27"/>
      <c r="T27" s="27">
        <v>4</v>
      </c>
      <c r="U27" s="27">
        <v>4</v>
      </c>
      <c r="V27" s="27"/>
      <c r="W27" s="27"/>
      <c r="X27" s="27"/>
      <c r="Y27" s="27"/>
      <c r="Z27" s="27"/>
      <c r="AA27" s="27"/>
      <c r="AB27" s="27"/>
      <c r="AC27" s="27"/>
      <c r="AD27" s="27"/>
      <c r="AE27" s="9"/>
      <c r="AF27" s="10" t="s">
        <v>24</v>
      </c>
      <c r="AG27" s="27">
        <v>10</v>
      </c>
      <c r="AH27" s="27"/>
      <c r="AI27" s="9"/>
      <c r="AJ27" s="9"/>
      <c r="AK27" s="9"/>
      <c r="AL27" s="9">
        <v>2</v>
      </c>
      <c r="AM27" s="9">
        <v>3</v>
      </c>
      <c r="AN27" s="9"/>
      <c r="AO27" s="9"/>
      <c r="AP27" s="9"/>
      <c r="AQ27" s="9"/>
      <c r="AR27" s="9"/>
      <c r="AS27" s="9"/>
      <c r="AT27" s="9"/>
      <c r="AU27" s="9"/>
      <c r="AV27" s="9">
        <v>1</v>
      </c>
      <c r="AW27" s="9"/>
      <c r="AX27" s="9"/>
      <c r="AY27" s="11"/>
      <c r="AZ27" s="9"/>
      <c r="BH27" s="1">
        <v>16.5</v>
      </c>
      <c r="BJ27" s="26"/>
      <c r="BK27" s="10" t="s">
        <v>51</v>
      </c>
      <c r="BM27" s="26"/>
      <c r="BW27" s="10" t="s">
        <v>57</v>
      </c>
      <c r="BX27" s="12"/>
      <c r="BY27" s="12"/>
      <c r="BZ27" s="12"/>
      <c r="CA27" s="12"/>
      <c r="CB27" s="12"/>
      <c r="CC27" s="16"/>
      <c r="CD27" s="3"/>
      <c r="CE27" s="12"/>
      <c r="CF27" s="12"/>
      <c r="CI27" s="12"/>
      <c r="CJ27" s="12"/>
      <c r="CK27" s="12">
        <v>8</v>
      </c>
    </row>
    <row r="28" spans="1:89" s="1" customFormat="1" ht="17" customHeight="1">
      <c r="A28" s="26">
        <v>27</v>
      </c>
      <c r="B28" s="26">
        <v>2022202380</v>
      </c>
      <c r="C28" s="26" t="s">
        <v>288</v>
      </c>
      <c r="D28" s="26" t="s">
        <v>245</v>
      </c>
      <c r="E28" s="15">
        <f>SUM(G28:$XEZ28)</f>
        <v>34</v>
      </c>
      <c r="F28" s="3">
        <f t="shared" si="0"/>
        <v>5</v>
      </c>
      <c r="G28" s="26"/>
      <c r="H28" s="26"/>
      <c r="I28" s="26"/>
      <c r="J28" s="26"/>
      <c r="K28" s="26"/>
      <c r="L28" s="26"/>
      <c r="M28" s="27"/>
      <c r="N28" s="27">
        <v>4</v>
      </c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9"/>
      <c r="AF28" s="10" t="s">
        <v>24</v>
      </c>
      <c r="AG28" s="27">
        <v>9</v>
      </c>
      <c r="AH28" s="27"/>
      <c r="AI28" s="9"/>
      <c r="AJ28" s="9"/>
      <c r="AK28" s="9"/>
      <c r="AL28" s="9"/>
      <c r="AM28" s="9"/>
      <c r="AN28" s="9"/>
      <c r="AO28" s="9">
        <v>4</v>
      </c>
      <c r="AP28" s="9"/>
      <c r="AQ28" s="9"/>
      <c r="AR28" s="9"/>
      <c r="AS28" s="9"/>
      <c r="AT28" s="9"/>
      <c r="AU28" s="9"/>
      <c r="AV28" s="9"/>
      <c r="AW28" s="9">
        <v>12</v>
      </c>
      <c r="AX28" s="9"/>
      <c r="AY28" s="11"/>
      <c r="AZ28" s="9"/>
      <c r="BJ28" s="26"/>
      <c r="BK28" s="10" t="s">
        <v>51</v>
      </c>
      <c r="BM28" s="26"/>
      <c r="BW28" s="10" t="s">
        <v>57</v>
      </c>
      <c r="BX28" s="12"/>
      <c r="BY28" s="12"/>
      <c r="BZ28" s="12"/>
      <c r="CA28" s="12"/>
      <c r="CB28" s="12"/>
      <c r="CC28" s="16"/>
      <c r="CD28" s="3"/>
      <c r="CE28" s="12"/>
      <c r="CF28" s="12"/>
      <c r="CI28" s="12"/>
      <c r="CJ28" s="12">
        <v>5</v>
      </c>
      <c r="CK28" s="12"/>
    </row>
    <row r="29" spans="1:89" s="1" customFormat="1" ht="17" customHeight="1">
      <c r="A29" s="26">
        <v>28</v>
      </c>
      <c r="B29" s="26">
        <v>2022202384</v>
      </c>
      <c r="C29" s="26" t="s">
        <v>289</v>
      </c>
      <c r="D29" s="26" t="s">
        <v>245</v>
      </c>
      <c r="E29" s="15">
        <f>SUM(G29:$XEZ29)</f>
        <v>75</v>
      </c>
      <c r="F29" s="3">
        <f t="shared" si="0"/>
        <v>11</v>
      </c>
      <c r="G29" s="26"/>
      <c r="H29" s="26"/>
      <c r="I29" s="26"/>
      <c r="J29" s="26"/>
      <c r="K29" s="26"/>
      <c r="L29" s="26"/>
      <c r="M29" s="27"/>
      <c r="N29" s="27">
        <v>4</v>
      </c>
      <c r="O29" s="27"/>
      <c r="P29" s="27"/>
      <c r="Q29" s="27">
        <v>8</v>
      </c>
      <c r="R29" s="27"/>
      <c r="S29" s="27"/>
      <c r="T29" s="27">
        <v>4</v>
      </c>
      <c r="U29" s="27"/>
      <c r="V29" s="27">
        <v>2</v>
      </c>
      <c r="W29" s="27">
        <v>6</v>
      </c>
      <c r="X29" s="27"/>
      <c r="Y29" s="27"/>
      <c r="Z29" s="27"/>
      <c r="AA29" s="27"/>
      <c r="AB29" s="27"/>
      <c r="AC29" s="27"/>
      <c r="AD29" s="27">
        <v>4</v>
      </c>
      <c r="AE29" s="9"/>
      <c r="AF29" s="10" t="s">
        <v>24</v>
      </c>
      <c r="AG29" s="27"/>
      <c r="AH29" s="27"/>
      <c r="AI29" s="9"/>
      <c r="AJ29" s="9">
        <v>27</v>
      </c>
      <c r="AK29" s="9"/>
      <c r="AL29" s="9">
        <v>2</v>
      </c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>
        <v>12</v>
      </c>
      <c r="AX29" s="9"/>
      <c r="AY29" s="11"/>
      <c r="AZ29" s="9"/>
      <c r="BC29" s="1">
        <v>4</v>
      </c>
      <c r="BF29" s="1">
        <v>2</v>
      </c>
      <c r="BJ29" s="26"/>
      <c r="BK29" s="10" t="s">
        <v>51</v>
      </c>
      <c r="BM29" s="26"/>
      <c r="BW29" s="10" t="s">
        <v>57</v>
      </c>
      <c r="BX29" s="12"/>
      <c r="BY29" s="12"/>
      <c r="BZ29" s="12"/>
      <c r="CA29" s="12"/>
      <c r="CB29" s="12"/>
      <c r="CC29" s="16"/>
      <c r="CD29" s="3"/>
      <c r="CE29" s="12"/>
      <c r="CF29" s="12"/>
      <c r="CI29" s="12"/>
      <c r="CJ29" s="12"/>
      <c r="CK29" s="12"/>
    </row>
    <row r="30" spans="1:89" s="1" customFormat="1" ht="17" customHeight="1">
      <c r="A30" s="26">
        <v>29</v>
      </c>
      <c r="B30" s="26">
        <v>2022202385</v>
      </c>
      <c r="C30" s="26" t="s">
        <v>290</v>
      </c>
      <c r="D30" s="26" t="s">
        <v>245</v>
      </c>
      <c r="E30" s="15">
        <f>SUM(G30:$XEZ30)</f>
        <v>48</v>
      </c>
      <c r="F30" s="3">
        <f t="shared" si="0"/>
        <v>5</v>
      </c>
      <c r="G30" s="26"/>
      <c r="H30" s="26"/>
      <c r="I30" s="26"/>
      <c r="J30" s="26"/>
      <c r="K30" s="26"/>
      <c r="L30" s="26"/>
      <c r="M30" s="27"/>
      <c r="N30" s="27"/>
      <c r="O30" s="27"/>
      <c r="P30" s="27"/>
      <c r="Q30" s="27">
        <v>8</v>
      </c>
      <c r="R30" s="27"/>
      <c r="S30" s="27"/>
      <c r="T30" s="27">
        <v>4</v>
      </c>
      <c r="U30" s="27">
        <v>4</v>
      </c>
      <c r="V30" s="27"/>
      <c r="W30" s="27"/>
      <c r="X30" s="27"/>
      <c r="Y30" s="27"/>
      <c r="Z30" s="27"/>
      <c r="AA30" s="27"/>
      <c r="AB30" s="27"/>
      <c r="AC30" s="27">
        <v>16</v>
      </c>
      <c r="AD30" s="27"/>
      <c r="AE30" s="9"/>
      <c r="AF30" s="10" t="s">
        <v>24</v>
      </c>
      <c r="AG30" s="27"/>
      <c r="AH30" s="27"/>
      <c r="AI30" s="9"/>
      <c r="AJ30" s="9"/>
      <c r="AK30" s="9"/>
      <c r="AL30" s="9"/>
      <c r="AM30" s="9"/>
      <c r="AN30" s="9">
        <v>16</v>
      </c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11"/>
      <c r="AZ30" s="9"/>
      <c r="BJ30" s="26"/>
      <c r="BK30" s="10" t="s">
        <v>51</v>
      </c>
      <c r="BM30" s="26"/>
      <c r="BW30" s="10" t="s">
        <v>57</v>
      </c>
      <c r="BX30" s="12"/>
      <c r="BY30" s="12"/>
      <c r="BZ30" s="12"/>
      <c r="CA30" s="12"/>
      <c r="CB30" s="12"/>
      <c r="CC30" s="16"/>
      <c r="CD30" s="3"/>
      <c r="CE30" s="12"/>
      <c r="CF30" s="12"/>
      <c r="CI30" s="12"/>
      <c r="CJ30" s="12"/>
      <c r="CK30" s="12"/>
    </row>
    <row r="31" spans="1:89" s="1" customFormat="1" ht="17" customHeight="1">
      <c r="A31" s="26">
        <v>30</v>
      </c>
      <c r="B31" s="26">
        <v>2022202386</v>
      </c>
      <c r="C31" s="26" t="s">
        <v>291</v>
      </c>
      <c r="D31" s="26" t="s">
        <v>245</v>
      </c>
      <c r="E31" s="15">
        <f>SUM(G31:$XEZ31)</f>
        <v>17</v>
      </c>
      <c r="F31" s="3">
        <f t="shared" si="0"/>
        <v>4</v>
      </c>
      <c r="G31" s="26"/>
      <c r="H31" s="26"/>
      <c r="I31" s="26"/>
      <c r="J31" s="26"/>
      <c r="K31" s="26"/>
      <c r="L31" s="26"/>
      <c r="M31" s="27"/>
      <c r="N31" s="27"/>
      <c r="O31" s="27"/>
      <c r="P31" s="27">
        <v>7</v>
      </c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9"/>
      <c r="AF31" s="10" t="s">
        <v>24</v>
      </c>
      <c r="AG31" s="27"/>
      <c r="AH31" s="27"/>
      <c r="AI31" s="9"/>
      <c r="AJ31" s="9"/>
      <c r="AK31" s="9"/>
      <c r="AL31" s="9"/>
      <c r="AM31" s="9"/>
      <c r="AN31" s="9"/>
      <c r="AO31" s="9">
        <v>4</v>
      </c>
      <c r="AP31" s="9"/>
      <c r="AQ31" s="9"/>
      <c r="AR31" s="9"/>
      <c r="AS31" s="9"/>
      <c r="AT31" s="9"/>
      <c r="AU31" s="9"/>
      <c r="AV31" s="9"/>
      <c r="AW31" s="9"/>
      <c r="AX31" s="9"/>
      <c r="AY31" s="11"/>
      <c r="AZ31" s="9"/>
      <c r="BC31" s="1">
        <v>4</v>
      </c>
      <c r="BJ31" s="26"/>
      <c r="BK31" s="10" t="s">
        <v>51</v>
      </c>
      <c r="BM31" s="26"/>
      <c r="BW31" s="10" t="s">
        <v>57</v>
      </c>
      <c r="BX31" s="12"/>
      <c r="BY31" s="12"/>
      <c r="BZ31" s="12"/>
      <c r="CA31" s="12"/>
      <c r="CB31" s="12"/>
      <c r="CC31" s="16"/>
      <c r="CD31" s="3"/>
      <c r="CE31" s="12"/>
      <c r="CF31" s="12"/>
      <c r="CI31" s="12"/>
      <c r="CJ31" s="12"/>
      <c r="CK31" s="12">
        <v>2</v>
      </c>
    </row>
    <row r="32" spans="1:89" s="1" customFormat="1" ht="17" customHeight="1">
      <c r="A32" s="26">
        <v>31</v>
      </c>
      <c r="B32" s="26">
        <v>2022202396</v>
      </c>
      <c r="C32" s="26" t="s">
        <v>292</v>
      </c>
      <c r="D32" s="26" t="s">
        <v>245</v>
      </c>
      <c r="E32" s="15">
        <f>SUM(G32:$XEZ32)</f>
        <v>48</v>
      </c>
      <c r="F32" s="3">
        <f t="shared" si="0"/>
        <v>8</v>
      </c>
      <c r="G32" s="26"/>
      <c r="H32" s="26"/>
      <c r="I32" s="26"/>
      <c r="J32" s="26"/>
      <c r="K32" s="26"/>
      <c r="L32" s="26"/>
      <c r="M32" s="27"/>
      <c r="N32" s="27">
        <v>4</v>
      </c>
      <c r="O32" s="27"/>
      <c r="P32" s="27"/>
      <c r="Q32" s="27"/>
      <c r="R32" s="27"/>
      <c r="S32" s="27"/>
      <c r="T32" s="27"/>
      <c r="U32" s="27"/>
      <c r="V32" s="27"/>
      <c r="W32" s="27"/>
      <c r="X32" s="27">
        <v>8</v>
      </c>
      <c r="Y32" s="27"/>
      <c r="Z32" s="27"/>
      <c r="AA32" s="27"/>
      <c r="AB32" s="27"/>
      <c r="AC32" s="27"/>
      <c r="AD32" s="27">
        <v>4</v>
      </c>
      <c r="AE32" s="9"/>
      <c r="AF32" s="10" t="s">
        <v>24</v>
      </c>
      <c r="AG32" s="27">
        <v>6</v>
      </c>
      <c r="AH32" s="27"/>
      <c r="AI32" s="9"/>
      <c r="AJ32" s="9">
        <v>12</v>
      </c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>
        <v>12</v>
      </c>
      <c r="AX32" s="9"/>
      <c r="AY32" s="11"/>
      <c r="AZ32" s="9"/>
      <c r="BJ32" s="26"/>
      <c r="BK32" s="10" t="s">
        <v>51</v>
      </c>
      <c r="BM32" s="26"/>
      <c r="BW32" s="10" t="s">
        <v>57</v>
      </c>
      <c r="BX32" s="12"/>
      <c r="BY32" s="12"/>
      <c r="BZ32" s="12"/>
      <c r="CA32" s="12"/>
      <c r="CB32" s="12"/>
      <c r="CC32" s="16"/>
      <c r="CD32" s="3"/>
      <c r="CE32" s="12">
        <v>1.5</v>
      </c>
      <c r="CF32" s="12"/>
      <c r="CH32" s="1">
        <v>0.5</v>
      </c>
      <c r="CI32" s="12"/>
      <c r="CJ32" s="12"/>
      <c r="CK32" s="12"/>
    </row>
    <row r="33" spans="1:89" s="1" customFormat="1" ht="17" customHeight="1">
      <c r="A33" s="26">
        <v>32</v>
      </c>
      <c r="B33" s="26">
        <v>2022202406</v>
      </c>
      <c r="C33" s="26" t="s">
        <v>293</v>
      </c>
      <c r="D33" s="26" t="s">
        <v>245</v>
      </c>
      <c r="E33" s="15">
        <f>SUM(G33:$XEZ33)</f>
        <v>74</v>
      </c>
      <c r="F33" s="3">
        <f t="shared" si="0"/>
        <v>9</v>
      </c>
      <c r="G33" s="26"/>
      <c r="H33" s="26"/>
      <c r="I33" s="26"/>
      <c r="J33" s="26"/>
      <c r="K33" s="26">
        <v>8</v>
      </c>
      <c r="L33" s="26"/>
      <c r="M33" s="27">
        <v>6</v>
      </c>
      <c r="N33" s="27"/>
      <c r="O33" s="27"/>
      <c r="P33" s="27"/>
      <c r="Q33" s="27"/>
      <c r="R33" s="27"/>
      <c r="S33" s="27"/>
      <c r="T33" s="27">
        <v>4</v>
      </c>
      <c r="U33" s="27"/>
      <c r="V33" s="27"/>
      <c r="W33" s="27"/>
      <c r="X33" s="27">
        <v>8</v>
      </c>
      <c r="Y33" s="27"/>
      <c r="Z33" s="27"/>
      <c r="AA33" s="27"/>
      <c r="AB33" s="27"/>
      <c r="AC33" s="27"/>
      <c r="AD33" s="27"/>
      <c r="AE33" s="9"/>
      <c r="AF33" s="10" t="s">
        <v>24</v>
      </c>
      <c r="AG33" s="27"/>
      <c r="AH33" s="27"/>
      <c r="AI33" s="9"/>
      <c r="AJ33" s="9">
        <v>27</v>
      </c>
      <c r="AK33" s="9"/>
      <c r="AL33" s="9">
        <v>2</v>
      </c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>
        <v>12</v>
      </c>
      <c r="AX33" s="9"/>
      <c r="AY33" s="11">
        <v>3</v>
      </c>
      <c r="AZ33" s="9"/>
      <c r="BC33" s="1">
        <v>4</v>
      </c>
      <c r="BJ33" s="26"/>
      <c r="BK33" s="10" t="s">
        <v>51</v>
      </c>
      <c r="BM33" s="26"/>
      <c r="BW33" s="10" t="s">
        <v>57</v>
      </c>
      <c r="BX33" s="12"/>
      <c r="BY33" s="12"/>
      <c r="BZ33" s="12"/>
      <c r="CA33" s="12"/>
      <c r="CB33" s="12"/>
      <c r="CC33" s="16"/>
      <c r="CD33" s="3"/>
      <c r="CE33" s="12"/>
      <c r="CF33" s="12"/>
      <c r="CI33" s="12"/>
      <c r="CJ33" s="12"/>
      <c r="CK33" s="12"/>
    </row>
    <row r="34" spans="1:89" s="1" customFormat="1" ht="17" customHeight="1">
      <c r="A34" s="26">
        <v>33</v>
      </c>
      <c r="B34" s="26">
        <v>2022202415</v>
      </c>
      <c r="C34" s="26" t="s">
        <v>294</v>
      </c>
      <c r="D34" s="26" t="s">
        <v>245</v>
      </c>
      <c r="E34" s="15">
        <f>SUM(G34:$XEZ34)</f>
        <v>34</v>
      </c>
      <c r="F34" s="3">
        <f t="shared" ref="F34:F65" si="1">COUNT(G34:FB34)</f>
        <v>4</v>
      </c>
      <c r="G34" s="26"/>
      <c r="H34" s="26"/>
      <c r="I34" s="26"/>
      <c r="J34" s="26"/>
      <c r="K34" s="26"/>
      <c r="L34" s="26"/>
      <c r="M34" s="27">
        <v>6</v>
      </c>
      <c r="N34" s="27"/>
      <c r="O34" s="27"/>
      <c r="P34" s="27"/>
      <c r="Q34" s="27"/>
      <c r="R34" s="27"/>
      <c r="S34" s="27"/>
      <c r="T34" s="27">
        <v>4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9"/>
      <c r="AF34" s="10" t="s">
        <v>24</v>
      </c>
      <c r="AG34" s="27">
        <v>12</v>
      </c>
      <c r="AH34" s="27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>
        <v>12</v>
      </c>
      <c r="AX34" s="9"/>
      <c r="AY34" s="11"/>
      <c r="AZ34" s="9"/>
      <c r="BJ34" s="26"/>
      <c r="BK34" s="10" t="s">
        <v>51</v>
      </c>
      <c r="BM34" s="26"/>
      <c r="BW34" s="10" t="s">
        <v>57</v>
      </c>
      <c r="BX34" s="12"/>
      <c r="BY34" s="12"/>
      <c r="BZ34" s="12"/>
      <c r="CA34" s="12"/>
      <c r="CB34" s="12"/>
      <c r="CC34" s="16"/>
      <c r="CD34" s="3"/>
      <c r="CE34" s="12"/>
      <c r="CF34" s="12"/>
      <c r="CI34" s="12"/>
      <c r="CJ34" s="12"/>
      <c r="CK34" s="12"/>
    </row>
    <row r="35" spans="1:89" s="1" customFormat="1" ht="17" customHeight="1">
      <c r="A35" s="26">
        <v>34</v>
      </c>
      <c r="B35" s="26">
        <v>2022202417</v>
      </c>
      <c r="C35" s="26" t="s">
        <v>295</v>
      </c>
      <c r="D35" s="26" t="s">
        <v>245</v>
      </c>
      <c r="E35" s="15">
        <f>SUM(G35:$XEZ35)</f>
        <v>27</v>
      </c>
      <c r="F35" s="3">
        <f t="shared" si="1"/>
        <v>7</v>
      </c>
      <c r="G35" s="26"/>
      <c r="H35" s="26"/>
      <c r="I35" s="26"/>
      <c r="J35" s="26"/>
      <c r="K35" s="26"/>
      <c r="L35" s="26"/>
      <c r="M35" s="27"/>
      <c r="N35" s="27"/>
      <c r="O35" s="27"/>
      <c r="P35" s="27"/>
      <c r="Q35" s="27"/>
      <c r="R35" s="27"/>
      <c r="S35" s="27"/>
      <c r="T35" s="27">
        <v>4</v>
      </c>
      <c r="U35" s="27">
        <v>4</v>
      </c>
      <c r="V35" s="27">
        <v>2</v>
      </c>
      <c r="W35" s="27"/>
      <c r="X35" s="27"/>
      <c r="Y35" s="27"/>
      <c r="Z35" s="27"/>
      <c r="AA35" s="27"/>
      <c r="AB35" s="27"/>
      <c r="AC35" s="27"/>
      <c r="AD35" s="27"/>
      <c r="AE35" s="9">
        <v>4</v>
      </c>
      <c r="AF35" s="10" t="s">
        <v>24</v>
      </c>
      <c r="AG35" s="27"/>
      <c r="AH35" s="27"/>
      <c r="AI35" s="9"/>
      <c r="AJ35" s="9"/>
      <c r="AK35" s="9"/>
      <c r="AL35" s="9"/>
      <c r="AM35" s="9"/>
      <c r="AN35" s="9"/>
      <c r="AO35" s="9">
        <v>5</v>
      </c>
      <c r="AP35" s="9"/>
      <c r="AQ35" s="9"/>
      <c r="AR35" s="9"/>
      <c r="AS35" s="9"/>
      <c r="AT35" s="9"/>
      <c r="AU35" s="9"/>
      <c r="AV35" s="9"/>
      <c r="AW35" s="9"/>
      <c r="AX35" s="9"/>
      <c r="AY35" s="11"/>
      <c r="AZ35" s="9"/>
      <c r="BF35" s="1">
        <v>4</v>
      </c>
      <c r="BJ35" s="26"/>
      <c r="BK35" s="10" t="s">
        <v>51</v>
      </c>
      <c r="BM35" s="26"/>
      <c r="BS35" s="1">
        <v>4</v>
      </c>
      <c r="BW35" s="10" t="s">
        <v>57</v>
      </c>
      <c r="BX35" s="12"/>
      <c r="BY35" s="12"/>
      <c r="BZ35" s="12"/>
      <c r="CA35" s="12"/>
      <c r="CB35" s="12"/>
      <c r="CC35" s="16"/>
      <c r="CD35" s="3"/>
      <c r="CE35" s="12"/>
      <c r="CF35" s="12"/>
      <c r="CI35" s="12"/>
      <c r="CJ35" s="12"/>
      <c r="CK35" s="12"/>
    </row>
    <row r="36" spans="1:89" s="1" customFormat="1" ht="17" customHeight="1">
      <c r="A36" s="26">
        <v>35</v>
      </c>
      <c r="B36" s="26">
        <v>2022202428</v>
      </c>
      <c r="C36" s="26" t="s">
        <v>296</v>
      </c>
      <c r="D36" s="26" t="s">
        <v>245</v>
      </c>
      <c r="E36" s="15">
        <f>SUM(G36:$XEZ36)</f>
        <v>20</v>
      </c>
      <c r="F36" s="3">
        <f t="shared" si="1"/>
        <v>4</v>
      </c>
      <c r="G36" s="26">
        <v>4</v>
      </c>
      <c r="H36" s="26"/>
      <c r="I36" s="26"/>
      <c r="J36" s="26"/>
      <c r="K36" s="26"/>
      <c r="L36" s="26"/>
      <c r="M36" s="27"/>
      <c r="N36" s="27"/>
      <c r="O36" s="27"/>
      <c r="P36" s="27">
        <v>7</v>
      </c>
      <c r="Q36" s="27"/>
      <c r="R36" s="27"/>
      <c r="S36" s="27"/>
      <c r="T36" s="27"/>
      <c r="U36" s="27">
        <v>4</v>
      </c>
      <c r="V36" s="27"/>
      <c r="W36" s="27"/>
      <c r="X36" s="27"/>
      <c r="Y36" s="27"/>
      <c r="Z36" s="27"/>
      <c r="AA36" s="27"/>
      <c r="AB36" s="27"/>
      <c r="AC36" s="27"/>
      <c r="AD36" s="27"/>
      <c r="AE36" s="9"/>
      <c r="AF36" s="10" t="s">
        <v>24</v>
      </c>
      <c r="AG36" s="27"/>
      <c r="AH36" s="27"/>
      <c r="AI36" s="9"/>
      <c r="AJ36" s="9"/>
      <c r="AK36" s="9"/>
      <c r="AL36" s="9"/>
      <c r="AM36" s="9"/>
      <c r="AN36" s="9"/>
      <c r="AO36" s="9">
        <v>5</v>
      </c>
      <c r="AP36" s="9"/>
      <c r="AQ36" s="9"/>
      <c r="AR36" s="9"/>
      <c r="AS36" s="9"/>
      <c r="AT36" s="9"/>
      <c r="AU36" s="9"/>
      <c r="AV36" s="9"/>
      <c r="AW36" s="9"/>
      <c r="AX36" s="9"/>
      <c r="AY36" s="11"/>
      <c r="AZ36" s="9"/>
      <c r="BJ36" s="26"/>
      <c r="BK36" s="10" t="s">
        <v>51</v>
      </c>
      <c r="BM36" s="26"/>
      <c r="BW36" s="10" t="s">
        <v>57</v>
      </c>
      <c r="BX36" s="12"/>
      <c r="BY36" s="12"/>
      <c r="BZ36" s="12"/>
      <c r="CA36" s="12"/>
      <c r="CB36" s="12"/>
      <c r="CC36" s="16"/>
      <c r="CD36" s="3"/>
      <c r="CE36" s="12"/>
      <c r="CF36" s="12"/>
      <c r="CI36" s="12"/>
      <c r="CJ36" s="12"/>
      <c r="CK36" s="12"/>
    </row>
    <row r="37" spans="1:89" s="1" customFormat="1" ht="17" customHeight="1">
      <c r="A37" s="26">
        <v>36</v>
      </c>
      <c r="B37" s="26">
        <v>2022202429</v>
      </c>
      <c r="C37" s="26" t="s">
        <v>297</v>
      </c>
      <c r="D37" s="26" t="s">
        <v>245</v>
      </c>
      <c r="E37" s="15">
        <f>SUM(G37:$XEZ37)</f>
        <v>54</v>
      </c>
      <c r="F37" s="3">
        <f t="shared" si="1"/>
        <v>8</v>
      </c>
      <c r="G37" s="26">
        <v>14</v>
      </c>
      <c r="H37" s="26"/>
      <c r="I37" s="26"/>
      <c r="J37" s="26"/>
      <c r="K37" s="26"/>
      <c r="L37" s="26"/>
      <c r="M37" s="27"/>
      <c r="N37" s="27"/>
      <c r="O37" s="27"/>
      <c r="P37" s="27"/>
      <c r="Q37" s="27"/>
      <c r="R37" s="27"/>
      <c r="S37" s="27"/>
      <c r="T37" s="27">
        <v>4</v>
      </c>
      <c r="U37" s="27">
        <v>4</v>
      </c>
      <c r="V37" s="27">
        <v>2</v>
      </c>
      <c r="W37" s="27"/>
      <c r="X37" s="27">
        <v>8</v>
      </c>
      <c r="Y37" s="27"/>
      <c r="Z37" s="27"/>
      <c r="AA37" s="27"/>
      <c r="AB37" s="27"/>
      <c r="AC37" s="27"/>
      <c r="AD37" s="27"/>
      <c r="AE37" s="9"/>
      <c r="AF37" s="10" t="s">
        <v>24</v>
      </c>
      <c r="AG37" s="27"/>
      <c r="AH37" s="27"/>
      <c r="AI37" s="9"/>
      <c r="AJ37" s="9"/>
      <c r="AK37" s="9">
        <v>18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11"/>
      <c r="AZ37" s="9"/>
      <c r="BF37" s="1">
        <v>2</v>
      </c>
      <c r="BJ37" s="26"/>
      <c r="BK37" s="10" t="s">
        <v>51</v>
      </c>
      <c r="BM37" s="26"/>
      <c r="BS37" s="1">
        <v>2</v>
      </c>
      <c r="BW37" s="10" t="s">
        <v>57</v>
      </c>
      <c r="BX37" s="12"/>
      <c r="BY37" s="12"/>
      <c r="BZ37" s="12"/>
      <c r="CA37" s="12"/>
      <c r="CB37" s="12"/>
      <c r="CC37" s="16"/>
      <c r="CD37" s="3"/>
      <c r="CE37" s="12"/>
      <c r="CF37" s="12"/>
      <c r="CI37" s="12"/>
      <c r="CJ37" s="12"/>
      <c r="CK37" s="12"/>
    </row>
    <row r="38" spans="1:89" s="1" customFormat="1" ht="17" customHeight="1">
      <c r="A38" s="26">
        <v>37</v>
      </c>
      <c r="B38" s="26">
        <v>2022202430</v>
      </c>
      <c r="C38" s="26" t="s">
        <v>298</v>
      </c>
      <c r="D38" s="26" t="s">
        <v>245</v>
      </c>
      <c r="E38" s="15">
        <f>SUM(G38:$XEZ38)</f>
        <v>39</v>
      </c>
      <c r="F38" s="3">
        <f t="shared" si="1"/>
        <v>9</v>
      </c>
      <c r="G38" s="26"/>
      <c r="H38" s="26"/>
      <c r="I38" s="26"/>
      <c r="J38" s="26"/>
      <c r="K38" s="26"/>
      <c r="L38" s="26"/>
      <c r="M38" s="27"/>
      <c r="N38" s="27"/>
      <c r="O38" s="27"/>
      <c r="P38" s="27"/>
      <c r="Q38" s="27"/>
      <c r="R38" s="27"/>
      <c r="S38" s="27"/>
      <c r="T38" s="27">
        <v>4</v>
      </c>
      <c r="U38" s="27"/>
      <c r="V38" s="27">
        <v>2</v>
      </c>
      <c r="W38" s="27"/>
      <c r="X38" s="27">
        <v>8</v>
      </c>
      <c r="Y38" s="27"/>
      <c r="Z38" s="27"/>
      <c r="AA38" s="27"/>
      <c r="AB38" s="27"/>
      <c r="AC38" s="27"/>
      <c r="AD38" s="27"/>
      <c r="AE38" s="9"/>
      <c r="AF38" s="10" t="s">
        <v>24</v>
      </c>
      <c r="AG38" s="27"/>
      <c r="AH38" s="27"/>
      <c r="AI38" s="9"/>
      <c r="AJ38" s="9"/>
      <c r="AK38" s="9"/>
      <c r="AL38" s="9">
        <v>2</v>
      </c>
      <c r="AM38" s="9"/>
      <c r="AN38" s="9"/>
      <c r="AO38" s="9">
        <v>4</v>
      </c>
      <c r="AP38" s="9"/>
      <c r="AQ38" s="9"/>
      <c r="AR38" s="9"/>
      <c r="AS38" s="9"/>
      <c r="AT38" s="9"/>
      <c r="AU38" s="9"/>
      <c r="AV38" s="9"/>
      <c r="AW38" s="9"/>
      <c r="AX38" s="9"/>
      <c r="AY38" s="11"/>
      <c r="AZ38" s="9"/>
      <c r="BF38" s="1">
        <v>4</v>
      </c>
      <c r="BJ38" s="26"/>
      <c r="BK38" s="10" t="s">
        <v>51</v>
      </c>
      <c r="BM38" s="26"/>
      <c r="BS38" s="1">
        <v>4</v>
      </c>
      <c r="BW38" s="10" t="s">
        <v>57</v>
      </c>
      <c r="BX38" s="12"/>
      <c r="BY38" s="12"/>
      <c r="BZ38" s="12"/>
      <c r="CA38" s="12"/>
      <c r="CB38" s="12">
        <v>5</v>
      </c>
      <c r="CC38" s="16"/>
      <c r="CD38" s="3"/>
      <c r="CE38" s="12"/>
      <c r="CF38" s="12">
        <v>6</v>
      </c>
      <c r="CI38" s="12"/>
      <c r="CJ38" s="12"/>
      <c r="CK38" s="12"/>
    </row>
    <row r="39" spans="1:89" s="1" customFormat="1" ht="17" customHeight="1">
      <c r="A39" s="26">
        <v>38</v>
      </c>
      <c r="B39" s="26">
        <v>2022202447</v>
      </c>
      <c r="C39" s="26" t="s">
        <v>299</v>
      </c>
      <c r="D39" s="26" t="s">
        <v>245</v>
      </c>
      <c r="E39" s="15">
        <f>SUM(G39:$XEZ39)</f>
        <v>148</v>
      </c>
      <c r="F39" s="3">
        <f t="shared" si="1"/>
        <v>9</v>
      </c>
      <c r="G39" s="26">
        <v>30</v>
      </c>
      <c r="H39" s="26"/>
      <c r="I39" s="26"/>
      <c r="J39" s="26"/>
      <c r="K39" s="26"/>
      <c r="L39" s="26"/>
      <c r="M39" s="27"/>
      <c r="N39" s="27"/>
      <c r="O39" s="27"/>
      <c r="P39" s="27"/>
      <c r="Q39" s="27"/>
      <c r="R39" s="27">
        <v>6</v>
      </c>
      <c r="S39" s="27"/>
      <c r="T39" s="27">
        <v>4</v>
      </c>
      <c r="U39" s="27"/>
      <c r="V39" s="27"/>
      <c r="W39" s="27"/>
      <c r="X39" s="27"/>
      <c r="Y39" s="27"/>
      <c r="Z39" s="27"/>
      <c r="AA39" s="27"/>
      <c r="AB39" s="27"/>
      <c r="AC39" s="27"/>
      <c r="AD39" s="27">
        <v>4</v>
      </c>
      <c r="AE39" s="9"/>
      <c r="AF39" s="10" t="s">
        <v>24</v>
      </c>
      <c r="AG39" s="27"/>
      <c r="AH39" s="27"/>
      <c r="AI39" s="9"/>
      <c r="AJ39" s="9">
        <v>30</v>
      </c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>
        <v>4</v>
      </c>
      <c r="AV39" s="9"/>
      <c r="AW39" s="9"/>
      <c r="AX39" s="9"/>
      <c r="AY39" s="11"/>
      <c r="AZ39" s="9"/>
      <c r="BJ39" s="26"/>
      <c r="BK39" s="10" t="s">
        <v>51</v>
      </c>
      <c r="BM39" s="26"/>
      <c r="BO39" s="1">
        <v>70</v>
      </c>
      <c r="BP39" s="1">
        <v>0</v>
      </c>
      <c r="BQ39" s="1">
        <v>0</v>
      </c>
      <c r="BW39" s="10" t="s">
        <v>57</v>
      </c>
      <c r="BX39" s="12"/>
      <c r="BY39" s="12"/>
      <c r="BZ39" s="12"/>
      <c r="CA39" s="12"/>
      <c r="CB39" s="12"/>
      <c r="CC39" s="16"/>
      <c r="CD39" s="3"/>
      <c r="CE39" s="12"/>
      <c r="CF39" s="12"/>
      <c r="CI39" s="12"/>
      <c r="CJ39" s="12"/>
      <c r="CK39" s="12"/>
    </row>
    <row r="40" spans="1:89" s="1" customFormat="1" ht="17" customHeight="1">
      <c r="A40" s="26">
        <v>39</v>
      </c>
      <c r="B40" s="26">
        <v>2022202456</v>
      </c>
      <c r="C40" s="26" t="s">
        <v>300</v>
      </c>
      <c r="D40" s="26" t="s">
        <v>245</v>
      </c>
      <c r="E40" s="15">
        <f>SUM(G40:$XEZ40)</f>
        <v>137.5</v>
      </c>
      <c r="F40" s="3">
        <f t="shared" si="1"/>
        <v>11</v>
      </c>
      <c r="G40" s="26"/>
      <c r="H40" s="26"/>
      <c r="I40" s="26"/>
      <c r="J40" s="26"/>
      <c r="K40" s="26"/>
      <c r="L40" s="26"/>
      <c r="M40" s="27"/>
      <c r="N40" s="27"/>
      <c r="O40" s="27"/>
      <c r="P40" s="27"/>
      <c r="Q40" s="27"/>
      <c r="R40" s="27"/>
      <c r="S40" s="27"/>
      <c r="T40" s="27"/>
      <c r="U40" s="27">
        <v>4</v>
      </c>
      <c r="V40" s="27"/>
      <c r="W40" s="27"/>
      <c r="X40" s="27">
        <v>8</v>
      </c>
      <c r="Y40" s="27"/>
      <c r="Z40" s="27"/>
      <c r="AA40" s="27"/>
      <c r="AB40" s="27"/>
      <c r="AC40" s="27"/>
      <c r="AD40" s="27"/>
      <c r="AE40" s="9"/>
      <c r="AF40" s="10" t="s">
        <v>24</v>
      </c>
      <c r="AG40" s="27"/>
      <c r="AH40" s="27">
        <v>11</v>
      </c>
      <c r="AI40" s="9"/>
      <c r="AJ40" s="9">
        <v>19</v>
      </c>
      <c r="AK40" s="9"/>
      <c r="AL40" s="9"/>
      <c r="AM40" s="9">
        <v>18.5</v>
      </c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11"/>
      <c r="AZ40" s="9"/>
      <c r="BE40" s="1">
        <v>3</v>
      </c>
      <c r="BJ40" s="26"/>
      <c r="BK40" s="10" t="s">
        <v>51</v>
      </c>
      <c r="BM40" s="26"/>
      <c r="BW40" s="10" t="s">
        <v>57</v>
      </c>
      <c r="BX40" s="12">
        <v>70</v>
      </c>
      <c r="BY40" s="12">
        <v>0</v>
      </c>
      <c r="BZ40" s="12">
        <v>0</v>
      </c>
      <c r="CA40" s="12">
        <v>0</v>
      </c>
      <c r="CB40" s="12"/>
      <c r="CC40" s="16"/>
      <c r="CD40" s="3"/>
      <c r="CE40" s="12"/>
      <c r="CF40" s="12"/>
      <c r="CI40" s="12"/>
      <c r="CJ40" s="12"/>
      <c r="CK40" s="12">
        <v>4</v>
      </c>
    </row>
    <row r="41" spans="1:89" s="1" customFormat="1" ht="17" customHeight="1">
      <c r="A41" s="26">
        <v>40</v>
      </c>
      <c r="B41" s="26">
        <v>2022202462</v>
      </c>
      <c r="C41" s="26" t="s">
        <v>301</v>
      </c>
      <c r="D41" s="26" t="s">
        <v>245</v>
      </c>
      <c r="E41" s="15">
        <f>SUM(G41:$XEZ41)</f>
        <v>54.5</v>
      </c>
      <c r="F41" s="3">
        <f t="shared" si="1"/>
        <v>12</v>
      </c>
      <c r="G41" s="26">
        <v>6</v>
      </c>
      <c r="H41" s="26"/>
      <c r="I41" s="26"/>
      <c r="J41" s="26"/>
      <c r="K41" s="26"/>
      <c r="L41" s="26">
        <v>6</v>
      </c>
      <c r="M41" s="27">
        <v>6</v>
      </c>
      <c r="N41" s="27"/>
      <c r="O41" s="27"/>
      <c r="P41" s="27">
        <v>4</v>
      </c>
      <c r="Q41" s="27"/>
      <c r="R41" s="27"/>
      <c r="S41" s="27"/>
      <c r="T41" s="27">
        <v>4</v>
      </c>
      <c r="U41" s="27">
        <v>4</v>
      </c>
      <c r="V41" s="27"/>
      <c r="W41" s="27"/>
      <c r="X41" s="27">
        <v>8</v>
      </c>
      <c r="Y41" s="27"/>
      <c r="Z41" s="27"/>
      <c r="AA41" s="27"/>
      <c r="AB41" s="27"/>
      <c r="AC41" s="27"/>
      <c r="AD41" s="27"/>
      <c r="AE41" s="9"/>
      <c r="AF41" s="10" t="s">
        <v>24</v>
      </c>
      <c r="AG41" s="27"/>
      <c r="AH41" s="27"/>
      <c r="AI41" s="9">
        <v>0.5</v>
      </c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11"/>
      <c r="AZ41" s="9"/>
      <c r="BF41" s="1">
        <v>4</v>
      </c>
      <c r="BJ41" s="26"/>
      <c r="BK41" s="10" t="s">
        <v>51</v>
      </c>
      <c r="BM41" s="26">
        <v>4</v>
      </c>
      <c r="BS41" s="1">
        <v>4</v>
      </c>
      <c r="BW41" s="10" t="s">
        <v>57</v>
      </c>
      <c r="BX41" s="12"/>
      <c r="BY41" s="12"/>
      <c r="BZ41" s="12"/>
      <c r="CA41" s="12"/>
      <c r="CB41" s="12"/>
      <c r="CC41" s="16"/>
      <c r="CD41" s="3"/>
      <c r="CE41" s="12"/>
      <c r="CF41" s="12"/>
      <c r="CG41" s="1">
        <v>4</v>
      </c>
      <c r="CI41" s="12"/>
      <c r="CJ41" s="12"/>
      <c r="CK41" s="12"/>
    </row>
    <row r="42" spans="1:89" s="1" customFormat="1" ht="17" customHeight="1">
      <c r="A42" s="26">
        <v>41</v>
      </c>
      <c r="B42" s="26">
        <v>2022202470</v>
      </c>
      <c r="C42" s="26" t="s">
        <v>302</v>
      </c>
      <c r="D42" s="26" t="s">
        <v>245</v>
      </c>
      <c r="E42" s="15">
        <f>SUM(G42:$XEZ42)</f>
        <v>65.5</v>
      </c>
      <c r="F42" s="3">
        <f t="shared" si="1"/>
        <v>6</v>
      </c>
      <c r="G42" s="26"/>
      <c r="H42" s="26"/>
      <c r="I42" s="26"/>
      <c r="J42" s="26"/>
      <c r="K42" s="26"/>
      <c r="L42" s="26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>
        <v>16</v>
      </c>
      <c r="Y42" s="27"/>
      <c r="Z42" s="27"/>
      <c r="AA42" s="27"/>
      <c r="AB42" s="27"/>
      <c r="AC42" s="27"/>
      <c r="AD42" s="27"/>
      <c r="AE42" s="9"/>
      <c r="AF42" s="10" t="s">
        <v>24</v>
      </c>
      <c r="AG42" s="27"/>
      <c r="AH42" s="27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11"/>
      <c r="AZ42" s="9"/>
      <c r="BJ42" s="26"/>
      <c r="BK42" s="10" t="s">
        <v>51</v>
      </c>
      <c r="BM42" s="26"/>
      <c r="BW42" s="10" t="s">
        <v>57</v>
      </c>
      <c r="BX42" s="12">
        <v>40</v>
      </c>
      <c r="BY42" s="12">
        <v>0</v>
      </c>
      <c r="BZ42" s="12"/>
      <c r="CA42" s="12"/>
      <c r="CB42" s="12">
        <v>5</v>
      </c>
      <c r="CC42" s="16">
        <v>4</v>
      </c>
      <c r="CD42" s="3"/>
      <c r="CE42" s="12"/>
      <c r="CF42" s="12"/>
      <c r="CH42" s="1">
        <v>0.5</v>
      </c>
      <c r="CI42" s="12"/>
      <c r="CJ42" s="12"/>
      <c r="CK42" s="12"/>
    </row>
    <row r="43" spans="1:89" s="1" customFormat="1" ht="17" customHeight="1">
      <c r="A43" s="26">
        <v>42</v>
      </c>
      <c r="B43" s="26">
        <v>2022202480</v>
      </c>
      <c r="C43" s="26" t="s">
        <v>303</v>
      </c>
      <c r="D43" s="26" t="s">
        <v>245</v>
      </c>
      <c r="E43" s="15">
        <f>SUM(G43:$XEZ43)</f>
        <v>146</v>
      </c>
      <c r="F43" s="3">
        <f t="shared" si="1"/>
        <v>6</v>
      </c>
      <c r="G43" s="26">
        <v>74</v>
      </c>
      <c r="H43" s="26"/>
      <c r="I43" s="26"/>
      <c r="J43" s="26"/>
      <c r="K43" s="26"/>
      <c r="L43" s="26"/>
      <c r="M43" s="27"/>
      <c r="N43" s="27"/>
      <c r="O43" s="27"/>
      <c r="P43" s="27">
        <v>6</v>
      </c>
      <c r="Q43" s="27"/>
      <c r="R43" s="27"/>
      <c r="S43" s="27"/>
      <c r="T43" s="27">
        <v>4</v>
      </c>
      <c r="U43" s="27"/>
      <c r="V43" s="27"/>
      <c r="W43" s="27"/>
      <c r="X43" s="27">
        <v>8</v>
      </c>
      <c r="Y43" s="27"/>
      <c r="Z43" s="27"/>
      <c r="AA43" s="27"/>
      <c r="AB43" s="27"/>
      <c r="AC43" s="27"/>
      <c r="AD43" s="27"/>
      <c r="AE43" s="9"/>
      <c r="AF43" s="10" t="s">
        <v>24</v>
      </c>
      <c r="AG43" s="27"/>
      <c r="AH43" s="27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11"/>
      <c r="AZ43" s="9"/>
      <c r="BJ43" s="26">
        <v>30</v>
      </c>
      <c r="BK43" s="10" t="s">
        <v>51</v>
      </c>
      <c r="BM43" s="26">
        <v>24</v>
      </c>
      <c r="BW43" s="10" t="s">
        <v>57</v>
      </c>
      <c r="BX43" s="12"/>
      <c r="BY43" s="12"/>
      <c r="BZ43" s="12"/>
      <c r="CA43" s="12"/>
      <c r="CB43" s="12"/>
      <c r="CC43" s="16"/>
      <c r="CD43" s="3"/>
      <c r="CE43" s="12"/>
      <c r="CF43" s="12"/>
      <c r="CI43" s="12"/>
      <c r="CJ43" s="12"/>
      <c r="CK43" s="12"/>
    </row>
    <row r="44" spans="1:89" s="1" customFormat="1" ht="17" customHeight="1">
      <c r="A44" s="26">
        <v>43</v>
      </c>
      <c r="B44" s="26">
        <v>2022202497</v>
      </c>
      <c r="C44" s="26" t="s">
        <v>304</v>
      </c>
      <c r="D44" s="26" t="s">
        <v>245</v>
      </c>
      <c r="E44" s="15">
        <f>SUM(G44:$XEZ44)</f>
        <v>28</v>
      </c>
      <c r="F44" s="3">
        <f t="shared" si="1"/>
        <v>5</v>
      </c>
      <c r="G44" s="26"/>
      <c r="H44" s="26"/>
      <c r="I44" s="26"/>
      <c r="J44" s="26">
        <v>6</v>
      </c>
      <c r="K44" s="26"/>
      <c r="L44" s="26"/>
      <c r="M44" s="27">
        <v>6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9"/>
      <c r="AF44" s="10" t="s">
        <v>24</v>
      </c>
      <c r="AG44" s="27"/>
      <c r="AH44" s="27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11"/>
      <c r="AZ44" s="9"/>
      <c r="BA44" s="1">
        <v>8</v>
      </c>
      <c r="BJ44" s="26"/>
      <c r="BK44" s="10" t="s">
        <v>51</v>
      </c>
      <c r="BM44" s="26"/>
      <c r="BW44" s="10" t="s">
        <v>57</v>
      </c>
      <c r="BX44" s="12"/>
      <c r="BY44" s="12"/>
      <c r="BZ44" s="12"/>
      <c r="CA44" s="12"/>
      <c r="CB44" s="12"/>
      <c r="CC44" s="16"/>
      <c r="CD44" s="3"/>
      <c r="CE44" s="12"/>
      <c r="CF44" s="12"/>
      <c r="CI44" s="12">
        <v>3</v>
      </c>
      <c r="CJ44" s="12">
        <v>5</v>
      </c>
      <c r="CK44" s="12"/>
    </row>
    <row r="45" spans="1:89" s="1" customFormat="1" ht="17" customHeight="1">
      <c r="A45" s="26">
        <v>44</v>
      </c>
      <c r="B45" s="26">
        <v>2022202498</v>
      </c>
      <c r="C45" s="26" t="s">
        <v>305</v>
      </c>
      <c r="D45" s="26" t="s">
        <v>245</v>
      </c>
      <c r="E45" s="15">
        <f>SUM(G45:$XEZ45)</f>
        <v>127</v>
      </c>
      <c r="F45" s="3">
        <f t="shared" si="1"/>
        <v>12</v>
      </c>
      <c r="G45" s="26">
        <v>50</v>
      </c>
      <c r="H45" s="26"/>
      <c r="I45" s="26"/>
      <c r="J45" s="26"/>
      <c r="K45" s="26"/>
      <c r="L45" s="26"/>
      <c r="M45" s="27"/>
      <c r="N45" s="27"/>
      <c r="O45" s="27"/>
      <c r="P45" s="27"/>
      <c r="Q45" s="27"/>
      <c r="R45" s="27"/>
      <c r="S45" s="27"/>
      <c r="T45" s="27">
        <v>4</v>
      </c>
      <c r="U45" s="27"/>
      <c r="V45" s="27">
        <v>2</v>
      </c>
      <c r="W45" s="27"/>
      <c r="X45" s="27"/>
      <c r="Y45" s="27"/>
      <c r="Z45" s="27"/>
      <c r="AA45" s="27"/>
      <c r="AB45" s="27"/>
      <c r="AC45" s="27"/>
      <c r="AD45" s="27"/>
      <c r="AE45" s="9"/>
      <c r="AF45" s="10" t="s">
        <v>24</v>
      </c>
      <c r="AG45" s="27">
        <v>6</v>
      </c>
      <c r="AH45" s="27">
        <v>11</v>
      </c>
      <c r="AI45" s="9"/>
      <c r="AJ45" s="9">
        <v>25</v>
      </c>
      <c r="AK45" s="9">
        <v>8</v>
      </c>
      <c r="AL45" s="9"/>
      <c r="AM45" s="9"/>
      <c r="AN45" s="9"/>
      <c r="AO45" s="9"/>
      <c r="AP45" s="9"/>
      <c r="AQ45" s="9"/>
      <c r="AR45" s="9">
        <v>4</v>
      </c>
      <c r="AS45" s="9"/>
      <c r="AT45" s="9"/>
      <c r="AU45" s="9"/>
      <c r="AV45" s="9">
        <v>5</v>
      </c>
      <c r="AW45" s="9"/>
      <c r="AX45" s="9"/>
      <c r="AY45" s="11"/>
      <c r="AZ45" s="9"/>
      <c r="BF45" s="1">
        <v>2</v>
      </c>
      <c r="BJ45" s="26"/>
      <c r="BK45" s="10" t="s">
        <v>51</v>
      </c>
      <c r="BM45" s="3">
        <v>10</v>
      </c>
      <c r="BN45" s="1">
        <v>0</v>
      </c>
      <c r="BW45" s="10" t="s">
        <v>57</v>
      </c>
      <c r="BX45" s="12"/>
      <c r="BY45" s="12"/>
      <c r="BZ45" s="12"/>
      <c r="CA45" s="12"/>
      <c r="CB45" s="12"/>
      <c r="CC45" s="16"/>
      <c r="CD45" s="3"/>
      <c r="CE45" s="12"/>
      <c r="CF45" s="12"/>
      <c r="CI45" s="12"/>
      <c r="CJ45" s="12"/>
      <c r="CK45" s="12"/>
    </row>
    <row r="46" spans="1:89" s="1" customFormat="1" ht="17" customHeight="1">
      <c r="A46" s="26">
        <v>45</v>
      </c>
      <c r="B46" s="26">
        <v>2022202866</v>
      </c>
      <c r="C46" s="26" t="s">
        <v>306</v>
      </c>
      <c r="D46" s="26" t="s">
        <v>245</v>
      </c>
      <c r="E46" s="15">
        <f>SUM(G46:$XEZ46)</f>
        <v>77</v>
      </c>
      <c r="F46" s="3">
        <f t="shared" si="1"/>
        <v>12</v>
      </c>
      <c r="G46" s="26">
        <v>5</v>
      </c>
      <c r="H46" s="26"/>
      <c r="I46" s="26"/>
      <c r="J46" s="26">
        <v>6</v>
      </c>
      <c r="K46" s="26"/>
      <c r="L46" s="26">
        <v>6</v>
      </c>
      <c r="M46" s="27">
        <v>6</v>
      </c>
      <c r="N46" s="27"/>
      <c r="O46" s="27"/>
      <c r="P46" s="27"/>
      <c r="Q46" s="27"/>
      <c r="R46" s="27"/>
      <c r="S46" s="27"/>
      <c r="T46" s="27">
        <v>4</v>
      </c>
      <c r="U46" s="27">
        <v>4</v>
      </c>
      <c r="V46" s="27"/>
      <c r="W46" s="27"/>
      <c r="X46" s="27">
        <v>8</v>
      </c>
      <c r="Y46" s="27"/>
      <c r="Z46" s="27"/>
      <c r="AA46" s="27"/>
      <c r="AB46" s="27"/>
      <c r="AC46" s="27"/>
      <c r="AD46" s="27"/>
      <c r="AE46" s="9"/>
      <c r="AF46" s="10" t="s">
        <v>24</v>
      </c>
      <c r="AG46" s="27"/>
      <c r="AH46" s="27"/>
      <c r="AI46" s="9"/>
      <c r="AJ46" s="9">
        <v>27</v>
      </c>
      <c r="AK46" s="9"/>
      <c r="AL46" s="9"/>
      <c r="AM46" s="9"/>
      <c r="AN46" s="9"/>
      <c r="AO46" s="9"/>
      <c r="AP46" s="9"/>
      <c r="AQ46" s="9">
        <v>4</v>
      </c>
      <c r="AR46" s="9">
        <v>4</v>
      </c>
      <c r="AS46" s="9"/>
      <c r="AT46" s="9"/>
      <c r="AU46" s="9"/>
      <c r="AV46" s="9"/>
      <c r="AW46" s="9"/>
      <c r="AX46" s="9"/>
      <c r="AY46" s="11"/>
      <c r="AZ46" s="9"/>
      <c r="BJ46" s="26"/>
      <c r="BK46" s="10" t="s">
        <v>51</v>
      </c>
      <c r="BM46" s="26"/>
      <c r="BS46" s="1">
        <v>2</v>
      </c>
      <c r="BW46" s="10" t="s">
        <v>57</v>
      </c>
      <c r="BX46" s="12"/>
      <c r="BY46" s="12"/>
      <c r="BZ46" s="12"/>
      <c r="CA46" s="12"/>
      <c r="CB46" s="12"/>
      <c r="CC46" s="16"/>
      <c r="CD46" s="3"/>
      <c r="CE46" s="12"/>
      <c r="CF46" s="12"/>
      <c r="CI46" s="12">
        <v>1</v>
      </c>
      <c r="CJ46" s="12"/>
      <c r="CK46" s="12"/>
    </row>
    <row r="47" spans="1:89" s="1" customFormat="1" ht="17" customHeight="1">
      <c r="A47" s="26">
        <v>46</v>
      </c>
      <c r="B47" s="26">
        <v>2022202408</v>
      </c>
      <c r="C47" s="26" t="s">
        <v>307</v>
      </c>
      <c r="D47" s="26" t="s">
        <v>245</v>
      </c>
      <c r="E47" s="15">
        <f>SUM(G47:$XEZ47)</f>
        <v>32</v>
      </c>
      <c r="F47" s="3">
        <f t="shared" si="1"/>
        <v>2</v>
      </c>
      <c r="G47" s="26"/>
      <c r="H47" s="26"/>
      <c r="I47" s="26"/>
      <c r="J47" s="26"/>
      <c r="K47" s="26"/>
      <c r="L47" s="26"/>
      <c r="M47" s="27"/>
      <c r="N47" s="27"/>
      <c r="O47" s="27"/>
      <c r="P47" s="27"/>
      <c r="Q47" s="27"/>
      <c r="R47" s="27"/>
      <c r="S47" s="27"/>
      <c r="T47" s="27">
        <v>4</v>
      </c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9"/>
      <c r="AF47" s="10" t="s">
        <v>24</v>
      </c>
      <c r="AG47" s="27"/>
      <c r="AH47" s="27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11"/>
      <c r="AZ47" s="9"/>
      <c r="BJ47" s="26"/>
      <c r="BK47" s="10" t="s">
        <v>51</v>
      </c>
      <c r="BM47" s="26"/>
      <c r="BO47" s="1">
        <v>28</v>
      </c>
      <c r="BW47" s="10" t="s">
        <v>57</v>
      </c>
      <c r="BX47" s="12"/>
      <c r="BY47" s="12"/>
      <c r="BZ47" s="12"/>
      <c r="CA47" s="12"/>
      <c r="CB47" s="12"/>
      <c r="CC47" s="16"/>
      <c r="CD47" s="3"/>
      <c r="CE47" s="12"/>
      <c r="CF47" s="12"/>
      <c r="CI47" s="12"/>
      <c r="CJ47" s="12"/>
      <c r="CK47" s="12"/>
    </row>
    <row r="48" spans="1:89" s="1" customFormat="1" ht="17" customHeight="1">
      <c r="A48" s="26">
        <v>47</v>
      </c>
      <c r="B48" s="26">
        <v>2022202487</v>
      </c>
      <c r="C48" s="26" t="s">
        <v>308</v>
      </c>
      <c r="D48" s="26" t="s">
        <v>245</v>
      </c>
      <c r="E48" s="15">
        <f>SUM(G48:$XEZ48)</f>
        <v>191</v>
      </c>
      <c r="F48" s="3">
        <f t="shared" si="1"/>
        <v>15</v>
      </c>
      <c r="G48" s="26"/>
      <c r="H48" s="26">
        <v>6</v>
      </c>
      <c r="I48" s="26"/>
      <c r="J48" s="26">
        <v>6</v>
      </c>
      <c r="K48" s="26"/>
      <c r="L48" s="26">
        <v>6</v>
      </c>
      <c r="M48" s="27">
        <v>6</v>
      </c>
      <c r="N48" s="27">
        <v>4</v>
      </c>
      <c r="O48" s="27"/>
      <c r="P48" s="27">
        <v>4</v>
      </c>
      <c r="Q48" s="27"/>
      <c r="R48" s="27"/>
      <c r="S48" s="27">
        <v>100</v>
      </c>
      <c r="T48" s="27">
        <v>4</v>
      </c>
      <c r="U48" s="27">
        <v>4</v>
      </c>
      <c r="V48" s="27"/>
      <c r="W48" s="27">
        <v>21</v>
      </c>
      <c r="X48" s="27"/>
      <c r="Y48" s="27">
        <v>6</v>
      </c>
      <c r="Z48" s="27"/>
      <c r="AA48" s="27"/>
      <c r="AB48" s="27"/>
      <c r="AC48" s="27"/>
      <c r="AD48" s="27"/>
      <c r="AE48" s="9"/>
      <c r="AF48" s="10" t="s">
        <v>24</v>
      </c>
      <c r="AG48" s="27">
        <v>13</v>
      </c>
      <c r="AH48" s="27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>
        <v>4</v>
      </c>
      <c r="AW48" s="9"/>
      <c r="AX48" s="9"/>
      <c r="AY48" s="11"/>
      <c r="AZ48" s="9"/>
      <c r="BA48" s="1">
        <v>5</v>
      </c>
      <c r="BE48" s="1">
        <v>2</v>
      </c>
      <c r="BJ48" s="26"/>
      <c r="BK48" s="10" t="s">
        <v>51</v>
      </c>
      <c r="BM48" s="26"/>
      <c r="BW48" s="10" t="s">
        <v>57</v>
      </c>
      <c r="BX48" s="12"/>
      <c r="BY48" s="12"/>
      <c r="BZ48" s="12"/>
      <c r="CA48" s="12"/>
      <c r="CB48" s="12"/>
      <c r="CC48" s="16"/>
      <c r="CD48" s="3"/>
      <c r="CE48" s="12"/>
      <c r="CF48" s="12"/>
      <c r="CI48" s="12"/>
      <c r="CJ48" s="12"/>
      <c r="CK48" s="12"/>
    </row>
    <row r="49" spans="1:89" s="1" customFormat="1" ht="17" customHeight="1">
      <c r="A49" s="26">
        <v>48</v>
      </c>
      <c r="B49" s="26">
        <v>2022202393</v>
      </c>
      <c r="C49" s="26" t="s">
        <v>309</v>
      </c>
      <c r="D49" s="26" t="s">
        <v>245</v>
      </c>
      <c r="E49" s="15">
        <f>SUM(G49:$XEZ49)</f>
        <v>53</v>
      </c>
      <c r="F49" s="3">
        <f t="shared" si="1"/>
        <v>7</v>
      </c>
      <c r="G49" s="26"/>
      <c r="H49" s="26"/>
      <c r="I49" s="26"/>
      <c r="J49" s="26"/>
      <c r="K49" s="26"/>
      <c r="L49" s="26"/>
      <c r="M49" s="27"/>
      <c r="N49" s="27"/>
      <c r="O49" s="27"/>
      <c r="P49" s="27"/>
      <c r="Q49" s="27"/>
      <c r="R49" s="27"/>
      <c r="S49" s="27"/>
      <c r="T49" s="27">
        <v>4</v>
      </c>
      <c r="U49" s="27"/>
      <c r="V49" s="27">
        <v>2</v>
      </c>
      <c r="W49" s="27"/>
      <c r="X49" s="27"/>
      <c r="Y49" s="27"/>
      <c r="Z49" s="27">
        <v>8</v>
      </c>
      <c r="AA49" s="27"/>
      <c r="AB49" s="27"/>
      <c r="AC49" s="27"/>
      <c r="AD49" s="27">
        <v>4</v>
      </c>
      <c r="AE49" s="9"/>
      <c r="AF49" s="10" t="s">
        <v>24</v>
      </c>
      <c r="AG49" s="27"/>
      <c r="AH49" s="27"/>
      <c r="AI49" s="9"/>
      <c r="AJ49" s="9">
        <v>29</v>
      </c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11"/>
      <c r="AZ49" s="9"/>
      <c r="BA49" s="1">
        <v>4</v>
      </c>
      <c r="BF49" s="1">
        <v>2</v>
      </c>
      <c r="BJ49" s="26"/>
      <c r="BK49" s="10" t="s">
        <v>51</v>
      </c>
      <c r="BM49" s="26"/>
      <c r="BW49" s="10" t="s">
        <v>57</v>
      </c>
      <c r="BX49" s="12"/>
      <c r="BY49" s="12"/>
      <c r="BZ49" s="12"/>
      <c r="CA49" s="12"/>
      <c r="CB49" s="12"/>
      <c r="CC49" s="16"/>
      <c r="CD49" s="3"/>
      <c r="CE49" s="12"/>
      <c r="CF49" s="12"/>
      <c r="CI49" s="12"/>
      <c r="CJ49" s="12"/>
      <c r="CK49" s="12"/>
    </row>
    <row r="50" spans="1:89" s="1" customFormat="1" ht="17" customHeight="1">
      <c r="A50" s="26">
        <v>48</v>
      </c>
      <c r="B50" s="34" t="s">
        <v>310</v>
      </c>
      <c r="C50" s="34" t="s">
        <v>311</v>
      </c>
      <c r="D50" s="26" t="s">
        <v>245</v>
      </c>
      <c r="E50" s="15">
        <f>SUM(G50:$XEZ50)</f>
        <v>47</v>
      </c>
      <c r="F50" s="3">
        <f t="shared" si="1"/>
        <v>4</v>
      </c>
      <c r="G50" s="26"/>
      <c r="H50" s="26"/>
      <c r="I50" s="26"/>
      <c r="J50" s="26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9"/>
      <c r="AF50" s="10"/>
      <c r="AG50" s="27"/>
      <c r="AH50" s="27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11"/>
      <c r="AZ50" s="9"/>
      <c r="BJ50" s="26"/>
      <c r="BK50" s="10"/>
      <c r="BM50" s="26"/>
      <c r="BT50" s="1">
        <v>44</v>
      </c>
      <c r="BU50" s="1">
        <v>0</v>
      </c>
      <c r="BV50" s="1">
        <v>0</v>
      </c>
      <c r="BW50" s="10" t="s">
        <v>312</v>
      </c>
      <c r="BX50" s="12"/>
      <c r="BY50" s="12"/>
      <c r="BZ50" s="12"/>
      <c r="CA50" s="12"/>
      <c r="CB50" s="12"/>
      <c r="CC50" s="16"/>
      <c r="CD50" s="3"/>
      <c r="CE50" s="12"/>
      <c r="CF50" s="12"/>
      <c r="CI50" s="12"/>
      <c r="CJ50" s="12"/>
      <c r="CK50" s="12">
        <v>3</v>
      </c>
    </row>
    <row r="51" spans="1:89" s="1" customFormat="1" ht="17" customHeight="1">
      <c r="A51" s="26"/>
      <c r="B51" s="26"/>
      <c r="C51" s="26" t="s">
        <v>313</v>
      </c>
      <c r="D51" s="27"/>
      <c r="E51" s="27" t="s">
        <v>314</v>
      </c>
      <c r="F51" s="3">
        <f t="shared" si="1"/>
        <v>0</v>
      </c>
      <c r="G51" s="26"/>
      <c r="H51" s="26"/>
      <c r="I51" s="26"/>
      <c r="J51" s="26"/>
      <c r="K51" s="26"/>
      <c r="L51" s="26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9"/>
      <c r="AF51" s="10" t="s">
        <v>24</v>
      </c>
      <c r="AG51" s="27"/>
      <c r="AH51" s="27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11"/>
      <c r="AZ51" s="9"/>
      <c r="BJ51" s="26"/>
      <c r="BK51" s="10" t="s">
        <v>51</v>
      </c>
      <c r="BM51" s="26"/>
      <c r="BW51" s="10" t="s">
        <v>57</v>
      </c>
      <c r="BX51" s="12"/>
      <c r="BY51" s="12"/>
      <c r="BZ51" s="12"/>
      <c r="CA51" s="12"/>
      <c r="CB51" s="12"/>
      <c r="CC51" s="12"/>
      <c r="CD51" s="3"/>
      <c r="CE51" s="12"/>
      <c r="CF51" s="12"/>
      <c r="CI51" s="12"/>
      <c r="CJ51" s="12"/>
      <c r="CK51" s="12"/>
    </row>
  </sheetData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53"/>
  <sheetViews>
    <sheetView zoomScale="75" zoomScaleNormal="75" workbookViewId="0">
      <pane xSplit="6" ySplit="1" topLeftCell="CK7" activePane="bottomRight" state="frozen"/>
      <selection pane="topRight"/>
      <selection pane="bottomLeft"/>
      <selection pane="bottomRight" activeCell="CN1" sqref="CN1:CN1048576"/>
    </sheetView>
  </sheetViews>
  <sheetFormatPr baseColWidth="10" defaultColWidth="9.6640625" defaultRowHeight="17"/>
  <cols>
    <col min="1" max="1" width="8" style="22" customWidth="1"/>
    <col min="2" max="2" width="10.5" style="22" hidden="1" customWidth="1"/>
    <col min="3" max="3" width="8" style="22" customWidth="1"/>
    <col min="4" max="5" width="7.6640625" style="22" customWidth="1"/>
    <col min="6" max="6" width="9.6640625" style="22" customWidth="1"/>
    <col min="7" max="7" width="23.5" style="22" customWidth="1"/>
    <col min="8" max="8" width="20.5" style="22" customWidth="1"/>
    <col min="9" max="9" width="23.33203125" style="22" customWidth="1"/>
    <col min="10" max="10" width="26.33203125" style="22" customWidth="1"/>
    <col min="11" max="11" width="13.5" style="22" customWidth="1"/>
    <col min="12" max="12" width="17.83203125" style="22" customWidth="1"/>
    <col min="13" max="13" width="13.5" style="22" customWidth="1"/>
    <col min="14" max="14" width="11.6640625" style="22" customWidth="1"/>
    <col min="15" max="15" width="16.5" style="22" customWidth="1"/>
    <col min="16" max="16" width="10.5" style="22" customWidth="1"/>
    <col min="17" max="17" width="12.1640625" style="22" customWidth="1"/>
    <col min="18" max="18" width="5.83203125" style="22" customWidth="1"/>
    <col min="19" max="19" width="15.83203125" style="22" customWidth="1"/>
    <col min="20" max="20" width="13.5" style="22" customWidth="1"/>
    <col min="21" max="21" width="11.33203125" style="22" customWidth="1"/>
    <col min="22" max="22" width="13.1640625" style="22" customWidth="1"/>
    <col min="23" max="23" width="12.33203125" style="22" customWidth="1"/>
    <col min="24" max="24" width="13.6640625" style="22" customWidth="1"/>
    <col min="25" max="25" width="7.6640625" style="22" customWidth="1"/>
    <col min="26" max="26" width="15.5" style="22" customWidth="1"/>
    <col min="27" max="27" width="10.1640625" style="22" customWidth="1"/>
    <col min="28" max="28" width="7.6640625" style="22" customWidth="1"/>
    <col min="29" max="29" width="12.5" style="22" customWidth="1"/>
    <col min="30" max="30" width="9.6640625" style="22" customWidth="1"/>
    <col min="31" max="31" width="8.6640625" style="22" customWidth="1"/>
    <col min="32" max="32" width="12" style="22" customWidth="1"/>
    <col min="33" max="33" width="16.83203125" style="22" customWidth="1"/>
    <col min="34" max="34" width="11.5" style="22" customWidth="1"/>
    <col min="35" max="37" width="10.5" style="22" customWidth="1"/>
    <col min="38" max="38" width="9.6640625" style="22" customWidth="1"/>
    <col min="39" max="39" width="12.83203125" style="22" customWidth="1"/>
    <col min="40" max="41" width="9.6640625" style="22" customWidth="1"/>
    <col min="42" max="42" width="17.5" style="22" customWidth="1"/>
    <col min="43" max="43" width="12.5" style="22" customWidth="1"/>
    <col min="44" max="44" width="9.6640625" style="22" customWidth="1"/>
    <col min="45" max="45" width="10.6640625" style="22" customWidth="1"/>
    <col min="46" max="46" width="15.33203125" style="22" customWidth="1"/>
    <col min="47" max="47" width="13.33203125" style="22" customWidth="1"/>
    <col min="48" max="48" width="11.33203125" style="22" customWidth="1"/>
    <col min="49" max="50" width="9.6640625" style="22" customWidth="1"/>
    <col min="51" max="51" width="9.83203125" style="22" customWidth="1"/>
    <col min="52" max="53" width="13.6640625" style="22" customWidth="1"/>
    <col min="54" max="62" width="9.6640625" style="22" customWidth="1"/>
    <col min="63" max="63" width="23.5" style="22" customWidth="1"/>
    <col min="64" max="64" width="8.6640625" style="22" customWidth="1"/>
    <col min="65" max="65" width="9.6640625" style="22" customWidth="1"/>
    <col min="66" max="66" width="20.5" style="22" customWidth="1"/>
    <col min="67" max="67" width="1.33203125" style="22" hidden="1" customWidth="1"/>
    <col min="68" max="68" width="1.5" style="22" hidden="1" customWidth="1"/>
    <col min="69" max="69" width="13.6640625" style="6" customWidth="1"/>
    <col min="70" max="70" width="9.6640625" style="6" customWidth="1"/>
    <col min="71" max="71" width="22.5" style="5" customWidth="1"/>
    <col min="72" max="77" width="0.83203125" style="22" hidden="1" customWidth="1"/>
    <col min="78" max="78" width="9.6640625" style="22" customWidth="1"/>
    <col min="79" max="79" width="24" style="6" customWidth="1"/>
    <col min="80" max="83" width="24" style="22" hidden="1" customWidth="1"/>
    <col min="84" max="84" width="8.6640625" style="22" customWidth="1"/>
    <col min="85" max="85" width="21.6640625" style="4" customWidth="1"/>
    <col min="86" max="88" width="1.83203125" style="4" hidden="1" customWidth="1"/>
    <col min="89" max="89" width="9.6640625" style="4" customWidth="1"/>
    <col min="90" max="90" width="9.1640625" style="4" customWidth="1"/>
    <col min="91" max="93" width="9.6640625" style="22" customWidth="1"/>
    <col min="94" max="16384" width="9.6640625" style="22"/>
  </cols>
  <sheetData>
    <row r="1" spans="1:93" s="1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198</v>
      </c>
      <c r="I1" s="15" t="s">
        <v>7</v>
      </c>
      <c r="J1" s="15" t="s">
        <v>102</v>
      </c>
      <c r="K1" s="15" t="s">
        <v>8</v>
      </c>
      <c r="L1" s="15" t="s">
        <v>315</v>
      </c>
      <c r="M1" s="15" t="s">
        <v>9</v>
      </c>
      <c r="N1" s="15" t="s">
        <v>316</v>
      </c>
      <c r="O1" s="15" t="s">
        <v>21</v>
      </c>
      <c r="P1" s="15" t="s">
        <v>11</v>
      </c>
      <c r="Q1" s="15" t="s">
        <v>10</v>
      </c>
      <c r="R1" s="15" t="s">
        <v>112</v>
      </c>
      <c r="S1" s="15" t="s">
        <v>104</v>
      </c>
      <c r="T1" s="15" t="s">
        <v>317</v>
      </c>
      <c r="U1" s="15" t="s">
        <v>15</v>
      </c>
      <c r="V1" s="15" t="s">
        <v>16</v>
      </c>
      <c r="W1" s="15" t="s">
        <v>105</v>
      </c>
      <c r="X1" s="15" t="s">
        <v>156</v>
      </c>
      <c r="Y1" s="15" t="s">
        <v>18</v>
      </c>
      <c r="Z1" s="15" t="s">
        <v>19</v>
      </c>
      <c r="AA1" s="11" t="s">
        <v>20</v>
      </c>
      <c r="AB1" s="11" t="s">
        <v>112</v>
      </c>
      <c r="AC1" s="11" t="s">
        <v>22</v>
      </c>
      <c r="AD1" s="11" t="s">
        <v>201</v>
      </c>
      <c r="AE1" s="31" t="s">
        <v>24</v>
      </c>
      <c r="AF1" s="11" t="s">
        <v>25</v>
      </c>
      <c r="AG1" s="11" t="s">
        <v>113</v>
      </c>
      <c r="AH1" s="11" t="s">
        <v>28</v>
      </c>
      <c r="AI1" s="11" t="s">
        <v>29</v>
      </c>
      <c r="AJ1" s="11" t="s">
        <v>115</v>
      </c>
      <c r="AK1" s="11" t="s">
        <v>204</v>
      </c>
      <c r="AL1" s="11" t="s">
        <v>318</v>
      </c>
      <c r="AM1" s="11" t="s">
        <v>202</v>
      </c>
      <c r="AN1" s="11" t="s">
        <v>319</v>
      </c>
      <c r="AO1" s="11" t="s">
        <v>33</v>
      </c>
      <c r="AP1" s="11" t="s">
        <v>34</v>
      </c>
      <c r="AQ1" s="11" t="s">
        <v>117</v>
      </c>
      <c r="AR1" s="11" t="s">
        <v>158</v>
      </c>
      <c r="AS1" s="11" t="s">
        <v>203</v>
      </c>
      <c r="AT1" s="11" t="s">
        <v>119</v>
      </c>
      <c r="AU1" s="11" t="s">
        <v>120</v>
      </c>
      <c r="AV1" s="11" t="s">
        <v>159</v>
      </c>
      <c r="AW1" s="11" t="s">
        <v>39</v>
      </c>
      <c r="AX1" s="11" t="s">
        <v>40</v>
      </c>
      <c r="AY1" s="11" t="s">
        <v>41</v>
      </c>
      <c r="AZ1" s="9" t="s">
        <v>320</v>
      </c>
      <c r="BA1" s="9" t="s">
        <v>237</v>
      </c>
      <c r="BB1" s="9" t="s">
        <v>238</v>
      </c>
      <c r="BC1" s="9" t="s">
        <v>43</v>
      </c>
      <c r="BD1" s="1" t="s">
        <v>44</v>
      </c>
      <c r="BE1" s="11" t="s">
        <v>47</v>
      </c>
      <c r="BF1" s="11" t="s">
        <v>45</v>
      </c>
      <c r="BG1" s="11" t="s">
        <v>46</v>
      </c>
      <c r="BH1" s="11" t="s">
        <v>160</v>
      </c>
      <c r="BI1" s="11" t="s">
        <v>204</v>
      </c>
      <c r="BJ1" s="11" t="s">
        <v>48</v>
      </c>
      <c r="BK1" s="11" t="s">
        <v>123</v>
      </c>
      <c r="BL1" s="31" t="s">
        <v>51</v>
      </c>
      <c r="BM1" s="11" t="s">
        <v>52</v>
      </c>
      <c r="BN1" s="11" t="s">
        <v>124</v>
      </c>
      <c r="BO1" s="11"/>
      <c r="BP1" s="11"/>
      <c r="BQ1" s="15" t="s">
        <v>53</v>
      </c>
      <c r="BR1" s="15" t="s">
        <v>54</v>
      </c>
      <c r="BS1" s="12" t="s">
        <v>55</v>
      </c>
      <c r="BT1" s="11"/>
      <c r="BU1" s="11"/>
      <c r="BV1" s="11"/>
      <c r="BW1" s="11"/>
      <c r="BX1" s="11"/>
      <c r="BY1" s="11"/>
      <c r="BZ1" s="11" t="s">
        <v>321</v>
      </c>
      <c r="CA1" s="15" t="s">
        <v>322</v>
      </c>
      <c r="CB1" s="11"/>
      <c r="CC1" s="11"/>
      <c r="CD1" s="11"/>
      <c r="CE1" s="11"/>
      <c r="CF1" s="31" t="s">
        <v>57</v>
      </c>
      <c r="CG1" s="12" t="s">
        <v>323</v>
      </c>
      <c r="CH1" s="12"/>
      <c r="CI1" s="12"/>
      <c r="CJ1" s="12"/>
      <c r="CK1" s="12" t="s">
        <v>163</v>
      </c>
      <c r="CL1" s="3" t="s">
        <v>62</v>
      </c>
      <c r="CM1" s="1" t="s">
        <v>165</v>
      </c>
      <c r="CN1" s="1" t="s">
        <v>167</v>
      </c>
      <c r="CO1" s="1" t="s">
        <v>65</v>
      </c>
    </row>
    <row r="2" spans="1:93" s="1" customFormat="1">
      <c r="A2" s="15">
        <v>1</v>
      </c>
      <c r="B2" s="15">
        <v>2022202369</v>
      </c>
      <c r="C2" s="15" t="s">
        <v>324</v>
      </c>
      <c r="D2" s="15" t="s">
        <v>245</v>
      </c>
      <c r="E2" s="15">
        <f>SUM(G2:$XEY2)</f>
        <v>70</v>
      </c>
      <c r="F2" s="3">
        <f>COUNT(G2:$XFD2)</f>
        <v>15</v>
      </c>
      <c r="G2" s="32"/>
      <c r="H2" s="15">
        <v>6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>
        <v>4</v>
      </c>
      <c r="V2" s="15">
        <v>4</v>
      </c>
      <c r="W2" s="15">
        <v>2</v>
      </c>
      <c r="X2" s="15">
        <v>4</v>
      </c>
      <c r="Y2" s="15"/>
      <c r="Z2" s="15">
        <v>16</v>
      </c>
      <c r="AA2" s="11">
        <v>2</v>
      </c>
      <c r="AB2" s="11"/>
      <c r="AC2" s="11"/>
      <c r="AD2" s="11"/>
      <c r="AE2" s="31" t="s">
        <v>24</v>
      </c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>
        <v>4</v>
      </c>
      <c r="AZ2" s="11">
        <v>4</v>
      </c>
      <c r="BA2" s="11">
        <v>4</v>
      </c>
      <c r="BB2" s="11">
        <v>4</v>
      </c>
      <c r="BC2" s="11"/>
      <c r="BD2" s="11"/>
      <c r="BE2" s="11">
        <v>3</v>
      </c>
      <c r="BF2" s="11">
        <v>2</v>
      </c>
      <c r="BG2" s="11">
        <v>9</v>
      </c>
      <c r="BH2" s="11"/>
      <c r="BI2" s="11"/>
      <c r="BJ2" s="11"/>
      <c r="BK2" s="11"/>
      <c r="BL2" s="31" t="s">
        <v>51</v>
      </c>
      <c r="BM2" s="11"/>
      <c r="BN2" s="11"/>
      <c r="BO2" s="11"/>
      <c r="BP2" s="11"/>
      <c r="BR2" s="1">
        <v>2</v>
      </c>
      <c r="BS2" s="12"/>
      <c r="BT2" s="11"/>
      <c r="BU2" s="11"/>
      <c r="BV2" s="11"/>
      <c r="BW2" s="11"/>
      <c r="BX2" s="11"/>
      <c r="BY2" s="11"/>
      <c r="BZ2" s="11"/>
      <c r="CA2" s="15"/>
      <c r="CB2" s="11"/>
      <c r="CC2" s="11"/>
      <c r="CD2" s="11"/>
      <c r="CE2" s="11"/>
      <c r="CF2" s="31" t="s">
        <v>57</v>
      </c>
      <c r="CG2" s="12"/>
      <c r="CH2" s="12"/>
      <c r="CI2" s="12"/>
      <c r="CJ2" s="12"/>
      <c r="CK2" s="12"/>
      <c r="CL2" s="12"/>
    </row>
    <row r="3" spans="1:93" s="1" customFormat="1">
      <c r="A3" s="15">
        <v>2</v>
      </c>
      <c r="B3" s="15">
        <v>2022202372</v>
      </c>
      <c r="C3" s="15" t="s">
        <v>325</v>
      </c>
      <c r="D3" s="15" t="s">
        <v>245</v>
      </c>
      <c r="E3" s="15">
        <f>SUM(G3:$XEY3)</f>
        <v>31</v>
      </c>
      <c r="F3" s="3">
        <f>COUNT(G3:$XFD3)</f>
        <v>5</v>
      </c>
      <c r="G3" s="32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>
        <v>8</v>
      </c>
      <c r="AA3" s="11"/>
      <c r="AB3" s="11"/>
      <c r="AC3" s="11">
        <v>4</v>
      </c>
      <c r="AD3" s="11"/>
      <c r="AE3" s="31" t="s">
        <v>24</v>
      </c>
      <c r="AF3" s="11">
        <v>10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>
        <v>4</v>
      </c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31" t="s">
        <v>51</v>
      </c>
      <c r="BM3" s="11"/>
      <c r="BN3" s="11"/>
      <c r="BO3" s="11"/>
      <c r="BP3" s="11"/>
      <c r="BS3" s="12"/>
      <c r="BT3" s="11"/>
      <c r="BU3" s="11"/>
      <c r="BV3" s="11"/>
      <c r="BW3" s="11"/>
      <c r="BX3" s="11"/>
      <c r="BY3" s="11"/>
      <c r="BZ3" s="11"/>
      <c r="CA3" s="15"/>
      <c r="CB3" s="11"/>
      <c r="CC3" s="11"/>
      <c r="CD3" s="11"/>
      <c r="CE3" s="11"/>
      <c r="CF3" s="31" t="s">
        <v>57</v>
      </c>
      <c r="CG3" s="12"/>
      <c r="CH3" s="12"/>
      <c r="CI3" s="12"/>
      <c r="CJ3" s="12"/>
      <c r="CK3" s="12"/>
      <c r="CL3" s="12"/>
      <c r="CN3">
        <v>5</v>
      </c>
      <c r="CO3"/>
    </row>
    <row r="4" spans="1:93" s="1" customFormat="1">
      <c r="A4" s="15">
        <v>3</v>
      </c>
      <c r="B4" s="15">
        <v>2022202378</v>
      </c>
      <c r="C4" s="15" t="s">
        <v>326</v>
      </c>
      <c r="D4" s="15" t="s">
        <v>245</v>
      </c>
      <c r="E4" s="15">
        <f>SUM(G4:$XEY4)</f>
        <v>116</v>
      </c>
      <c r="F4" s="3">
        <f>COUNT(G4:$XFD4)</f>
        <v>6</v>
      </c>
      <c r="G4" s="32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6</v>
      </c>
      <c r="T4" s="15"/>
      <c r="U4" s="15"/>
      <c r="V4" s="15"/>
      <c r="W4" s="15">
        <v>2</v>
      </c>
      <c r="X4" s="15"/>
      <c r="Y4" s="15"/>
      <c r="Z4" s="15"/>
      <c r="AA4" s="11">
        <v>34</v>
      </c>
      <c r="AB4" s="11"/>
      <c r="AC4" s="11"/>
      <c r="AD4" s="11"/>
      <c r="AE4" s="31" t="s">
        <v>24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>
        <v>2</v>
      </c>
      <c r="BG4" s="11"/>
      <c r="BH4" s="11"/>
      <c r="BI4" s="11"/>
      <c r="BJ4" s="11">
        <v>70</v>
      </c>
      <c r="BK4" s="11"/>
      <c r="BL4" s="31" t="s">
        <v>51</v>
      </c>
      <c r="BM4" s="11"/>
      <c r="BN4" s="11"/>
      <c r="BO4" s="11"/>
      <c r="BP4" s="11"/>
      <c r="BR4" s="1">
        <v>2</v>
      </c>
      <c r="BS4" s="20"/>
      <c r="BT4" s="11"/>
      <c r="BU4" s="11"/>
      <c r="BV4" s="11"/>
      <c r="BW4" s="11"/>
      <c r="BX4" s="11"/>
      <c r="BY4" s="11"/>
      <c r="BZ4" s="11"/>
      <c r="CA4" s="15"/>
      <c r="CB4" s="11"/>
      <c r="CC4" s="11"/>
      <c r="CD4" s="11"/>
      <c r="CE4" s="11"/>
      <c r="CF4" s="31" t="s">
        <v>57</v>
      </c>
      <c r="CG4" s="12"/>
      <c r="CH4" s="12"/>
      <c r="CI4" s="12"/>
      <c r="CJ4" s="12"/>
      <c r="CK4" s="12"/>
      <c r="CL4" s="12"/>
    </row>
    <row r="5" spans="1:93" s="1" customFormat="1">
      <c r="A5" s="15">
        <v>4</v>
      </c>
      <c r="B5" s="15">
        <v>2022202383</v>
      </c>
      <c r="C5" s="15" t="s">
        <v>327</v>
      </c>
      <c r="D5" s="15" t="s">
        <v>245</v>
      </c>
      <c r="E5" s="15">
        <f>SUM(G5:$XEY5)</f>
        <v>124</v>
      </c>
      <c r="F5" s="3">
        <f>COUNT(G5:$XFD5)</f>
        <v>2</v>
      </c>
      <c r="G5" s="32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>
        <v>16</v>
      </c>
      <c r="AA5" s="11"/>
      <c r="AB5" s="11"/>
      <c r="AC5" s="11"/>
      <c r="AD5" s="11"/>
      <c r="AE5" s="31" t="s">
        <v>24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>
        <v>108</v>
      </c>
      <c r="BL5" s="31" t="s">
        <v>51</v>
      </c>
      <c r="BM5" s="11"/>
      <c r="BN5" s="11"/>
      <c r="BO5" s="11"/>
      <c r="BP5" s="11"/>
      <c r="BS5" s="12"/>
      <c r="BT5" s="11"/>
      <c r="BU5" s="11"/>
      <c r="BV5" s="11"/>
      <c r="BW5" s="11"/>
      <c r="BX5" s="11"/>
      <c r="BY5" s="11"/>
      <c r="BZ5" s="11"/>
      <c r="CA5" s="15"/>
      <c r="CB5" s="11"/>
      <c r="CC5" s="11"/>
      <c r="CD5" s="11"/>
      <c r="CE5" s="11"/>
      <c r="CF5" s="31" t="s">
        <v>57</v>
      </c>
      <c r="CG5" s="12"/>
      <c r="CH5" s="12"/>
      <c r="CI5" s="12"/>
      <c r="CJ5" s="12"/>
      <c r="CK5" s="12"/>
      <c r="CL5" s="12"/>
    </row>
    <row r="6" spans="1:93" s="1" customFormat="1">
      <c r="A6" s="15">
        <v>5</v>
      </c>
      <c r="B6" s="15">
        <v>2022202388</v>
      </c>
      <c r="C6" s="15" t="s">
        <v>328</v>
      </c>
      <c r="D6" s="15" t="s">
        <v>245</v>
      </c>
      <c r="E6" s="15">
        <f>SUM(G6:$XEY6)</f>
        <v>135</v>
      </c>
      <c r="F6" s="3">
        <f>COUNT(G6:$XFD6)</f>
        <v>13</v>
      </c>
      <c r="G6" s="32"/>
      <c r="H6" s="15"/>
      <c r="I6" s="15">
        <v>8</v>
      </c>
      <c r="J6" s="15"/>
      <c r="K6" s="15"/>
      <c r="L6" s="15"/>
      <c r="M6" s="15"/>
      <c r="N6" s="15"/>
      <c r="O6" s="15"/>
      <c r="P6" s="15"/>
      <c r="Q6" s="15"/>
      <c r="R6" s="15"/>
      <c r="S6" s="15">
        <v>8</v>
      </c>
      <c r="T6" s="15"/>
      <c r="U6" s="15">
        <v>4</v>
      </c>
      <c r="V6" s="15">
        <v>4</v>
      </c>
      <c r="W6" s="15"/>
      <c r="X6" s="15"/>
      <c r="Y6" s="15">
        <v>4</v>
      </c>
      <c r="Z6" s="15"/>
      <c r="AA6" s="11">
        <v>10</v>
      </c>
      <c r="AB6" s="11"/>
      <c r="AC6" s="11"/>
      <c r="AD6" s="11">
        <v>36</v>
      </c>
      <c r="AE6" s="31" t="s">
        <v>24</v>
      </c>
      <c r="AF6" s="11">
        <v>11</v>
      </c>
      <c r="AG6" s="11"/>
      <c r="AH6" s="11">
        <v>36</v>
      </c>
      <c r="AI6" s="11"/>
      <c r="AJ6" s="11">
        <v>2</v>
      </c>
      <c r="AK6" s="11"/>
      <c r="AL6" s="11"/>
      <c r="AM6" s="11"/>
      <c r="AN6" s="11"/>
      <c r="AO6" s="11"/>
      <c r="AP6" s="11"/>
      <c r="AQ6" s="11"/>
      <c r="AR6" s="11"/>
      <c r="AS6" s="11"/>
      <c r="AT6" s="11">
        <v>4</v>
      </c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>
        <v>4</v>
      </c>
      <c r="BG6" s="11"/>
      <c r="BH6" s="11"/>
      <c r="BI6" s="11"/>
      <c r="BJ6" s="11"/>
      <c r="BK6" s="11"/>
      <c r="BL6" s="31" t="s">
        <v>51</v>
      </c>
      <c r="BM6" s="11"/>
      <c r="BN6" s="11"/>
      <c r="BO6" s="11"/>
      <c r="BP6" s="11"/>
      <c r="BR6" s="1">
        <v>4</v>
      </c>
      <c r="BS6" s="12"/>
      <c r="BT6" s="11"/>
      <c r="BU6" s="11"/>
      <c r="BV6" s="11"/>
      <c r="BW6" s="11"/>
      <c r="BX6" s="11"/>
      <c r="BY6" s="11"/>
      <c r="BZ6" s="11"/>
      <c r="CA6" s="15"/>
      <c r="CB6" s="11"/>
      <c r="CC6" s="11"/>
      <c r="CD6" s="11"/>
      <c r="CE6" s="11"/>
      <c r="CF6" s="31" t="s">
        <v>57</v>
      </c>
      <c r="CG6" s="12"/>
      <c r="CH6" s="12"/>
      <c r="CI6" s="12"/>
      <c r="CJ6" s="12"/>
      <c r="CK6" s="12"/>
      <c r="CL6" s="12"/>
    </row>
    <row r="7" spans="1:93" s="1" customFormat="1">
      <c r="A7" s="15">
        <v>6</v>
      </c>
      <c r="B7" s="15">
        <v>2022202400</v>
      </c>
      <c r="C7" s="15" t="s">
        <v>329</v>
      </c>
      <c r="D7" s="15" t="s">
        <v>245</v>
      </c>
      <c r="E7" s="15">
        <f>SUM(G7:$XEY7)</f>
        <v>64</v>
      </c>
      <c r="F7" s="3">
        <f>COUNT(G7:$XFD7)</f>
        <v>8</v>
      </c>
      <c r="G7" s="32"/>
      <c r="H7" s="15"/>
      <c r="I7" s="15">
        <v>7</v>
      </c>
      <c r="J7" s="15"/>
      <c r="K7" s="15"/>
      <c r="L7" s="15">
        <v>8</v>
      </c>
      <c r="M7" s="15"/>
      <c r="N7" s="15"/>
      <c r="O7" s="15">
        <v>4</v>
      </c>
      <c r="P7" s="15"/>
      <c r="Q7" s="15"/>
      <c r="R7" s="15"/>
      <c r="S7" s="15">
        <v>6</v>
      </c>
      <c r="T7" s="15"/>
      <c r="U7" s="15">
        <v>4</v>
      </c>
      <c r="V7" s="15"/>
      <c r="W7" s="15"/>
      <c r="X7" s="15"/>
      <c r="Y7" s="15">
        <v>4</v>
      </c>
      <c r="Z7" s="15"/>
      <c r="AA7" s="11">
        <v>2</v>
      </c>
      <c r="AB7" s="11"/>
      <c r="AC7" s="11"/>
      <c r="AD7" s="11"/>
      <c r="AE7" s="31" t="s">
        <v>24</v>
      </c>
      <c r="AF7" s="11"/>
      <c r="AG7" s="11"/>
      <c r="AH7" s="11">
        <v>29</v>
      </c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31" t="s">
        <v>51</v>
      </c>
      <c r="BM7" s="11"/>
      <c r="BN7" s="11"/>
      <c r="BO7" s="11"/>
      <c r="BP7" s="11"/>
      <c r="BS7" s="12"/>
      <c r="BT7" s="11"/>
      <c r="BU7" s="11"/>
      <c r="BV7" s="11"/>
      <c r="BW7" s="11"/>
      <c r="BX7" s="11"/>
      <c r="BY7" s="11"/>
      <c r="BZ7" s="11"/>
      <c r="CA7" s="15"/>
      <c r="CB7" s="11"/>
      <c r="CC7" s="11"/>
      <c r="CD7" s="11"/>
      <c r="CE7" s="11"/>
      <c r="CF7" s="31" t="s">
        <v>57</v>
      </c>
      <c r="CG7" s="12"/>
      <c r="CH7" s="12"/>
      <c r="CI7" s="12"/>
      <c r="CJ7" s="12"/>
      <c r="CK7" s="12"/>
      <c r="CL7" s="12"/>
    </row>
    <row r="8" spans="1:93" s="1" customFormat="1">
      <c r="A8" s="15">
        <v>7</v>
      </c>
      <c r="B8" s="15">
        <v>2022202401</v>
      </c>
      <c r="C8" s="15" t="s">
        <v>330</v>
      </c>
      <c r="D8" s="15" t="s">
        <v>245</v>
      </c>
      <c r="E8" s="15">
        <f>SUM(G8:$XEY8)</f>
        <v>147</v>
      </c>
      <c r="F8" s="3">
        <f>COUNT(G8:$XFD8)</f>
        <v>13</v>
      </c>
      <c r="G8" s="32"/>
      <c r="H8" s="15"/>
      <c r="I8" s="15"/>
      <c r="J8" s="15"/>
      <c r="K8" s="15"/>
      <c r="L8" s="15"/>
      <c r="M8" s="15"/>
      <c r="N8" s="15"/>
      <c r="O8" s="15"/>
      <c r="P8" s="15"/>
      <c r="Q8" s="15">
        <v>7</v>
      </c>
      <c r="R8" s="15"/>
      <c r="S8" s="15"/>
      <c r="T8" s="15"/>
      <c r="U8" s="15">
        <v>4</v>
      </c>
      <c r="V8" s="15">
        <v>4</v>
      </c>
      <c r="W8" s="15">
        <v>2</v>
      </c>
      <c r="X8" s="15"/>
      <c r="Y8" s="15"/>
      <c r="Z8" s="15">
        <v>16</v>
      </c>
      <c r="AA8" s="11"/>
      <c r="AB8" s="11"/>
      <c r="AC8" s="11"/>
      <c r="AD8" s="11"/>
      <c r="AE8" s="31" t="s">
        <v>24</v>
      </c>
      <c r="AF8" s="11"/>
      <c r="AG8" s="11"/>
      <c r="AH8" s="11"/>
      <c r="AI8" s="11"/>
      <c r="AJ8" s="11"/>
      <c r="AK8" s="11"/>
      <c r="AL8" s="11">
        <v>16</v>
      </c>
      <c r="AM8" s="11"/>
      <c r="AN8" s="11"/>
      <c r="AO8" s="11"/>
      <c r="AP8" s="11">
        <v>20</v>
      </c>
      <c r="AQ8" s="11"/>
      <c r="AR8" s="11"/>
      <c r="AS8" s="11"/>
      <c r="AT8" s="11"/>
      <c r="AU8" s="11"/>
      <c r="AV8" s="11"/>
      <c r="AW8" s="11"/>
      <c r="AX8" s="11"/>
      <c r="AY8" s="11"/>
      <c r="AZ8" s="11">
        <v>4</v>
      </c>
      <c r="BA8" s="11"/>
      <c r="BB8" s="11"/>
      <c r="BC8" s="11"/>
      <c r="BD8" s="11"/>
      <c r="BE8" s="11"/>
      <c r="BF8" s="11"/>
      <c r="BG8" s="11"/>
      <c r="BH8" s="11">
        <v>4</v>
      </c>
      <c r="BI8" s="11"/>
      <c r="BJ8" s="11"/>
      <c r="BK8" s="11"/>
      <c r="BL8" s="31" t="s">
        <v>51</v>
      </c>
      <c r="BM8" s="11"/>
      <c r="BN8" s="11"/>
      <c r="BO8" s="11"/>
      <c r="BP8" s="11"/>
      <c r="BS8" s="12"/>
      <c r="BT8" s="11"/>
      <c r="BU8" s="11"/>
      <c r="BV8" s="11"/>
      <c r="BW8" s="11"/>
      <c r="BX8" s="11"/>
      <c r="BY8" s="11"/>
      <c r="BZ8" s="11"/>
      <c r="CA8" s="15"/>
      <c r="CB8" s="11"/>
      <c r="CC8" s="11"/>
      <c r="CD8" s="11"/>
      <c r="CE8" s="11"/>
      <c r="CF8" s="31" t="s">
        <v>57</v>
      </c>
      <c r="CG8" s="12">
        <v>70</v>
      </c>
      <c r="CH8" s="12">
        <v>0</v>
      </c>
      <c r="CI8" s="12">
        <v>0</v>
      </c>
      <c r="CJ8" s="12">
        <v>0</v>
      </c>
      <c r="CK8" s="12"/>
      <c r="CL8" s="12"/>
    </row>
    <row r="9" spans="1:93" s="1" customFormat="1">
      <c r="A9" s="15">
        <v>8</v>
      </c>
      <c r="B9" s="15">
        <v>2022202422</v>
      </c>
      <c r="C9" s="15" t="s">
        <v>331</v>
      </c>
      <c r="D9" s="15" t="s">
        <v>245</v>
      </c>
      <c r="E9" s="15">
        <f>SUM(G9:$XEY9)</f>
        <v>33</v>
      </c>
      <c r="F9" s="3">
        <f>COUNT(G9:$XFD9)</f>
        <v>5</v>
      </c>
      <c r="G9" s="32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>
        <v>4</v>
      </c>
      <c r="V9" s="15">
        <v>4</v>
      </c>
      <c r="W9" s="15"/>
      <c r="X9" s="15"/>
      <c r="Y9" s="15"/>
      <c r="Z9" s="15">
        <v>16</v>
      </c>
      <c r="AA9" s="11"/>
      <c r="AB9" s="11"/>
      <c r="AC9" s="11"/>
      <c r="AD9" s="11"/>
      <c r="AE9" s="31" t="s">
        <v>24</v>
      </c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31" t="s">
        <v>51</v>
      </c>
      <c r="BM9" s="11"/>
      <c r="BN9" s="11"/>
      <c r="BO9" s="11"/>
      <c r="BP9" s="11"/>
      <c r="BS9" s="12"/>
      <c r="BT9" s="11"/>
      <c r="BU9" s="11"/>
      <c r="BV9" s="11"/>
      <c r="BW9" s="11"/>
      <c r="BX9" s="11"/>
      <c r="BY9" s="11"/>
      <c r="BZ9" s="11"/>
      <c r="CA9" s="15"/>
      <c r="CB9" s="11"/>
      <c r="CC9" s="11"/>
      <c r="CD9" s="11"/>
      <c r="CE9" s="11"/>
      <c r="CF9" s="31" t="s">
        <v>57</v>
      </c>
      <c r="CG9" s="12"/>
      <c r="CH9" s="12"/>
      <c r="CI9" s="12"/>
      <c r="CJ9" s="12"/>
      <c r="CK9" s="12"/>
      <c r="CL9" s="12"/>
      <c r="CN9">
        <v>5</v>
      </c>
      <c r="CO9">
        <v>4</v>
      </c>
    </row>
    <row r="10" spans="1:93" s="1" customFormat="1">
      <c r="A10" s="15">
        <v>9</v>
      </c>
      <c r="B10" s="15">
        <v>2022202434</v>
      </c>
      <c r="C10" s="15" t="s">
        <v>332</v>
      </c>
      <c r="D10" s="15" t="s">
        <v>245</v>
      </c>
      <c r="E10" s="15">
        <f>SUM(G10:$XEY10)</f>
        <v>31</v>
      </c>
      <c r="F10" s="3">
        <f>COUNT(G10:$XFD10)</f>
        <v>5</v>
      </c>
      <c r="G10" s="32"/>
      <c r="H10" s="15"/>
      <c r="I10" s="15"/>
      <c r="J10" s="15"/>
      <c r="K10" s="15"/>
      <c r="L10" s="15"/>
      <c r="M10" s="15"/>
      <c r="N10" s="15"/>
      <c r="O10" s="15">
        <v>4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>
        <v>16</v>
      </c>
      <c r="AA10" s="11">
        <v>2</v>
      </c>
      <c r="AB10" s="11"/>
      <c r="AC10" s="11"/>
      <c r="AD10" s="11"/>
      <c r="AE10" s="31" t="s">
        <v>24</v>
      </c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>
        <v>4</v>
      </c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31" t="s">
        <v>51</v>
      </c>
      <c r="BM10" s="11"/>
      <c r="BN10" s="11"/>
      <c r="BO10" s="11"/>
      <c r="BP10" s="11"/>
      <c r="BS10" s="12"/>
      <c r="BT10" s="11"/>
      <c r="BU10" s="11"/>
      <c r="BV10" s="11"/>
      <c r="BW10" s="11"/>
      <c r="BX10" s="11"/>
      <c r="BY10" s="11"/>
      <c r="BZ10" s="11"/>
      <c r="CA10" s="15"/>
      <c r="CB10" s="11"/>
      <c r="CC10" s="11"/>
      <c r="CD10" s="11"/>
      <c r="CE10" s="11"/>
      <c r="CF10" s="31" t="s">
        <v>57</v>
      </c>
      <c r="CG10" s="12"/>
      <c r="CH10" s="12"/>
      <c r="CI10" s="12"/>
      <c r="CJ10" s="12"/>
      <c r="CK10" s="12"/>
      <c r="CL10" s="12"/>
      <c r="CN10">
        <v>5</v>
      </c>
      <c r="CO10"/>
    </row>
    <row r="11" spans="1:93" s="1" customFormat="1">
      <c r="A11" s="15">
        <v>10</v>
      </c>
      <c r="B11" s="15">
        <v>2022202443</v>
      </c>
      <c r="C11" s="15" t="s">
        <v>333</v>
      </c>
      <c r="D11" s="15" t="s">
        <v>245</v>
      </c>
      <c r="E11" s="15">
        <f>SUM(G11:$XEY11)</f>
        <v>45.5</v>
      </c>
      <c r="F11" s="3">
        <f>COUNT(G11:$XFD11)</f>
        <v>7</v>
      </c>
      <c r="G11" s="32"/>
      <c r="H11" s="15"/>
      <c r="I11" s="15"/>
      <c r="J11" s="15"/>
      <c r="K11" s="15"/>
      <c r="L11" s="15"/>
      <c r="M11" s="15"/>
      <c r="N11" s="15"/>
      <c r="O11" s="15">
        <v>4</v>
      </c>
      <c r="P11" s="15"/>
      <c r="Q11" s="15"/>
      <c r="R11" s="15"/>
      <c r="S11" s="15"/>
      <c r="T11" s="15"/>
      <c r="U11" s="15">
        <v>4</v>
      </c>
      <c r="V11" s="15">
        <v>4</v>
      </c>
      <c r="W11" s="15"/>
      <c r="X11" s="15"/>
      <c r="Y11" s="15"/>
      <c r="Z11" s="15">
        <v>16</v>
      </c>
      <c r="AA11" s="11"/>
      <c r="AB11" s="11"/>
      <c r="AC11" s="11"/>
      <c r="AD11" s="11"/>
      <c r="AE11" s="31" t="s">
        <v>24</v>
      </c>
      <c r="AF11" s="11">
        <v>11</v>
      </c>
      <c r="AG11" s="11"/>
      <c r="AH11" s="11"/>
      <c r="AI11" s="11"/>
      <c r="AJ11" s="11">
        <v>1.5</v>
      </c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31" t="s">
        <v>51</v>
      </c>
      <c r="BM11" s="11"/>
      <c r="BN11" s="11"/>
      <c r="BO11" s="11"/>
      <c r="BP11" s="11"/>
      <c r="BS11" s="12"/>
      <c r="BT11" s="11"/>
      <c r="BU11" s="11"/>
      <c r="BV11" s="11"/>
      <c r="BW11" s="11"/>
      <c r="BX11" s="11"/>
      <c r="BY11" s="11"/>
      <c r="BZ11" s="11"/>
      <c r="CA11" s="15"/>
      <c r="CB11" s="11"/>
      <c r="CC11" s="11"/>
      <c r="CD11" s="11"/>
      <c r="CE11" s="11"/>
      <c r="CF11" s="31" t="s">
        <v>57</v>
      </c>
      <c r="CG11" s="12"/>
      <c r="CH11" s="12"/>
      <c r="CI11" s="12"/>
      <c r="CJ11" s="12"/>
      <c r="CK11" s="12"/>
      <c r="CL11" s="12"/>
      <c r="CN11">
        <v>5</v>
      </c>
      <c r="CO11"/>
    </row>
    <row r="12" spans="1:93" s="1" customFormat="1">
      <c r="A12" s="15">
        <v>11</v>
      </c>
      <c r="B12" s="15">
        <v>2022202444</v>
      </c>
      <c r="C12" s="15" t="s">
        <v>334</v>
      </c>
      <c r="D12" s="15" t="s">
        <v>245</v>
      </c>
      <c r="E12" s="15">
        <f>SUM(G12:$XEY12)</f>
        <v>29</v>
      </c>
      <c r="F12" s="3">
        <f>COUNT(G12:$XFD12)</f>
        <v>4</v>
      </c>
      <c r="G12" s="32"/>
      <c r="H12" s="15"/>
      <c r="I12" s="15"/>
      <c r="J12" s="15"/>
      <c r="K12" s="15"/>
      <c r="L12" s="15"/>
      <c r="M12" s="15"/>
      <c r="N12" s="15"/>
      <c r="O12" s="15"/>
      <c r="P12" s="15"/>
      <c r="Q12" s="15">
        <v>7</v>
      </c>
      <c r="R12" s="15"/>
      <c r="S12" s="15"/>
      <c r="T12" s="15"/>
      <c r="U12" s="15">
        <v>4</v>
      </c>
      <c r="V12" s="15"/>
      <c r="W12" s="15">
        <v>2</v>
      </c>
      <c r="X12" s="15"/>
      <c r="Y12" s="15"/>
      <c r="Z12" s="15">
        <v>16</v>
      </c>
      <c r="AA12" s="11"/>
      <c r="AB12" s="11"/>
      <c r="AC12" s="11"/>
      <c r="AD12" s="11"/>
      <c r="AE12" s="31" t="s">
        <v>24</v>
      </c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31" t="s">
        <v>51</v>
      </c>
      <c r="BM12" s="11"/>
      <c r="BN12" s="11"/>
      <c r="BO12" s="11"/>
      <c r="BP12" s="11"/>
      <c r="BS12" s="12"/>
      <c r="BT12" s="11"/>
      <c r="BU12" s="11"/>
      <c r="BV12" s="11"/>
      <c r="BW12" s="11"/>
      <c r="BX12" s="11"/>
      <c r="BY12" s="11"/>
      <c r="BZ12" s="11"/>
      <c r="CA12" s="15"/>
      <c r="CB12" s="11"/>
      <c r="CC12" s="11"/>
      <c r="CD12" s="11"/>
      <c r="CE12" s="11"/>
      <c r="CF12" s="31" t="s">
        <v>57</v>
      </c>
      <c r="CG12" s="12"/>
      <c r="CH12" s="12"/>
      <c r="CI12" s="12"/>
      <c r="CJ12" s="12"/>
      <c r="CK12" s="12"/>
      <c r="CL12" s="12"/>
    </row>
    <row r="13" spans="1:93" s="1" customFormat="1">
      <c r="A13" s="15">
        <v>12</v>
      </c>
      <c r="B13" s="15">
        <v>2022202449</v>
      </c>
      <c r="C13" s="15" t="s">
        <v>335</v>
      </c>
      <c r="D13" s="15" t="s">
        <v>245</v>
      </c>
      <c r="E13" s="15">
        <f>SUM(G13:$XEY13)</f>
        <v>65</v>
      </c>
      <c r="F13" s="3">
        <f>COUNT(G13:$XFD13)</f>
        <v>7</v>
      </c>
      <c r="G13" s="32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>
        <v>4</v>
      </c>
      <c r="V13" s="15"/>
      <c r="W13" s="15"/>
      <c r="X13" s="15"/>
      <c r="Y13" s="15"/>
      <c r="Z13" s="15"/>
      <c r="AA13" s="11"/>
      <c r="AB13" s="11"/>
      <c r="AC13" s="11"/>
      <c r="AD13" s="11"/>
      <c r="AE13" s="31" t="s">
        <v>24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31" t="s">
        <v>51</v>
      </c>
      <c r="BM13" s="11"/>
      <c r="BN13" s="11"/>
      <c r="BO13" s="11"/>
      <c r="BP13" s="11"/>
      <c r="BS13" s="12">
        <v>61</v>
      </c>
      <c r="BT13" s="11">
        <v>0</v>
      </c>
      <c r="BU13" s="11">
        <v>0</v>
      </c>
      <c r="BV13" s="11">
        <v>0</v>
      </c>
      <c r="BW13" s="11">
        <v>0</v>
      </c>
      <c r="BX13" s="11">
        <v>0</v>
      </c>
      <c r="BY13" s="11"/>
      <c r="BZ13" s="11"/>
      <c r="CA13" s="15"/>
      <c r="CB13" s="11"/>
      <c r="CC13" s="11"/>
      <c r="CD13" s="11"/>
      <c r="CE13" s="11"/>
      <c r="CF13" s="31" t="s">
        <v>57</v>
      </c>
      <c r="CG13" s="12"/>
      <c r="CH13" s="12"/>
      <c r="CI13" s="12"/>
      <c r="CJ13" s="12"/>
      <c r="CK13" s="12"/>
      <c r="CL13" s="12"/>
    </row>
    <row r="14" spans="1:93" s="1" customFormat="1">
      <c r="A14" s="15">
        <v>13</v>
      </c>
      <c r="B14" s="15">
        <v>2022202450</v>
      </c>
      <c r="C14" s="15" t="s">
        <v>336</v>
      </c>
      <c r="D14" s="15" t="s">
        <v>245</v>
      </c>
      <c r="E14" s="15">
        <f>SUM(G14:$XEY14)</f>
        <v>9</v>
      </c>
      <c r="F14" s="3">
        <f>COUNT(G14:$XFD14)</f>
        <v>2</v>
      </c>
      <c r="G14" s="32"/>
      <c r="H14" s="15"/>
      <c r="I14" s="15">
        <v>4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1"/>
      <c r="AB14" s="11"/>
      <c r="AC14" s="11"/>
      <c r="AD14" s="11"/>
      <c r="AE14" s="31" t="s">
        <v>24</v>
      </c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31" t="s">
        <v>51</v>
      </c>
      <c r="BM14" s="11"/>
      <c r="BN14" s="11"/>
      <c r="BO14" s="11"/>
      <c r="BP14" s="11"/>
      <c r="BS14" s="12"/>
      <c r="BT14" s="11"/>
      <c r="BU14" s="11"/>
      <c r="BV14" s="11"/>
      <c r="BW14" s="11"/>
      <c r="BX14" s="11"/>
      <c r="BY14" s="11"/>
      <c r="BZ14" s="11"/>
      <c r="CA14" s="15"/>
      <c r="CB14" s="11"/>
      <c r="CC14" s="11"/>
      <c r="CD14" s="11"/>
      <c r="CE14" s="11"/>
      <c r="CF14" s="31" t="s">
        <v>57</v>
      </c>
      <c r="CG14" s="12"/>
      <c r="CH14" s="12"/>
      <c r="CI14" s="12"/>
      <c r="CJ14" s="12"/>
      <c r="CK14" s="12"/>
      <c r="CL14" s="12"/>
      <c r="CN14">
        <v>5</v>
      </c>
      <c r="CO14"/>
    </row>
    <row r="15" spans="1:93" s="1" customFormat="1">
      <c r="A15" s="15">
        <v>14</v>
      </c>
      <c r="B15" s="15">
        <v>2022202451</v>
      </c>
      <c r="C15" s="15" t="s">
        <v>337</v>
      </c>
      <c r="D15" s="15" t="s">
        <v>245</v>
      </c>
      <c r="E15" s="15">
        <f>SUM(G15:$XEY15)</f>
        <v>38.799999999999997</v>
      </c>
      <c r="F15" s="3">
        <f>COUNT(G15:$XFD15)</f>
        <v>3</v>
      </c>
      <c r="G15" s="32"/>
      <c r="H15" s="15"/>
      <c r="I15" s="15"/>
      <c r="J15" s="15"/>
      <c r="K15" s="15"/>
      <c r="L15" s="15"/>
      <c r="M15" s="15"/>
      <c r="N15" s="15"/>
      <c r="O15" s="15">
        <v>4</v>
      </c>
      <c r="P15" s="15"/>
      <c r="Q15" s="15"/>
      <c r="R15" s="15"/>
      <c r="S15" s="15"/>
      <c r="T15" s="15"/>
      <c r="U15" s="15">
        <v>4</v>
      </c>
      <c r="V15" s="15"/>
      <c r="W15" s="15"/>
      <c r="X15" s="15"/>
      <c r="Y15" s="15"/>
      <c r="Z15" s="15"/>
      <c r="AA15" s="11"/>
      <c r="AB15" s="11"/>
      <c r="AC15" s="11"/>
      <c r="AD15" s="11"/>
      <c r="AE15" s="31" t="s">
        <v>24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>
        <v>30.8</v>
      </c>
      <c r="BL15" s="31" t="s">
        <v>51</v>
      </c>
      <c r="BM15" s="11"/>
      <c r="BN15" s="11"/>
      <c r="BO15" s="11"/>
      <c r="BP15" s="11"/>
      <c r="BS15" s="12"/>
      <c r="BT15" s="11"/>
      <c r="BU15" s="11"/>
      <c r="BV15" s="11"/>
      <c r="BW15" s="11"/>
      <c r="BX15" s="11"/>
      <c r="BY15" s="11"/>
      <c r="BZ15" s="11"/>
      <c r="CA15" s="15"/>
      <c r="CB15" s="11"/>
      <c r="CC15" s="11"/>
      <c r="CD15" s="11"/>
      <c r="CE15" s="11"/>
      <c r="CF15" s="31" t="s">
        <v>57</v>
      </c>
      <c r="CG15" s="12"/>
      <c r="CH15" s="12"/>
      <c r="CI15" s="12"/>
      <c r="CJ15" s="12"/>
      <c r="CK15" s="12"/>
      <c r="CL15" s="12"/>
    </row>
    <row r="16" spans="1:93" s="1" customFormat="1">
      <c r="A16" s="15">
        <v>15</v>
      </c>
      <c r="B16" s="15">
        <v>2022202468</v>
      </c>
      <c r="C16" s="15" t="s">
        <v>338</v>
      </c>
      <c r="D16" s="15" t="s">
        <v>245</v>
      </c>
      <c r="E16" s="15">
        <f>SUM(G16:$XEY16)</f>
        <v>73</v>
      </c>
      <c r="F16" s="3">
        <f>COUNT(G16:$XFD16)</f>
        <v>6</v>
      </c>
      <c r="G16" s="15">
        <v>42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>
        <v>4</v>
      </c>
      <c r="V16" s="15">
        <v>4</v>
      </c>
      <c r="W16" s="15">
        <v>4</v>
      </c>
      <c r="X16" s="15"/>
      <c r="Y16" s="15">
        <v>3</v>
      </c>
      <c r="Z16" s="15">
        <v>16</v>
      </c>
      <c r="AA16" s="11"/>
      <c r="AB16" s="11"/>
      <c r="AC16" s="11"/>
      <c r="AD16" s="11"/>
      <c r="AE16" s="31" t="s">
        <v>24</v>
      </c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31" t="s">
        <v>51</v>
      </c>
      <c r="BM16" s="11"/>
      <c r="BN16" s="11"/>
      <c r="BO16" s="11"/>
      <c r="BP16" s="11"/>
      <c r="BS16" s="12"/>
      <c r="BT16" s="11"/>
      <c r="BU16" s="11"/>
      <c r="BV16" s="11"/>
      <c r="BW16" s="11"/>
      <c r="BX16" s="11"/>
      <c r="BY16" s="11"/>
      <c r="BZ16" s="11"/>
      <c r="CA16" s="15"/>
      <c r="CB16" s="11"/>
      <c r="CC16" s="11"/>
      <c r="CD16" s="11"/>
      <c r="CE16" s="11"/>
      <c r="CF16" s="31" t="s">
        <v>57</v>
      </c>
      <c r="CG16" s="12"/>
      <c r="CH16" s="12"/>
      <c r="CI16" s="12"/>
      <c r="CJ16" s="12"/>
      <c r="CK16" s="12"/>
      <c r="CL16" s="12"/>
    </row>
    <row r="17" spans="1:93" s="1" customFormat="1">
      <c r="A17" s="15">
        <v>16</v>
      </c>
      <c r="B17" s="15">
        <v>2022202476</v>
      </c>
      <c r="C17" s="15" t="s">
        <v>339</v>
      </c>
      <c r="D17" s="15" t="s">
        <v>245</v>
      </c>
      <c r="E17" s="15">
        <f>SUM(G17:$XEY17)</f>
        <v>60</v>
      </c>
      <c r="F17" s="3">
        <f>COUNT(G17:$XFD17)</f>
        <v>8</v>
      </c>
      <c r="G17" s="32"/>
      <c r="H17" s="15"/>
      <c r="I17" s="15"/>
      <c r="J17" s="15"/>
      <c r="K17" s="15"/>
      <c r="L17" s="15"/>
      <c r="M17" s="15"/>
      <c r="N17" s="15"/>
      <c r="O17" s="15">
        <v>4</v>
      </c>
      <c r="P17" s="15"/>
      <c r="Q17" s="15"/>
      <c r="R17" s="15"/>
      <c r="S17" s="15"/>
      <c r="T17" s="15"/>
      <c r="U17" s="15">
        <v>4</v>
      </c>
      <c r="V17" s="15"/>
      <c r="W17" s="15">
        <v>2</v>
      </c>
      <c r="X17" s="15"/>
      <c r="Y17" s="15"/>
      <c r="Z17" s="15"/>
      <c r="AA17" s="11"/>
      <c r="AB17" s="11"/>
      <c r="AC17" s="11"/>
      <c r="AD17" s="11"/>
      <c r="AE17" s="31" t="s">
        <v>24</v>
      </c>
      <c r="AF17" s="11">
        <v>11</v>
      </c>
      <c r="AG17" s="11"/>
      <c r="AH17" s="11">
        <v>32</v>
      </c>
      <c r="AI17" s="11"/>
      <c r="AJ17" s="11">
        <v>1</v>
      </c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>
        <v>4</v>
      </c>
      <c r="AZ17" s="11"/>
      <c r="BA17" s="11"/>
      <c r="BB17" s="11"/>
      <c r="BC17" s="11"/>
      <c r="BD17" s="11"/>
      <c r="BE17" s="11"/>
      <c r="BF17" s="11">
        <v>2</v>
      </c>
      <c r="BG17" s="11"/>
      <c r="BH17" s="11"/>
      <c r="BI17" s="11"/>
      <c r="BJ17" s="11"/>
      <c r="BK17" s="11"/>
      <c r="BL17" s="31" t="s">
        <v>51</v>
      </c>
      <c r="BM17" s="11"/>
      <c r="BN17" s="11"/>
      <c r="BO17" s="11"/>
      <c r="BP17" s="11"/>
      <c r="BS17" s="12"/>
      <c r="BT17" s="11"/>
      <c r="BU17" s="11"/>
      <c r="BV17" s="11"/>
      <c r="BW17" s="11"/>
      <c r="BX17" s="11"/>
      <c r="BY17" s="11"/>
      <c r="BZ17" s="11"/>
      <c r="CA17" s="15"/>
      <c r="CB17" s="11"/>
      <c r="CC17" s="11"/>
      <c r="CD17" s="11"/>
      <c r="CE17" s="11"/>
      <c r="CF17" s="31" t="s">
        <v>57</v>
      </c>
      <c r="CG17" s="12"/>
      <c r="CH17" s="12"/>
      <c r="CI17" s="12"/>
      <c r="CJ17" s="12"/>
      <c r="CK17" s="12"/>
      <c r="CL17" s="12"/>
    </row>
    <row r="18" spans="1:93" s="1" customFormat="1">
      <c r="A18" s="15">
        <v>17</v>
      </c>
      <c r="B18" s="15">
        <v>2022202477</v>
      </c>
      <c r="C18" s="15" t="s">
        <v>340</v>
      </c>
      <c r="D18" s="15" t="s">
        <v>245</v>
      </c>
      <c r="E18" s="15">
        <f>SUM(G18:$XEY18)</f>
        <v>23</v>
      </c>
      <c r="F18" s="3">
        <f>COUNT(G18:$XFD18)</f>
        <v>4</v>
      </c>
      <c r="G18" s="32"/>
      <c r="H18" s="15"/>
      <c r="I18" s="15"/>
      <c r="J18" s="15"/>
      <c r="K18" s="15"/>
      <c r="L18" s="15"/>
      <c r="M18" s="15"/>
      <c r="N18" s="15"/>
      <c r="O18" s="15">
        <v>4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1">
        <v>2</v>
      </c>
      <c r="AB18" s="11"/>
      <c r="AC18" s="11"/>
      <c r="AD18" s="11"/>
      <c r="AE18" s="31" t="s">
        <v>24</v>
      </c>
      <c r="AF18" s="11">
        <v>12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31" t="s">
        <v>51</v>
      </c>
      <c r="BM18" s="11"/>
      <c r="BN18" s="11"/>
      <c r="BO18" s="11"/>
      <c r="BP18" s="11"/>
      <c r="BS18" s="12"/>
      <c r="BT18" s="11"/>
      <c r="BU18" s="11"/>
      <c r="BV18" s="11"/>
      <c r="BW18" s="11"/>
      <c r="BX18" s="11"/>
      <c r="BY18" s="11"/>
      <c r="BZ18" s="11"/>
      <c r="CA18" s="15"/>
      <c r="CB18" s="11"/>
      <c r="CC18" s="11"/>
      <c r="CD18" s="11"/>
      <c r="CE18" s="11"/>
      <c r="CF18" s="31" t="s">
        <v>57</v>
      </c>
      <c r="CG18" s="12"/>
      <c r="CH18" s="12"/>
      <c r="CI18" s="12"/>
      <c r="CJ18" s="12"/>
      <c r="CK18" s="12"/>
      <c r="CL18" s="12"/>
      <c r="CN18">
        <v>5</v>
      </c>
      <c r="CO18"/>
    </row>
    <row r="19" spans="1:93" s="1" customFormat="1">
      <c r="A19" s="15">
        <v>18</v>
      </c>
      <c r="B19" s="15">
        <v>2022202482</v>
      </c>
      <c r="C19" s="15" t="s">
        <v>341</v>
      </c>
      <c r="D19" s="15" t="s">
        <v>245</v>
      </c>
      <c r="E19" s="15">
        <f>SUM(G19:$XEY19)</f>
        <v>126</v>
      </c>
      <c r="F19" s="3">
        <f>COUNT(G19:$XFD19)</f>
        <v>5</v>
      </c>
      <c r="G19" s="32"/>
      <c r="H19" s="15"/>
      <c r="I19" s="15"/>
      <c r="J19" s="15"/>
      <c r="K19" s="15"/>
      <c r="L19" s="15"/>
      <c r="M19" s="15"/>
      <c r="N19" s="15"/>
      <c r="O19" s="15"/>
      <c r="P19" s="15"/>
      <c r="Q19" s="15">
        <v>7</v>
      </c>
      <c r="R19" s="15"/>
      <c r="S19" s="15"/>
      <c r="T19" s="15"/>
      <c r="U19" s="15"/>
      <c r="V19" s="15"/>
      <c r="W19" s="15"/>
      <c r="X19" s="15"/>
      <c r="Y19" s="15">
        <v>6</v>
      </c>
      <c r="Z19" s="15"/>
      <c r="AA19" s="11"/>
      <c r="AB19" s="11"/>
      <c r="AC19" s="11"/>
      <c r="AD19" s="11"/>
      <c r="AE19" s="31" t="s">
        <v>24</v>
      </c>
      <c r="AF19" s="11">
        <v>14</v>
      </c>
      <c r="AG19" s="11"/>
      <c r="AH19" s="11"/>
      <c r="AI19" s="11">
        <v>45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>
        <v>54</v>
      </c>
      <c r="BL19" s="31" t="s">
        <v>51</v>
      </c>
      <c r="BM19" s="11"/>
      <c r="BN19" s="11"/>
      <c r="BO19" s="11"/>
      <c r="BP19" s="11"/>
      <c r="BS19" s="12"/>
      <c r="BT19" s="11"/>
      <c r="BU19" s="11"/>
      <c r="BV19" s="11"/>
      <c r="BW19" s="11"/>
      <c r="BX19" s="11"/>
      <c r="BY19" s="11"/>
      <c r="BZ19" s="11"/>
      <c r="CA19" s="15"/>
      <c r="CB19" s="11"/>
      <c r="CC19" s="11"/>
      <c r="CD19" s="11"/>
      <c r="CE19" s="11"/>
      <c r="CF19" s="31" t="s">
        <v>57</v>
      </c>
      <c r="CG19" s="12"/>
      <c r="CH19" s="12"/>
      <c r="CI19" s="12"/>
      <c r="CJ19" s="12"/>
      <c r="CK19" s="12"/>
      <c r="CL19" s="12"/>
    </row>
    <row r="20" spans="1:93" s="1" customFormat="1">
      <c r="A20" s="15">
        <v>19</v>
      </c>
      <c r="B20" s="15">
        <v>2022202483</v>
      </c>
      <c r="C20" s="15" t="s">
        <v>342</v>
      </c>
      <c r="D20" s="15" t="s">
        <v>245</v>
      </c>
      <c r="E20" s="15">
        <f>SUM(G20:$XEY20)</f>
        <v>194</v>
      </c>
      <c r="F20" s="3">
        <f>COUNT(G20:$XFD20)</f>
        <v>6</v>
      </c>
      <c r="G20" s="32">
        <v>21</v>
      </c>
      <c r="H20" s="15"/>
      <c r="I20" s="15"/>
      <c r="J20" s="15"/>
      <c r="K20" s="15"/>
      <c r="L20" s="15"/>
      <c r="M20" s="15"/>
      <c r="N20" s="15"/>
      <c r="O20" s="15">
        <v>4</v>
      </c>
      <c r="P20" s="15">
        <v>7</v>
      </c>
      <c r="Q20" s="15"/>
      <c r="R20" s="15"/>
      <c r="S20" s="15"/>
      <c r="T20" s="15"/>
      <c r="U20" s="15">
        <v>4</v>
      </c>
      <c r="V20" s="15"/>
      <c r="W20" s="15"/>
      <c r="X20" s="15"/>
      <c r="Y20" s="15"/>
      <c r="Z20" s="15"/>
      <c r="AA20" s="11"/>
      <c r="AB20" s="11"/>
      <c r="AC20" s="11"/>
      <c r="AD20" s="11"/>
      <c r="AE20" s="31" t="s">
        <v>24</v>
      </c>
      <c r="AF20" s="11"/>
      <c r="AG20" s="11"/>
      <c r="AH20" s="11"/>
      <c r="AI20" s="11">
        <v>8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>
        <v>150</v>
      </c>
      <c r="BK20" s="11"/>
      <c r="BL20" s="31" t="s">
        <v>51</v>
      </c>
      <c r="BM20" s="11"/>
      <c r="BN20" s="11"/>
      <c r="BO20" s="11"/>
      <c r="BP20" s="11"/>
      <c r="BS20" s="12"/>
      <c r="BT20" s="11"/>
      <c r="BU20" s="11"/>
      <c r="BV20" s="11"/>
      <c r="BW20" s="11"/>
      <c r="BX20" s="11"/>
      <c r="BY20" s="11"/>
      <c r="BZ20" s="11"/>
      <c r="CA20" s="15"/>
      <c r="CB20" s="11"/>
      <c r="CC20" s="11"/>
      <c r="CD20" s="11"/>
      <c r="CE20" s="11"/>
      <c r="CF20" s="31" t="s">
        <v>57</v>
      </c>
      <c r="CG20" s="12"/>
      <c r="CH20" s="12"/>
      <c r="CI20" s="12"/>
      <c r="CJ20" s="12"/>
      <c r="CK20" s="12"/>
      <c r="CL20" s="12"/>
    </row>
    <row r="21" spans="1:93" s="1" customFormat="1">
      <c r="A21" s="15">
        <v>20</v>
      </c>
      <c r="B21" s="15">
        <v>2022202486</v>
      </c>
      <c r="C21" s="15" t="s">
        <v>343</v>
      </c>
      <c r="D21" s="15" t="s">
        <v>245</v>
      </c>
      <c r="E21" s="15">
        <f>SUM(G21:$XEY21)</f>
        <v>146</v>
      </c>
      <c r="F21" s="3">
        <f>COUNT(G21:$XFD21)</f>
        <v>4</v>
      </c>
      <c r="G21" s="32">
        <v>136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1"/>
      <c r="AB21" s="11"/>
      <c r="AC21" s="11"/>
      <c r="AD21" s="11"/>
      <c r="AE21" s="31" t="s">
        <v>24</v>
      </c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>
        <v>4</v>
      </c>
      <c r="BA21" s="11"/>
      <c r="BB21" s="11"/>
      <c r="BC21" s="11"/>
      <c r="BD21" s="11"/>
      <c r="BE21" s="11"/>
      <c r="BF21" s="11">
        <v>2</v>
      </c>
      <c r="BG21" s="11"/>
      <c r="BH21" s="11"/>
      <c r="BI21" s="11"/>
      <c r="BJ21" s="11"/>
      <c r="BK21" s="11">
        <v>4</v>
      </c>
      <c r="BL21" s="31" t="s">
        <v>51</v>
      </c>
      <c r="BM21" s="11"/>
      <c r="BN21" s="11"/>
      <c r="BO21" s="11"/>
      <c r="BP21" s="11"/>
      <c r="BS21" s="12"/>
      <c r="BT21" s="11"/>
      <c r="BU21" s="11"/>
      <c r="BV21" s="11"/>
      <c r="BW21" s="11"/>
      <c r="BX21" s="11"/>
      <c r="BY21" s="11"/>
      <c r="BZ21" s="11"/>
      <c r="CA21" s="15"/>
      <c r="CB21" s="11"/>
      <c r="CC21" s="11"/>
      <c r="CD21" s="11"/>
      <c r="CE21" s="11"/>
      <c r="CF21" s="31" t="s">
        <v>57</v>
      </c>
      <c r="CG21" s="12"/>
      <c r="CH21" s="12"/>
      <c r="CI21" s="12"/>
      <c r="CJ21" s="12"/>
      <c r="CK21" s="12"/>
      <c r="CL21" s="12"/>
    </row>
    <row r="22" spans="1:93" s="1" customFormat="1">
      <c r="A22" s="15">
        <v>21</v>
      </c>
      <c r="B22" s="15">
        <v>2022202488</v>
      </c>
      <c r="C22" s="15" t="s">
        <v>344</v>
      </c>
      <c r="D22" s="15" t="s">
        <v>245</v>
      </c>
      <c r="E22" s="15">
        <f>SUM(G22:$XEY22)</f>
        <v>104</v>
      </c>
      <c r="F22" s="3">
        <f>COUNT(G22:$XFD22)</f>
        <v>4</v>
      </c>
      <c r="G22" s="32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>
        <v>4</v>
      </c>
      <c r="V22" s="15"/>
      <c r="W22" s="15"/>
      <c r="X22" s="15"/>
      <c r="Y22" s="15"/>
      <c r="Z22" s="15">
        <v>16</v>
      </c>
      <c r="AA22" s="11"/>
      <c r="AB22" s="11"/>
      <c r="AC22" s="11"/>
      <c r="AD22" s="11"/>
      <c r="AE22" s="31" t="s">
        <v>24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>
        <v>4</v>
      </c>
      <c r="BA22" s="11"/>
      <c r="BB22" s="11"/>
      <c r="BC22" s="11"/>
      <c r="BD22" s="11"/>
      <c r="BE22" s="11"/>
      <c r="BF22" s="11"/>
      <c r="BG22" s="11"/>
      <c r="BH22" s="11"/>
      <c r="BI22" s="11"/>
      <c r="BJ22" s="11">
        <v>80</v>
      </c>
      <c r="BK22" s="11"/>
      <c r="BL22" s="31" t="s">
        <v>51</v>
      </c>
      <c r="BM22" s="11"/>
      <c r="BN22" s="11"/>
      <c r="BO22" s="11"/>
      <c r="BP22" s="11"/>
      <c r="BS22" s="12"/>
      <c r="BT22" s="11"/>
      <c r="BU22" s="11"/>
      <c r="BV22" s="11"/>
      <c r="BW22" s="11"/>
      <c r="BX22" s="11"/>
      <c r="BY22" s="11"/>
      <c r="BZ22" s="11"/>
      <c r="CA22" s="15"/>
      <c r="CB22" s="11"/>
      <c r="CC22" s="11"/>
      <c r="CD22" s="11"/>
      <c r="CE22" s="11"/>
      <c r="CF22" s="31" t="s">
        <v>57</v>
      </c>
      <c r="CG22" s="12"/>
      <c r="CH22" s="12"/>
      <c r="CI22" s="12"/>
      <c r="CJ22" s="12"/>
      <c r="CK22" s="12"/>
      <c r="CL22" s="12"/>
    </row>
    <row r="23" spans="1:93" s="1" customFormat="1">
      <c r="A23" s="15">
        <v>22</v>
      </c>
      <c r="B23" s="15">
        <v>2022202867</v>
      </c>
      <c r="C23" s="15" t="s">
        <v>345</v>
      </c>
      <c r="D23" s="15" t="s">
        <v>245</v>
      </c>
      <c r="E23" s="15">
        <f>SUM(G23:$XEY23)</f>
        <v>242</v>
      </c>
      <c r="F23" s="3">
        <f>COUNT(G23:$XFD23)</f>
        <v>7</v>
      </c>
      <c r="G23" s="32"/>
      <c r="H23" s="15"/>
      <c r="I23" s="15"/>
      <c r="J23" s="15"/>
      <c r="K23" s="15"/>
      <c r="L23" s="15"/>
      <c r="M23" s="15"/>
      <c r="N23" s="15"/>
      <c r="O23" s="15"/>
      <c r="P23" s="15"/>
      <c r="Q23" s="15">
        <v>7</v>
      </c>
      <c r="R23" s="15"/>
      <c r="S23" s="15"/>
      <c r="T23" s="15"/>
      <c r="U23" s="15">
        <v>4</v>
      </c>
      <c r="V23" s="15"/>
      <c r="W23" s="15"/>
      <c r="X23" s="15"/>
      <c r="Y23" s="15"/>
      <c r="Z23" s="15">
        <v>16</v>
      </c>
      <c r="AA23" s="11">
        <v>84</v>
      </c>
      <c r="AB23" s="11"/>
      <c r="AC23" s="11"/>
      <c r="AD23" s="11"/>
      <c r="AE23" s="31" t="s">
        <v>24</v>
      </c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>
        <v>4</v>
      </c>
      <c r="BA23" s="11"/>
      <c r="BB23" s="11"/>
      <c r="BC23" s="11"/>
      <c r="BD23" s="11"/>
      <c r="BE23" s="11"/>
      <c r="BF23" s="11"/>
      <c r="BG23" s="11"/>
      <c r="BH23" s="11"/>
      <c r="BI23" s="11"/>
      <c r="BJ23" s="11">
        <v>122</v>
      </c>
      <c r="BK23" s="11"/>
      <c r="BL23" s="31" t="s">
        <v>51</v>
      </c>
      <c r="BM23" s="11"/>
      <c r="BN23" s="11"/>
      <c r="BO23" s="11"/>
      <c r="BP23" s="11"/>
      <c r="BS23" s="12"/>
      <c r="BT23" s="11"/>
      <c r="BU23" s="11"/>
      <c r="BV23" s="11"/>
      <c r="BW23" s="11"/>
      <c r="BX23" s="11"/>
      <c r="BY23" s="11"/>
      <c r="BZ23" s="11"/>
      <c r="CA23" s="15"/>
      <c r="CB23" s="11"/>
      <c r="CC23" s="11"/>
      <c r="CD23" s="11"/>
      <c r="CE23" s="11"/>
      <c r="CF23" s="31" t="s">
        <v>57</v>
      </c>
      <c r="CG23" s="12"/>
      <c r="CH23" s="12"/>
      <c r="CI23" s="12"/>
      <c r="CJ23" s="12"/>
      <c r="CK23" s="12"/>
      <c r="CL23" s="12"/>
      <c r="CN23">
        <v>5</v>
      </c>
      <c r="CO23"/>
    </row>
    <row r="24" spans="1:93" s="1" customFormat="1">
      <c r="A24" s="15">
        <v>23</v>
      </c>
      <c r="B24" s="15">
        <v>2022202868</v>
      </c>
      <c r="C24" s="15" t="s">
        <v>346</v>
      </c>
      <c r="D24" s="15" t="s">
        <v>245</v>
      </c>
      <c r="E24" s="15">
        <f>SUM(G24:$XEY24)</f>
        <v>117</v>
      </c>
      <c r="F24" s="3">
        <f>COUNT(G24:$XFD24)</f>
        <v>11</v>
      </c>
      <c r="G24" s="32"/>
      <c r="H24" s="15"/>
      <c r="I24" s="15">
        <v>4</v>
      </c>
      <c r="J24" s="15"/>
      <c r="K24" s="15"/>
      <c r="L24" s="15"/>
      <c r="M24" s="15"/>
      <c r="N24" s="15"/>
      <c r="O24" s="15">
        <v>4</v>
      </c>
      <c r="P24" s="15">
        <v>7</v>
      </c>
      <c r="Q24" s="15"/>
      <c r="R24" s="15"/>
      <c r="S24" s="15"/>
      <c r="T24" s="15"/>
      <c r="U24" s="15">
        <v>4</v>
      </c>
      <c r="V24" s="15">
        <v>4</v>
      </c>
      <c r="W24" s="15"/>
      <c r="X24" s="15"/>
      <c r="Y24" s="15"/>
      <c r="Z24" s="15"/>
      <c r="AA24" s="11"/>
      <c r="AB24" s="11"/>
      <c r="AC24" s="11">
        <v>4</v>
      </c>
      <c r="AD24" s="11"/>
      <c r="AE24" s="31" t="s">
        <v>24</v>
      </c>
      <c r="AF24" s="11"/>
      <c r="AG24" s="11"/>
      <c r="AH24" s="11">
        <v>33</v>
      </c>
      <c r="AI24" s="11"/>
      <c r="AJ24" s="11"/>
      <c r="AK24" s="11"/>
      <c r="AL24" s="11"/>
      <c r="AM24" s="11"/>
      <c r="AN24" s="11"/>
      <c r="AO24" s="11"/>
      <c r="AP24" s="11"/>
      <c r="AQ24" s="11">
        <v>8</v>
      </c>
      <c r="AR24" s="11"/>
      <c r="AS24" s="11"/>
      <c r="AT24" s="11"/>
      <c r="AU24" s="11"/>
      <c r="AV24" s="11"/>
      <c r="AW24" s="11"/>
      <c r="AX24" s="11"/>
      <c r="AY24" s="11"/>
      <c r="AZ24" s="11">
        <v>4</v>
      </c>
      <c r="BA24" s="11"/>
      <c r="BB24" s="11"/>
      <c r="BC24" s="11"/>
      <c r="BD24" s="11"/>
      <c r="BE24" s="11"/>
      <c r="BF24" s="11"/>
      <c r="BG24" s="11"/>
      <c r="BH24" s="11"/>
      <c r="BI24" s="11"/>
      <c r="BJ24" s="11">
        <v>40</v>
      </c>
      <c r="BK24" s="11"/>
      <c r="BL24" s="31" t="s">
        <v>51</v>
      </c>
      <c r="BM24" s="11"/>
      <c r="BN24" s="11"/>
      <c r="BO24" s="11"/>
      <c r="BP24" s="11"/>
      <c r="BS24" s="12"/>
      <c r="BT24" s="11"/>
      <c r="BU24" s="11"/>
      <c r="BV24" s="11"/>
      <c r="BW24" s="11"/>
      <c r="BX24" s="11"/>
      <c r="BY24" s="11"/>
      <c r="BZ24" s="11"/>
      <c r="CA24" s="15"/>
      <c r="CB24" s="11"/>
      <c r="CC24" s="11"/>
      <c r="CD24" s="11"/>
      <c r="CE24" s="11"/>
      <c r="CF24" s="31" t="s">
        <v>57</v>
      </c>
      <c r="CG24" s="12"/>
      <c r="CH24" s="12"/>
      <c r="CI24" s="12"/>
      <c r="CJ24" s="12"/>
      <c r="CK24" s="12"/>
      <c r="CL24" s="12"/>
      <c r="CN24">
        <v>5</v>
      </c>
      <c r="CO24"/>
    </row>
    <row r="25" spans="1:93" s="1" customFormat="1">
      <c r="A25" s="15">
        <v>24</v>
      </c>
      <c r="B25" s="15">
        <v>2022202364</v>
      </c>
      <c r="C25" s="15" t="s">
        <v>347</v>
      </c>
      <c r="D25" s="15" t="s">
        <v>245</v>
      </c>
      <c r="E25" s="15">
        <f>SUM(G25:$XEY25)</f>
        <v>174</v>
      </c>
      <c r="F25" s="3">
        <f>COUNT(G25:$XFD25)</f>
        <v>11</v>
      </c>
      <c r="G25" s="32">
        <v>30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>
        <v>4</v>
      </c>
      <c r="V25" s="15"/>
      <c r="W25" s="15"/>
      <c r="X25" s="15"/>
      <c r="Y25" s="15"/>
      <c r="Z25" s="15"/>
      <c r="AA25" s="11"/>
      <c r="AB25" s="11"/>
      <c r="AC25" s="11"/>
      <c r="AD25" s="11"/>
      <c r="AE25" s="31" t="s">
        <v>24</v>
      </c>
      <c r="AF25" s="11">
        <v>10</v>
      </c>
      <c r="AG25" s="11"/>
      <c r="AH25" s="11">
        <v>12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>
        <v>4</v>
      </c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>
        <v>10</v>
      </c>
      <c r="BL25" s="31" t="s">
        <v>51</v>
      </c>
      <c r="BM25" s="11"/>
      <c r="BN25" s="11"/>
      <c r="BO25" s="11"/>
      <c r="BP25" s="11"/>
      <c r="BS25" s="12">
        <v>100</v>
      </c>
      <c r="BT25" s="11">
        <v>0</v>
      </c>
      <c r="BU25" s="11">
        <v>0</v>
      </c>
      <c r="BV25" s="11">
        <v>0</v>
      </c>
      <c r="BW25" s="11"/>
      <c r="BX25" s="11"/>
      <c r="BY25" s="11"/>
      <c r="BZ25" s="11"/>
      <c r="CA25" s="15"/>
      <c r="CB25" s="11"/>
      <c r="CC25" s="11"/>
      <c r="CD25" s="11"/>
      <c r="CE25" s="11"/>
      <c r="CF25" s="31" t="s">
        <v>57</v>
      </c>
      <c r="CG25" s="12"/>
      <c r="CH25" s="12"/>
      <c r="CI25" s="12"/>
      <c r="CJ25" s="12"/>
      <c r="CK25" s="12"/>
      <c r="CL25" s="12"/>
      <c r="CM25" s="1">
        <v>4</v>
      </c>
    </row>
    <row r="26" spans="1:93" s="1" customFormat="1">
      <c r="A26" s="15">
        <v>25</v>
      </c>
      <c r="B26" s="15">
        <v>2022202365</v>
      </c>
      <c r="C26" s="15" t="s">
        <v>348</v>
      </c>
      <c r="D26" s="15" t="s">
        <v>245</v>
      </c>
      <c r="E26" s="15">
        <f>SUM(G26:$XEY26)</f>
        <v>35</v>
      </c>
      <c r="F26" s="3">
        <f>COUNT(G26:$XFD26)</f>
        <v>8</v>
      </c>
      <c r="G26" s="32"/>
      <c r="H26" s="15"/>
      <c r="I26" s="15">
        <v>4</v>
      </c>
      <c r="J26" s="15"/>
      <c r="K26" s="15"/>
      <c r="L26" s="15"/>
      <c r="M26" s="15"/>
      <c r="N26" s="15"/>
      <c r="O26" s="15">
        <v>4</v>
      </c>
      <c r="P26" s="15"/>
      <c r="Q26" s="15"/>
      <c r="R26" s="15"/>
      <c r="S26" s="15"/>
      <c r="T26" s="15"/>
      <c r="U26" s="15">
        <v>4</v>
      </c>
      <c r="V26" s="15"/>
      <c r="W26" s="15"/>
      <c r="X26" s="15"/>
      <c r="Y26" s="15"/>
      <c r="Z26" s="15"/>
      <c r="AA26" s="11"/>
      <c r="AB26" s="11"/>
      <c r="AC26" s="11"/>
      <c r="AD26" s="11"/>
      <c r="AE26" s="31" t="s">
        <v>24</v>
      </c>
      <c r="AF26" s="11"/>
      <c r="AG26" s="11">
        <v>0.5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>
        <v>4</v>
      </c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>
        <v>10</v>
      </c>
      <c r="BL26" s="31" t="s">
        <v>51</v>
      </c>
      <c r="BM26" s="11"/>
      <c r="BN26" s="11"/>
      <c r="BO26" s="11"/>
      <c r="BP26" s="11"/>
      <c r="BS26" s="12"/>
      <c r="BT26" s="11"/>
      <c r="BU26" s="11"/>
      <c r="BV26" s="11"/>
      <c r="BW26" s="11"/>
      <c r="BX26" s="11"/>
      <c r="BY26" s="11"/>
      <c r="BZ26" s="11"/>
      <c r="CA26" s="15"/>
      <c r="CB26" s="11"/>
      <c r="CC26" s="11"/>
      <c r="CD26" s="11"/>
      <c r="CE26" s="11"/>
      <c r="CF26" s="31" t="s">
        <v>57</v>
      </c>
      <c r="CG26" s="12"/>
      <c r="CH26" s="12"/>
      <c r="CI26" s="12"/>
      <c r="CJ26" s="12"/>
      <c r="CK26" s="12">
        <v>3.5</v>
      </c>
      <c r="CL26" s="12"/>
      <c r="CN26">
        <v>5</v>
      </c>
      <c r="CO26"/>
    </row>
    <row r="27" spans="1:93" s="1" customFormat="1">
      <c r="A27" s="15">
        <v>26</v>
      </c>
      <c r="B27" s="15">
        <v>2022202379</v>
      </c>
      <c r="C27" s="15" t="s">
        <v>349</v>
      </c>
      <c r="D27" s="15" t="s">
        <v>245</v>
      </c>
      <c r="E27" s="15">
        <f>SUM(G27:$XEY27)</f>
        <v>50</v>
      </c>
      <c r="F27" s="3">
        <f>COUNT(G27:$XFD27)</f>
        <v>8</v>
      </c>
      <c r="G27" s="32">
        <v>10</v>
      </c>
      <c r="H27" s="15"/>
      <c r="I27" s="15"/>
      <c r="J27" s="15"/>
      <c r="K27" s="15"/>
      <c r="L27" s="15"/>
      <c r="M27" s="15"/>
      <c r="N27" s="15">
        <v>8</v>
      </c>
      <c r="O27" s="15"/>
      <c r="P27" s="15"/>
      <c r="Q27" s="15"/>
      <c r="R27" s="15"/>
      <c r="S27" s="15"/>
      <c r="T27" s="15"/>
      <c r="U27" s="15">
        <v>4</v>
      </c>
      <c r="V27" s="15">
        <v>4</v>
      </c>
      <c r="W27" s="15"/>
      <c r="X27" s="15"/>
      <c r="Y27" s="15"/>
      <c r="Z27" s="15">
        <v>16</v>
      </c>
      <c r="AA27" s="11">
        <v>2</v>
      </c>
      <c r="AB27" s="11"/>
      <c r="AC27" s="11"/>
      <c r="AD27" s="11"/>
      <c r="AE27" s="31" t="s">
        <v>24</v>
      </c>
      <c r="AF27" s="11"/>
      <c r="AG27" s="11"/>
      <c r="AH27" s="11"/>
      <c r="AI27" s="11"/>
      <c r="AJ27" s="11"/>
      <c r="AK27" s="11"/>
      <c r="AL27" s="11"/>
      <c r="AM27" s="11"/>
      <c r="AN27" s="11">
        <v>2</v>
      </c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>
        <v>4</v>
      </c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31" t="s">
        <v>51</v>
      </c>
      <c r="BM27" s="11"/>
      <c r="BN27" s="11"/>
      <c r="BO27" s="11"/>
      <c r="BP27" s="11"/>
      <c r="BS27" s="12"/>
      <c r="BT27" s="11"/>
      <c r="BU27" s="11"/>
      <c r="BV27" s="11"/>
      <c r="BW27" s="11"/>
      <c r="BX27" s="11"/>
      <c r="BY27" s="11"/>
      <c r="BZ27" s="11"/>
      <c r="CA27" s="15"/>
      <c r="CB27" s="11"/>
      <c r="CC27" s="11"/>
      <c r="CD27" s="11"/>
      <c r="CE27" s="11"/>
      <c r="CF27" s="31" t="s">
        <v>57</v>
      </c>
      <c r="CG27" s="12"/>
      <c r="CH27" s="12"/>
      <c r="CI27" s="12"/>
      <c r="CJ27" s="12"/>
      <c r="CK27" s="12"/>
      <c r="CL27" s="12"/>
    </row>
    <row r="28" spans="1:93" s="1" customFormat="1">
      <c r="A28" s="15">
        <v>27</v>
      </c>
      <c r="B28" s="15">
        <v>2022202387</v>
      </c>
      <c r="C28" s="15" t="s">
        <v>350</v>
      </c>
      <c r="D28" s="15" t="s">
        <v>245</v>
      </c>
      <c r="E28" s="15">
        <f>SUM(G28:$XEY28)</f>
        <v>51.5</v>
      </c>
      <c r="F28" s="3">
        <f>COUNT(G28:$XFD28)</f>
        <v>8</v>
      </c>
      <c r="G28" s="32"/>
      <c r="H28" s="15"/>
      <c r="I28" s="15"/>
      <c r="J28" s="15"/>
      <c r="K28" s="15"/>
      <c r="L28" s="15">
        <v>4</v>
      </c>
      <c r="M28" s="15">
        <v>6</v>
      </c>
      <c r="N28" s="15"/>
      <c r="O28" s="15"/>
      <c r="P28" s="15"/>
      <c r="Q28" s="15"/>
      <c r="R28" s="15"/>
      <c r="S28" s="15"/>
      <c r="T28" s="15"/>
      <c r="U28" s="15">
        <v>4</v>
      </c>
      <c r="V28" s="15"/>
      <c r="W28" s="15"/>
      <c r="X28" s="15"/>
      <c r="Y28" s="15">
        <v>4</v>
      </c>
      <c r="Z28" s="15">
        <v>8</v>
      </c>
      <c r="AA28" s="11"/>
      <c r="AB28" s="11"/>
      <c r="AC28" s="11"/>
      <c r="AD28" s="11"/>
      <c r="AE28" s="31" t="s">
        <v>24</v>
      </c>
      <c r="AF28" s="11"/>
      <c r="AG28" s="11">
        <v>0.5</v>
      </c>
      <c r="AH28" s="11"/>
      <c r="AI28" s="11"/>
      <c r="AJ28" s="11"/>
      <c r="AK28" s="11"/>
      <c r="AL28" s="11"/>
      <c r="AM28" s="11"/>
      <c r="AN28" s="11"/>
      <c r="AO28" s="11"/>
      <c r="AP28" s="11">
        <v>20</v>
      </c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31" t="s">
        <v>51</v>
      </c>
      <c r="BM28" s="11"/>
      <c r="BN28" s="11"/>
      <c r="BO28" s="11"/>
      <c r="BP28" s="11"/>
      <c r="BS28" s="12"/>
      <c r="BT28" s="11"/>
      <c r="BU28" s="11"/>
      <c r="BV28" s="11"/>
      <c r="BW28" s="11"/>
      <c r="BX28" s="11"/>
      <c r="BY28" s="11"/>
      <c r="BZ28" s="11"/>
      <c r="CA28" s="15"/>
      <c r="CB28" s="11"/>
      <c r="CC28" s="11"/>
      <c r="CD28" s="11"/>
      <c r="CE28" s="11"/>
      <c r="CF28" s="31" t="s">
        <v>57</v>
      </c>
      <c r="CG28" s="12"/>
      <c r="CH28" s="12"/>
      <c r="CI28" s="12"/>
      <c r="CJ28" s="12"/>
      <c r="CK28" s="12"/>
      <c r="CL28" s="12"/>
      <c r="CN28">
        <v>5</v>
      </c>
      <c r="CO28"/>
    </row>
    <row r="29" spans="1:93" s="1" customFormat="1">
      <c r="A29" s="15">
        <v>28</v>
      </c>
      <c r="B29" s="15">
        <v>2022202392</v>
      </c>
      <c r="C29" s="15" t="s">
        <v>351</v>
      </c>
      <c r="D29" s="15" t="s">
        <v>245</v>
      </c>
      <c r="E29" s="15">
        <f>SUM(G29:$XEY29)</f>
        <v>38</v>
      </c>
      <c r="F29" s="3">
        <f>COUNT(G29:$XFD29)</f>
        <v>6</v>
      </c>
      <c r="G29" s="32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>
        <v>4</v>
      </c>
      <c r="V29" s="15">
        <v>4</v>
      </c>
      <c r="W29" s="15"/>
      <c r="X29" s="15"/>
      <c r="Y29" s="15"/>
      <c r="Z29" s="15">
        <v>16</v>
      </c>
      <c r="AA29" s="11"/>
      <c r="AB29" s="11"/>
      <c r="AC29" s="11"/>
      <c r="AD29" s="11"/>
      <c r="AE29" s="31" t="s">
        <v>24</v>
      </c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>
        <v>3</v>
      </c>
      <c r="AT29" s="11"/>
      <c r="AU29" s="11"/>
      <c r="AV29" s="11"/>
      <c r="AW29" s="11"/>
      <c r="AX29" s="11">
        <v>6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31" t="s">
        <v>51</v>
      </c>
      <c r="BM29" s="11"/>
      <c r="BN29" s="11"/>
      <c r="BO29" s="11"/>
      <c r="BP29" s="11"/>
      <c r="BS29" s="12"/>
      <c r="BT29" s="11"/>
      <c r="BU29" s="11"/>
      <c r="BV29" s="11"/>
      <c r="BW29" s="11"/>
      <c r="BX29" s="11"/>
      <c r="BY29" s="11"/>
      <c r="BZ29" s="11"/>
      <c r="CA29" s="15"/>
      <c r="CB29" s="11"/>
      <c r="CC29" s="11"/>
      <c r="CD29" s="11"/>
      <c r="CE29" s="11"/>
      <c r="CF29" s="31" t="s">
        <v>57</v>
      </c>
      <c r="CG29" s="12"/>
      <c r="CH29" s="12"/>
      <c r="CI29" s="12"/>
      <c r="CJ29" s="12"/>
      <c r="CK29" s="12"/>
      <c r="CL29" s="12"/>
      <c r="CN29">
        <v>5</v>
      </c>
      <c r="CO29"/>
    </row>
    <row r="30" spans="1:93" s="1" customFormat="1">
      <c r="A30" s="15">
        <v>29</v>
      </c>
      <c r="B30" s="15">
        <v>2022202397</v>
      </c>
      <c r="C30" s="15" t="s">
        <v>352</v>
      </c>
      <c r="D30" s="15" t="s">
        <v>245</v>
      </c>
      <c r="E30" s="15">
        <f>SUM(G30:$XEY30)</f>
        <v>63.5</v>
      </c>
      <c r="F30" s="3">
        <f>COUNT(G30:$XFD30)</f>
        <v>6</v>
      </c>
      <c r="G30" s="32"/>
      <c r="H30" s="15"/>
      <c r="I30" s="15">
        <v>3.5</v>
      </c>
      <c r="J30" s="15"/>
      <c r="K30" s="15"/>
      <c r="L30" s="15"/>
      <c r="M30" s="15"/>
      <c r="N30" s="15">
        <v>8</v>
      </c>
      <c r="O30" s="15"/>
      <c r="P30" s="15"/>
      <c r="Q30" s="15"/>
      <c r="R30" s="15"/>
      <c r="S30" s="15"/>
      <c r="T30" s="15"/>
      <c r="U30" s="15">
        <v>4</v>
      </c>
      <c r="V30" s="15"/>
      <c r="W30" s="15"/>
      <c r="X30" s="15"/>
      <c r="Y30" s="15"/>
      <c r="Z30" s="15">
        <v>16</v>
      </c>
      <c r="AA30" s="11"/>
      <c r="AB30" s="11"/>
      <c r="AC30" s="11"/>
      <c r="AD30" s="11"/>
      <c r="AE30" s="31" t="s">
        <v>24</v>
      </c>
      <c r="AF30" s="11"/>
      <c r="AG30" s="11"/>
      <c r="AH30" s="11">
        <v>27</v>
      </c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31" t="s">
        <v>51</v>
      </c>
      <c r="BM30" s="11"/>
      <c r="BN30" s="11"/>
      <c r="BO30" s="11"/>
      <c r="BP30" s="11"/>
      <c r="BS30" s="12"/>
      <c r="BT30" s="11"/>
      <c r="BU30" s="11"/>
      <c r="BV30" s="11"/>
      <c r="BW30" s="11"/>
      <c r="BX30" s="11"/>
      <c r="BY30" s="11"/>
      <c r="BZ30" s="11"/>
      <c r="CA30" s="15"/>
      <c r="CB30" s="11"/>
      <c r="CC30" s="11"/>
      <c r="CD30" s="11"/>
      <c r="CE30" s="11"/>
      <c r="CF30" s="31" t="s">
        <v>57</v>
      </c>
      <c r="CG30" s="12"/>
      <c r="CH30" s="12"/>
      <c r="CI30" s="12"/>
      <c r="CJ30" s="12"/>
      <c r="CK30" s="12"/>
      <c r="CL30" s="12"/>
      <c r="CN30">
        <v>5</v>
      </c>
      <c r="CO30"/>
    </row>
    <row r="31" spans="1:93" s="1" customFormat="1">
      <c r="A31" s="15">
        <v>30</v>
      </c>
      <c r="B31" s="15">
        <v>2022202399</v>
      </c>
      <c r="C31" s="15" t="s">
        <v>353</v>
      </c>
      <c r="D31" s="15" t="s">
        <v>245</v>
      </c>
      <c r="E31" s="15">
        <f>SUM(G31:$XEY31)</f>
        <v>48</v>
      </c>
      <c r="F31" s="3">
        <f>COUNT(G31:$XFD31)</f>
        <v>7</v>
      </c>
      <c r="G31" s="32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1"/>
      <c r="AB31" s="11"/>
      <c r="AC31" s="11"/>
      <c r="AD31" s="11"/>
      <c r="AE31" s="31" t="s">
        <v>24</v>
      </c>
      <c r="AF31" s="11"/>
      <c r="AG31" s="11"/>
      <c r="AH31" s="11"/>
      <c r="AI31" s="11"/>
      <c r="AJ31" s="11">
        <v>2</v>
      </c>
      <c r="AK31" s="11"/>
      <c r="AL31" s="11"/>
      <c r="AM31" s="11"/>
      <c r="AN31" s="11"/>
      <c r="AO31" s="11"/>
      <c r="AP31" s="11"/>
      <c r="AQ31" s="11"/>
      <c r="AR31" s="11">
        <v>8</v>
      </c>
      <c r="AS31" s="11"/>
      <c r="AT31" s="11"/>
      <c r="AU31" s="11"/>
      <c r="AV31" s="11"/>
      <c r="AW31" s="11"/>
      <c r="AX31" s="11"/>
      <c r="AY31" s="11"/>
      <c r="AZ31" s="11">
        <v>4</v>
      </c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31" t="s">
        <v>51</v>
      </c>
      <c r="BM31" s="11"/>
      <c r="BN31" s="11"/>
      <c r="BO31" s="11"/>
      <c r="BP31" s="11"/>
      <c r="BQ31" s="1">
        <v>4</v>
      </c>
      <c r="BS31" s="12">
        <v>20</v>
      </c>
      <c r="BT31" s="11"/>
      <c r="BU31" s="11"/>
      <c r="BV31" s="11"/>
      <c r="BW31" s="11"/>
      <c r="BX31" s="11"/>
      <c r="BY31" s="11"/>
      <c r="BZ31" s="11"/>
      <c r="CA31" s="15"/>
      <c r="CB31" s="11"/>
      <c r="CC31" s="11"/>
      <c r="CD31" s="11"/>
      <c r="CE31" s="11"/>
      <c r="CF31" s="31" t="s">
        <v>57</v>
      </c>
      <c r="CG31" s="12"/>
      <c r="CH31" s="12"/>
      <c r="CI31" s="12"/>
      <c r="CJ31" s="12"/>
      <c r="CK31" s="12"/>
      <c r="CL31" s="12">
        <v>5</v>
      </c>
      <c r="CN31">
        <v>5</v>
      </c>
      <c r="CO31"/>
    </row>
    <row r="32" spans="1:93" s="1" customFormat="1">
      <c r="A32" s="15">
        <v>31</v>
      </c>
      <c r="B32" s="15">
        <v>2022202405</v>
      </c>
      <c r="C32" s="15" t="s">
        <v>354</v>
      </c>
      <c r="D32" s="15" t="s">
        <v>245</v>
      </c>
      <c r="E32" s="15">
        <f>SUM(G32:$XEY32)</f>
        <v>54</v>
      </c>
      <c r="F32" s="3">
        <f>COUNT(G32:$XFD32)</f>
        <v>9</v>
      </c>
      <c r="G32" s="32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1"/>
      <c r="AB32" s="11"/>
      <c r="AC32" s="11"/>
      <c r="AD32" s="11"/>
      <c r="AE32" s="31" t="s">
        <v>24</v>
      </c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31" t="s">
        <v>51</v>
      </c>
      <c r="BM32" s="11"/>
      <c r="BN32" s="11"/>
      <c r="BO32" s="11"/>
      <c r="BP32" s="11"/>
      <c r="BS32" s="12">
        <v>30</v>
      </c>
      <c r="BT32" s="11">
        <v>0</v>
      </c>
      <c r="BU32" s="11">
        <v>0</v>
      </c>
      <c r="BV32" s="11">
        <v>0</v>
      </c>
      <c r="BW32" s="11">
        <v>0</v>
      </c>
      <c r="BX32" s="11"/>
      <c r="BY32" s="11"/>
      <c r="BZ32" s="11"/>
      <c r="CA32" s="15"/>
      <c r="CB32" s="11"/>
      <c r="CC32" s="11"/>
      <c r="CD32" s="11"/>
      <c r="CE32" s="11"/>
      <c r="CF32" s="31" t="s">
        <v>57</v>
      </c>
      <c r="CG32" s="12">
        <v>24</v>
      </c>
      <c r="CH32" s="12">
        <v>0</v>
      </c>
      <c r="CI32" s="12">
        <v>0</v>
      </c>
      <c r="CJ32" s="12">
        <v>0</v>
      </c>
      <c r="CK32" s="12"/>
      <c r="CL32" s="12"/>
    </row>
    <row r="33" spans="1:93" s="1" customFormat="1">
      <c r="A33" s="15">
        <v>32</v>
      </c>
      <c r="B33" s="15">
        <v>2022202409</v>
      </c>
      <c r="C33" s="15" t="s">
        <v>355</v>
      </c>
      <c r="D33" s="15" t="s">
        <v>245</v>
      </c>
      <c r="E33" s="15">
        <f>SUM(G33:$XEY33)</f>
        <v>13</v>
      </c>
      <c r="F33" s="3">
        <f>COUNT(G33:$XFD33)</f>
        <v>3</v>
      </c>
      <c r="G33" s="32"/>
      <c r="H33" s="15"/>
      <c r="I33" s="15"/>
      <c r="J33" s="15"/>
      <c r="K33" s="15"/>
      <c r="L33" s="15"/>
      <c r="M33" s="15"/>
      <c r="N33" s="15"/>
      <c r="O33" s="15">
        <v>4</v>
      </c>
      <c r="P33" s="15"/>
      <c r="Q33" s="15"/>
      <c r="R33" s="15"/>
      <c r="S33" s="15"/>
      <c r="T33" s="15"/>
      <c r="U33" s="15">
        <v>4</v>
      </c>
      <c r="V33" s="15"/>
      <c r="W33" s="15"/>
      <c r="X33" s="15"/>
      <c r="Y33" s="15"/>
      <c r="Z33" s="15"/>
      <c r="AA33" s="11"/>
      <c r="AB33" s="11"/>
      <c r="AC33" s="11"/>
      <c r="AD33" s="11"/>
      <c r="AE33" s="31" t="s">
        <v>24</v>
      </c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31" t="s">
        <v>51</v>
      </c>
      <c r="BM33" s="11"/>
      <c r="BN33" s="11"/>
      <c r="BO33" s="11"/>
      <c r="BP33" s="11"/>
      <c r="BS33" s="12"/>
      <c r="BT33" s="11"/>
      <c r="BU33" s="11"/>
      <c r="BV33" s="11"/>
      <c r="BW33" s="11"/>
      <c r="BX33" s="11"/>
      <c r="BY33" s="11"/>
      <c r="BZ33" s="11"/>
      <c r="CA33" s="15"/>
      <c r="CB33" s="11"/>
      <c r="CC33" s="11"/>
      <c r="CD33" s="11"/>
      <c r="CE33" s="11"/>
      <c r="CF33" s="31" t="s">
        <v>57</v>
      </c>
      <c r="CG33" s="12"/>
      <c r="CH33" s="12"/>
      <c r="CI33" s="12"/>
      <c r="CJ33" s="12"/>
      <c r="CK33" s="12"/>
      <c r="CL33" s="12"/>
      <c r="CN33">
        <v>5</v>
      </c>
      <c r="CO33"/>
    </row>
    <row r="34" spans="1:93" s="1" customFormat="1">
      <c r="A34" s="15">
        <v>33</v>
      </c>
      <c r="B34" s="15">
        <v>2022202418</v>
      </c>
      <c r="C34" s="15" t="s">
        <v>356</v>
      </c>
      <c r="D34" s="15" t="s">
        <v>245</v>
      </c>
      <c r="E34" s="15">
        <f>SUM(G34:$XEY34)</f>
        <v>70.5</v>
      </c>
      <c r="F34" s="3">
        <f>COUNT(G34:$XFD34)</f>
        <v>9</v>
      </c>
      <c r="G34" s="32"/>
      <c r="H34" s="15"/>
      <c r="I34" s="15"/>
      <c r="J34" s="15"/>
      <c r="K34" s="15"/>
      <c r="L34" s="15"/>
      <c r="M34" s="15"/>
      <c r="N34" s="15"/>
      <c r="O34" s="15">
        <v>4</v>
      </c>
      <c r="P34" s="15"/>
      <c r="Q34" s="15"/>
      <c r="R34" s="15"/>
      <c r="S34" s="15"/>
      <c r="T34" s="15"/>
      <c r="U34" s="15">
        <v>4</v>
      </c>
      <c r="V34" s="15">
        <v>4</v>
      </c>
      <c r="W34" s="15"/>
      <c r="X34" s="15"/>
      <c r="Y34" s="15"/>
      <c r="Z34" s="15">
        <v>16</v>
      </c>
      <c r="AA34" s="11"/>
      <c r="AB34" s="11"/>
      <c r="AC34" s="11"/>
      <c r="AD34" s="11"/>
      <c r="AE34" s="31" t="s">
        <v>24</v>
      </c>
      <c r="AF34" s="11">
        <v>10</v>
      </c>
      <c r="AG34" s="11">
        <v>0.5</v>
      </c>
      <c r="AH34" s="11">
        <v>26</v>
      </c>
      <c r="AI34" s="11"/>
      <c r="AJ34" s="11">
        <v>2</v>
      </c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31" t="s">
        <v>51</v>
      </c>
      <c r="BM34" s="11"/>
      <c r="BN34" s="11"/>
      <c r="BO34" s="11"/>
      <c r="BP34" s="11"/>
      <c r="BS34" s="12"/>
      <c r="BT34" s="11"/>
      <c r="BU34" s="11"/>
      <c r="BV34" s="11"/>
      <c r="BW34" s="11"/>
      <c r="BX34" s="11"/>
      <c r="BY34" s="11"/>
      <c r="BZ34" s="11"/>
      <c r="CA34" s="15"/>
      <c r="CB34" s="11"/>
      <c r="CC34" s="11"/>
      <c r="CD34" s="11"/>
      <c r="CE34" s="11"/>
      <c r="CF34" s="31" t="s">
        <v>57</v>
      </c>
      <c r="CG34" s="12"/>
      <c r="CH34" s="12"/>
      <c r="CI34" s="12"/>
      <c r="CJ34" s="12"/>
      <c r="CK34" s="12"/>
      <c r="CL34" s="12"/>
      <c r="CN34"/>
      <c r="CO34">
        <v>4</v>
      </c>
    </row>
    <row r="35" spans="1:93" s="1" customFormat="1">
      <c r="A35" s="15">
        <v>34</v>
      </c>
      <c r="B35" s="15">
        <v>2022202419</v>
      </c>
      <c r="C35" s="15" t="s">
        <v>357</v>
      </c>
      <c r="D35" s="15" t="s">
        <v>245</v>
      </c>
      <c r="E35" s="15">
        <f>SUM(G35:$XEY35)</f>
        <v>17</v>
      </c>
      <c r="F35" s="3">
        <f>COUNT(G35:$XFD35)</f>
        <v>5</v>
      </c>
      <c r="G35" s="32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>
        <v>4</v>
      </c>
      <c r="V35" s="15">
        <v>4</v>
      </c>
      <c r="W35" s="15">
        <v>2</v>
      </c>
      <c r="X35" s="15"/>
      <c r="Y35" s="15"/>
      <c r="Z35" s="15"/>
      <c r="AA35" s="11"/>
      <c r="AB35" s="11"/>
      <c r="AC35" s="11"/>
      <c r="AD35" s="11"/>
      <c r="AE35" s="31" t="s">
        <v>24</v>
      </c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>
        <v>2</v>
      </c>
      <c r="BG35" s="11"/>
      <c r="BH35" s="11"/>
      <c r="BI35" s="11"/>
      <c r="BJ35" s="11"/>
      <c r="BK35" s="11"/>
      <c r="BL35" s="31" t="s">
        <v>51</v>
      </c>
      <c r="BM35" s="11"/>
      <c r="BN35" s="11"/>
      <c r="BO35" s="11"/>
      <c r="BP35" s="11"/>
      <c r="BS35" s="12"/>
      <c r="BT35" s="11"/>
      <c r="BU35" s="11"/>
      <c r="BV35" s="11"/>
      <c r="BW35" s="11"/>
      <c r="BX35" s="11"/>
      <c r="BY35" s="11"/>
      <c r="BZ35" s="11"/>
      <c r="CA35" s="15"/>
      <c r="CB35" s="11"/>
      <c r="CC35" s="11"/>
      <c r="CD35" s="11"/>
      <c r="CE35" s="11"/>
      <c r="CF35" s="31" t="s">
        <v>57</v>
      </c>
      <c r="CG35" s="12"/>
      <c r="CH35" s="12"/>
      <c r="CI35" s="12"/>
      <c r="CJ35" s="12"/>
      <c r="CK35" s="12"/>
      <c r="CL35" s="12"/>
      <c r="CN35">
        <v>5</v>
      </c>
      <c r="CO35"/>
    </row>
    <row r="36" spans="1:93" s="1" customFormat="1">
      <c r="A36" s="15">
        <v>35</v>
      </c>
      <c r="B36" s="15">
        <v>2022202420</v>
      </c>
      <c r="C36" s="15" t="s">
        <v>358</v>
      </c>
      <c r="D36" s="15" t="s">
        <v>245</v>
      </c>
      <c r="E36" s="15">
        <f>SUM(G36:$XEY36)</f>
        <v>71</v>
      </c>
      <c r="F36" s="3">
        <f>COUNT(G36:$XFD36)</f>
        <v>6</v>
      </c>
      <c r="G36" s="32">
        <v>19</v>
      </c>
      <c r="H36" s="15"/>
      <c r="I36" s="15"/>
      <c r="J36" s="15"/>
      <c r="K36" s="15"/>
      <c r="L36" s="15"/>
      <c r="M36" s="15"/>
      <c r="N36" s="15"/>
      <c r="O36" s="15"/>
      <c r="P36" s="15"/>
      <c r="Q36" s="15">
        <v>7</v>
      </c>
      <c r="R36" s="15"/>
      <c r="S36" s="15"/>
      <c r="T36" s="15"/>
      <c r="U36" s="15">
        <v>4</v>
      </c>
      <c r="V36" s="15">
        <v>4</v>
      </c>
      <c r="W36" s="15"/>
      <c r="X36" s="15"/>
      <c r="Y36" s="15"/>
      <c r="Z36" s="15"/>
      <c r="AA36" s="11"/>
      <c r="AB36" s="11"/>
      <c r="AC36" s="11"/>
      <c r="AD36" s="11"/>
      <c r="AE36" s="31" t="s">
        <v>24</v>
      </c>
      <c r="AF36" s="11">
        <v>7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31" t="s">
        <v>51</v>
      </c>
      <c r="BM36" s="11"/>
      <c r="BN36" s="11"/>
      <c r="BO36" s="11"/>
      <c r="BP36" s="11"/>
      <c r="BS36" s="12">
        <v>30</v>
      </c>
      <c r="BT36" s="11"/>
      <c r="BU36" s="11"/>
      <c r="BV36" s="11"/>
      <c r="BW36" s="11"/>
      <c r="BX36" s="11"/>
      <c r="BY36" s="11"/>
      <c r="BZ36" s="11"/>
      <c r="CA36" s="15"/>
      <c r="CB36" s="11"/>
      <c r="CC36" s="11"/>
      <c r="CD36" s="11"/>
      <c r="CE36" s="11"/>
      <c r="CF36" s="31" t="s">
        <v>57</v>
      </c>
      <c r="CG36" s="12"/>
      <c r="CH36" s="12"/>
      <c r="CI36" s="12"/>
      <c r="CJ36" s="12"/>
      <c r="CK36" s="12"/>
      <c r="CL36" s="12"/>
    </row>
    <row r="37" spans="1:93" s="1" customFormat="1" ht="15.75" customHeight="1">
      <c r="A37" s="15">
        <v>36</v>
      </c>
      <c r="B37" s="15">
        <v>2022202421</v>
      </c>
      <c r="C37" s="15" t="s">
        <v>359</v>
      </c>
      <c r="D37" s="15" t="s">
        <v>245</v>
      </c>
      <c r="E37" s="15">
        <f>SUM(G37:$XEY37)</f>
        <v>264</v>
      </c>
      <c r="F37" s="3">
        <f>COUNT(G37:$XFD37)</f>
        <v>23</v>
      </c>
      <c r="G37" s="32">
        <v>21</v>
      </c>
      <c r="H37" s="15"/>
      <c r="I37" s="15"/>
      <c r="J37" s="15"/>
      <c r="K37" s="15">
        <v>6</v>
      </c>
      <c r="L37" s="15"/>
      <c r="M37" s="15"/>
      <c r="N37" s="15">
        <v>8</v>
      </c>
      <c r="O37" s="15">
        <v>4</v>
      </c>
      <c r="P37" s="15"/>
      <c r="Q37" s="15">
        <v>7</v>
      </c>
      <c r="R37" s="15"/>
      <c r="S37" s="15"/>
      <c r="T37" s="15">
        <v>3</v>
      </c>
      <c r="U37" s="15">
        <v>4</v>
      </c>
      <c r="V37" s="15">
        <v>4</v>
      </c>
      <c r="W37" s="15">
        <v>6</v>
      </c>
      <c r="X37" s="15"/>
      <c r="Y37" s="15"/>
      <c r="Z37" s="15">
        <v>8</v>
      </c>
      <c r="AA37" s="11"/>
      <c r="AB37" s="11"/>
      <c r="AC37" s="11"/>
      <c r="AD37" s="11"/>
      <c r="AE37" s="31" t="s">
        <v>24</v>
      </c>
      <c r="AF37" s="11">
        <v>9</v>
      </c>
      <c r="AG37" s="11"/>
      <c r="AH37" s="11">
        <v>30</v>
      </c>
      <c r="AI37" s="11"/>
      <c r="AJ37" s="11">
        <v>2</v>
      </c>
      <c r="AK37" s="11"/>
      <c r="AL37" s="11"/>
      <c r="AM37" s="11">
        <v>20</v>
      </c>
      <c r="AN37" s="11"/>
      <c r="AO37" s="11"/>
      <c r="AP37" s="11">
        <v>20</v>
      </c>
      <c r="AQ37" s="11"/>
      <c r="AR37" s="11"/>
      <c r="AS37" s="11"/>
      <c r="AT37" s="11"/>
      <c r="AU37" s="11"/>
      <c r="AV37" s="11"/>
      <c r="AW37" s="11"/>
      <c r="AX37" s="11"/>
      <c r="AY37" s="11"/>
      <c r="AZ37" s="11">
        <v>4</v>
      </c>
      <c r="BA37" s="11"/>
      <c r="BB37" s="11"/>
      <c r="BC37" s="11"/>
      <c r="BD37" s="11"/>
      <c r="BE37" s="11"/>
      <c r="BF37" s="11">
        <v>4</v>
      </c>
      <c r="BG37" s="11"/>
      <c r="BH37" s="11"/>
      <c r="BI37" s="11"/>
      <c r="BJ37" s="11"/>
      <c r="BK37" s="11"/>
      <c r="BL37" s="31" t="s">
        <v>51</v>
      </c>
      <c r="BM37" s="11"/>
      <c r="BN37" s="11"/>
      <c r="BO37" s="11"/>
      <c r="BP37" s="11"/>
      <c r="BR37" s="1">
        <v>4</v>
      </c>
      <c r="BS37" s="12">
        <v>100</v>
      </c>
      <c r="BT37" s="11">
        <v>0</v>
      </c>
      <c r="BU37" s="11">
        <v>0</v>
      </c>
      <c r="BV37" s="11">
        <v>0</v>
      </c>
      <c r="BW37" s="11">
        <v>0</v>
      </c>
      <c r="BX37" s="11"/>
      <c r="BY37" s="11"/>
      <c r="BZ37" s="11"/>
      <c r="CA37" s="15"/>
      <c r="CB37" s="11"/>
      <c r="CC37" s="11"/>
      <c r="CD37" s="11"/>
      <c r="CE37" s="11"/>
      <c r="CF37" s="31" t="s">
        <v>57</v>
      </c>
      <c r="CG37" s="12"/>
      <c r="CH37" s="12"/>
      <c r="CI37" s="12"/>
      <c r="CJ37" s="12"/>
      <c r="CK37" s="12"/>
      <c r="CL37" s="12"/>
    </row>
    <row r="38" spans="1:93" s="1" customFormat="1">
      <c r="A38" s="15">
        <v>37</v>
      </c>
      <c r="B38" s="15">
        <v>2022202431</v>
      </c>
      <c r="C38" s="15" t="s">
        <v>360</v>
      </c>
      <c r="D38" s="15" t="s">
        <v>245</v>
      </c>
      <c r="E38" s="15">
        <f>SUM(G38:$XEY38)</f>
        <v>54</v>
      </c>
      <c r="F38" s="3">
        <f>COUNT(G38:$XFD38)</f>
        <v>8</v>
      </c>
      <c r="G38" s="32"/>
      <c r="H38" s="15"/>
      <c r="I38" s="15"/>
      <c r="J38" s="15"/>
      <c r="K38" s="15"/>
      <c r="L38" s="15"/>
      <c r="M38" s="15"/>
      <c r="N38" s="15"/>
      <c r="O38" s="15">
        <v>4</v>
      </c>
      <c r="P38" s="15"/>
      <c r="Q38" s="15"/>
      <c r="R38" s="15"/>
      <c r="S38" s="15"/>
      <c r="T38" s="15"/>
      <c r="U38" s="15">
        <v>4</v>
      </c>
      <c r="V38" s="15">
        <v>4</v>
      </c>
      <c r="W38" s="15"/>
      <c r="X38" s="15"/>
      <c r="Y38" s="15"/>
      <c r="Z38" s="15"/>
      <c r="AA38" s="11"/>
      <c r="AB38" s="11"/>
      <c r="AC38" s="11"/>
      <c r="AD38" s="11"/>
      <c r="AE38" s="31" t="s">
        <v>24</v>
      </c>
      <c r="AF38" s="11">
        <v>7</v>
      </c>
      <c r="AG38" s="11"/>
      <c r="AH38" s="11">
        <v>26</v>
      </c>
      <c r="AI38" s="11"/>
      <c r="AJ38" s="11"/>
      <c r="AK38" s="11">
        <v>2</v>
      </c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>
        <v>2</v>
      </c>
      <c r="BJ38" s="11"/>
      <c r="BK38" s="11"/>
      <c r="BL38" s="31" t="s">
        <v>51</v>
      </c>
      <c r="BM38" s="11"/>
      <c r="BN38" s="11"/>
      <c r="BO38" s="11"/>
      <c r="BP38" s="11"/>
      <c r="BS38" s="12"/>
      <c r="BT38" s="11"/>
      <c r="BU38" s="11"/>
      <c r="BV38" s="11"/>
      <c r="BW38" s="11"/>
      <c r="BX38" s="11"/>
      <c r="BY38" s="11"/>
      <c r="BZ38" s="11"/>
      <c r="CA38" s="15"/>
      <c r="CB38" s="11"/>
      <c r="CC38" s="11"/>
      <c r="CD38" s="11"/>
      <c r="CE38" s="11"/>
      <c r="CF38" s="31" t="s">
        <v>57</v>
      </c>
      <c r="CG38" s="12"/>
      <c r="CH38" s="12"/>
      <c r="CI38" s="12"/>
      <c r="CJ38" s="12"/>
      <c r="CK38" s="12"/>
      <c r="CL38" s="12"/>
      <c r="CN38">
        <v>5</v>
      </c>
      <c r="CO38"/>
    </row>
    <row r="39" spans="1:93" s="1" customFormat="1">
      <c r="A39" s="15">
        <v>38</v>
      </c>
      <c r="B39" s="15">
        <v>2022202432</v>
      </c>
      <c r="C39" s="15" t="s">
        <v>361</v>
      </c>
      <c r="D39" s="15" t="s">
        <v>245</v>
      </c>
      <c r="E39" s="15">
        <f>SUM(G39:$XEY39)</f>
        <v>42</v>
      </c>
      <c r="F39" s="3">
        <f>COUNT(G39:$XFD39)</f>
        <v>8</v>
      </c>
      <c r="G39" s="32"/>
      <c r="H39" s="15"/>
      <c r="I39" s="15">
        <v>6.5</v>
      </c>
      <c r="J39" s="15"/>
      <c r="K39" s="15">
        <v>6</v>
      </c>
      <c r="L39" s="15"/>
      <c r="M39" s="15"/>
      <c r="N39" s="15"/>
      <c r="O39" s="15"/>
      <c r="P39" s="15"/>
      <c r="Q39" s="15"/>
      <c r="R39" s="15"/>
      <c r="S39" s="15"/>
      <c r="T39" s="15"/>
      <c r="U39" s="15">
        <v>4</v>
      </c>
      <c r="V39" s="15"/>
      <c r="W39" s="15"/>
      <c r="X39" s="15"/>
      <c r="Y39" s="15"/>
      <c r="Z39" s="15"/>
      <c r="AA39" s="11"/>
      <c r="AB39" s="11"/>
      <c r="AC39" s="11"/>
      <c r="AD39" s="11"/>
      <c r="AE39" s="31" t="s">
        <v>24</v>
      </c>
      <c r="AF39" s="11">
        <v>6</v>
      </c>
      <c r="AG39" s="11">
        <v>0.5</v>
      </c>
      <c r="AH39" s="11">
        <v>10</v>
      </c>
      <c r="AI39" s="11"/>
      <c r="AJ39" s="11"/>
      <c r="AK39" s="11"/>
      <c r="AL39" s="11"/>
      <c r="AM39" s="11"/>
      <c r="AN39" s="11"/>
      <c r="AO39" s="11">
        <v>5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>
        <v>4</v>
      </c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31" t="s">
        <v>51</v>
      </c>
      <c r="BM39" s="11"/>
      <c r="BN39" s="11"/>
      <c r="BO39" s="11"/>
      <c r="BP39" s="11"/>
      <c r="BS39" s="12"/>
      <c r="BT39" s="11"/>
      <c r="BU39" s="11"/>
      <c r="BV39" s="11"/>
      <c r="BW39" s="11"/>
      <c r="BX39" s="11"/>
      <c r="BY39" s="11"/>
      <c r="BZ39" s="11"/>
      <c r="CA39" s="15"/>
      <c r="CB39" s="11"/>
      <c r="CC39" s="11"/>
      <c r="CD39" s="11"/>
      <c r="CE39" s="11"/>
      <c r="CF39" s="31" t="s">
        <v>57</v>
      </c>
      <c r="CG39" s="12"/>
      <c r="CH39" s="12"/>
      <c r="CI39" s="12"/>
      <c r="CJ39" s="12"/>
      <c r="CK39" s="12"/>
      <c r="CL39" s="12"/>
    </row>
    <row r="40" spans="1:93" s="1" customFormat="1">
      <c r="A40" s="15">
        <v>39</v>
      </c>
      <c r="B40" s="15">
        <v>2022202435</v>
      </c>
      <c r="C40" s="15" t="s">
        <v>362</v>
      </c>
      <c r="D40" s="15" t="s">
        <v>245</v>
      </c>
      <c r="E40" s="15">
        <f>SUM(G40:$XEY40)</f>
        <v>70.5</v>
      </c>
      <c r="F40" s="3">
        <f>COUNT(G40:$XFD40)</f>
        <v>10</v>
      </c>
      <c r="G40" s="32"/>
      <c r="H40" s="15"/>
      <c r="I40" s="15">
        <v>4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>
        <v>4</v>
      </c>
      <c r="V40" s="15">
        <v>4</v>
      </c>
      <c r="W40" s="15">
        <v>2</v>
      </c>
      <c r="X40" s="15"/>
      <c r="Y40" s="15"/>
      <c r="Z40" s="15">
        <v>8</v>
      </c>
      <c r="AA40" s="11"/>
      <c r="AB40" s="11"/>
      <c r="AC40" s="11"/>
      <c r="AD40" s="11"/>
      <c r="AE40" s="31" t="s">
        <v>24</v>
      </c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>
        <v>3</v>
      </c>
      <c r="AW40" s="11"/>
      <c r="AX40" s="11"/>
      <c r="AY40" s="11"/>
      <c r="AZ40" s="11"/>
      <c r="BA40" s="11"/>
      <c r="BB40" s="11"/>
      <c r="BC40" s="11"/>
      <c r="BD40" s="11"/>
      <c r="BE40" s="11"/>
      <c r="BF40" s="11">
        <v>2</v>
      </c>
      <c r="BG40" s="11"/>
      <c r="BH40" s="11"/>
      <c r="BI40" s="11"/>
      <c r="BJ40" s="11"/>
      <c r="BK40" s="11"/>
      <c r="BL40" s="31" t="s">
        <v>51</v>
      </c>
      <c r="BM40" s="11"/>
      <c r="BN40" s="11"/>
      <c r="BO40" s="11"/>
      <c r="BP40" s="11"/>
      <c r="BQ40" s="1">
        <v>4</v>
      </c>
      <c r="BR40" s="1">
        <v>2</v>
      </c>
      <c r="BS40" s="12"/>
      <c r="BT40" s="11"/>
      <c r="BU40" s="11"/>
      <c r="BV40" s="11"/>
      <c r="BW40" s="11"/>
      <c r="BX40" s="11"/>
      <c r="BY40" s="11"/>
      <c r="BZ40" s="11">
        <v>37.5</v>
      </c>
      <c r="CA40" s="15"/>
      <c r="CB40" s="11"/>
      <c r="CC40" s="11"/>
      <c r="CD40" s="11"/>
      <c r="CE40" s="11"/>
      <c r="CF40" s="31" t="s">
        <v>57</v>
      </c>
      <c r="CG40" s="12"/>
      <c r="CH40" s="12"/>
      <c r="CI40" s="12"/>
      <c r="CJ40" s="12"/>
      <c r="CK40" s="12"/>
      <c r="CL40" s="12"/>
    </row>
    <row r="41" spans="1:93" s="1" customFormat="1">
      <c r="A41" s="15">
        <v>40</v>
      </c>
      <c r="B41" s="15">
        <v>2022202436</v>
      </c>
      <c r="C41" s="15" t="s">
        <v>363</v>
      </c>
      <c r="D41" s="15" t="s">
        <v>245</v>
      </c>
      <c r="E41" s="15">
        <f>SUM(G41:$XEY41)</f>
        <v>158</v>
      </c>
      <c r="F41" s="3">
        <f>COUNT(G41:$XFD41)</f>
        <v>17</v>
      </c>
      <c r="G41" s="32">
        <v>2</v>
      </c>
      <c r="H41" s="15"/>
      <c r="I41" s="15"/>
      <c r="J41" s="15"/>
      <c r="K41" s="15"/>
      <c r="L41" s="15">
        <v>4</v>
      </c>
      <c r="M41" s="15"/>
      <c r="N41" s="15">
        <v>8</v>
      </c>
      <c r="O41" s="15">
        <v>4</v>
      </c>
      <c r="P41" s="15"/>
      <c r="Q41" s="15">
        <v>7</v>
      </c>
      <c r="R41" s="15"/>
      <c r="S41" s="15">
        <v>8</v>
      </c>
      <c r="T41" s="15"/>
      <c r="U41" s="15">
        <v>4</v>
      </c>
      <c r="V41" s="15">
        <v>4</v>
      </c>
      <c r="W41" s="15"/>
      <c r="X41" s="15"/>
      <c r="Y41" s="15"/>
      <c r="Z41" s="15">
        <v>8</v>
      </c>
      <c r="AA41" s="11">
        <v>2</v>
      </c>
      <c r="AB41" s="11"/>
      <c r="AC41" s="11"/>
      <c r="AD41" s="11"/>
      <c r="AE41" s="31" t="s">
        <v>24</v>
      </c>
      <c r="AF41" s="11">
        <v>11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>
        <v>12</v>
      </c>
      <c r="AZ41" s="11">
        <v>4</v>
      </c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31" t="s">
        <v>51</v>
      </c>
      <c r="BM41" s="11"/>
      <c r="BN41" s="11"/>
      <c r="BO41" s="11"/>
      <c r="BP41" s="11"/>
      <c r="BS41" s="12">
        <v>80</v>
      </c>
      <c r="BT41" s="11">
        <v>0</v>
      </c>
      <c r="BU41" s="11">
        <v>0</v>
      </c>
      <c r="BV41" s="11">
        <v>0</v>
      </c>
      <c r="BW41" s="11"/>
      <c r="BX41" s="11"/>
      <c r="BY41" s="11"/>
      <c r="BZ41" s="11"/>
      <c r="CA41" s="15"/>
      <c r="CB41" s="11"/>
      <c r="CC41" s="11"/>
      <c r="CD41" s="11"/>
      <c r="CE41" s="11"/>
      <c r="CF41" s="31" t="s">
        <v>57</v>
      </c>
      <c r="CG41" s="12"/>
      <c r="CH41" s="12"/>
      <c r="CI41" s="12"/>
      <c r="CJ41" s="12"/>
      <c r="CK41" s="12"/>
      <c r="CL41" s="12"/>
    </row>
    <row r="42" spans="1:93" s="1" customFormat="1">
      <c r="A42" s="15">
        <v>41</v>
      </c>
      <c r="B42" s="15">
        <v>2022202464</v>
      </c>
      <c r="C42" s="15" t="s">
        <v>364</v>
      </c>
      <c r="D42" s="15" t="s">
        <v>245</v>
      </c>
      <c r="E42" s="15">
        <f>SUM(G42:$XEY42)</f>
        <v>313</v>
      </c>
      <c r="F42" s="3">
        <f>COUNT(G42:$XFD42)</f>
        <v>13</v>
      </c>
      <c r="G42" s="32">
        <v>81</v>
      </c>
      <c r="H42" s="15"/>
      <c r="I42" s="15"/>
      <c r="J42" s="15"/>
      <c r="K42" s="15"/>
      <c r="L42" s="15"/>
      <c r="M42" s="15"/>
      <c r="N42" s="15"/>
      <c r="O42" s="15">
        <v>4</v>
      </c>
      <c r="P42" s="15"/>
      <c r="Q42" s="15"/>
      <c r="R42" s="15"/>
      <c r="S42" s="15"/>
      <c r="T42" s="15"/>
      <c r="U42" s="15">
        <v>4</v>
      </c>
      <c r="V42" s="15">
        <v>4</v>
      </c>
      <c r="W42" s="15">
        <v>2</v>
      </c>
      <c r="X42" s="15"/>
      <c r="Y42" s="15"/>
      <c r="Z42" s="15"/>
      <c r="AA42" s="11"/>
      <c r="AB42" s="11"/>
      <c r="AC42" s="11">
        <v>4</v>
      </c>
      <c r="AD42" s="11"/>
      <c r="AE42" s="31" t="s">
        <v>24</v>
      </c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>
        <v>2</v>
      </c>
      <c r="BG42" s="11"/>
      <c r="BH42" s="11"/>
      <c r="BI42" s="11"/>
      <c r="BJ42" s="11"/>
      <c r="BL42" s="31" t="s">
        <v>51</v>
      </c>
      <c r="BM42" s="11"/>
      <c r="BN42" s="11">
        <v>130</v>
      </c>
      <c r="BO42" s="11"/>
      <c r="BP42" s="11"/>
      <c r="BR42" s="1">
        <v>2</v>
      </c>
      <c r="BS42" s="15">
        <v>80</v>
      </c>
      <c r="BT42" s="11">
        <v>0</v>
      </c>
      <c r="BU42" s="11">
        <v>0</v>
      </c>
      <c r="BV42" s="11">
        <v>0</v>
      </c>
      <c r="BW42" s="11"/>
      <c r="BX42" s="11"/>
      <c r="BY42" s="11"/>
      <c r="BZ42" s="11"/>
      <c r="CA42" s="15"/>
      <c r="CB42" s="11"/>
      <c r="CC42" s="11"/>
      <c r="CD42" s="11"/>
      <c r="CE42" s="11"/>
      <c r="CF42" s="31" t="s">
        <v>57</v>
      </c>
      <c r="CG42" s="12"/>
      <c r="CH42" s="12"/>
      <c r="CI42" s="12"/>
      <c r="CJ42" s="12"/>
      <c r="CK42" s="12"/>
      <c r="CL42" s="12"/>
    </row>
    <row r="43" spans="1:93" s="1" customFormat="1">
      <c r="A43" s="15">
        <v>42</v>
      </c>
      <c r="B43" s="15">
        <v>2022202465</v>
      </c>
      <c r="C43" s="15" t="s">
        <v>365</v>
      </c>
      <c r="D43" s="15" t="s">
        <v>245</v>
      </c>
      <c r="E43" s="15">
        <f>SUM(G43:$XEY43)</f>
        <v>52</v>
      </c>
      <c r="F43" s="3">
        <f>COUNT(G43:$XFD43)</f>
        <v>6</v>
      </c>
      <c r="G43" s="32"/>
      <c r="H43" s="15"/>
      <c r="I43" s="15">
        <v>6</v>
      </c>
      <c r="J43" s="15"/>
      <c r="K43" s="15"/>
      <c r="L43" s="15"/>
      <c r="M43" s="15"/>
      <c r="N43" s="15"/>
      <c r="O43" s="15">
        <v>4</v>
      </c>
      <c r="P43" s="15"/>
      <c r="Q43" s="15"/>
      <c r="R43" s="15"/>
      <c r="S43" s="15"/>
      <c r="T43" s="15"/>
      <c r="U43" s="15">
        <v>4</v>
      </c>
      <c r="V43" s="15"/>
      <c r="W43" s="15"/>
      <c r="X43" s="15"/>
      <c r="Y43" s="15"/>
      <c r="Z43" s="15"/>
      <c r="AA43" s="11">
        <v>2</v>
      </c>
      <c r="AB43" s="11"/>
      <c r="AC43" s="11"/>
      <c r="AD43" s="11"/>
      <c r="AE43" s="31" t="s">
        <v>24</v>
      </c>
      <c r="AF43" s="11">
        <v>7</v>
      </c>
      <c r="AG43" s="11"/>
      <c r="AH43" s="11">
        <v>29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31" t="s">
        <v>51</v>
      </c>
      <c r="BM43" s="11"/>
      <c r="BN43" s="11"/>
      <c r="BO43" s="11"/>
      <c r="BP43" s="11"/>
      <c r="BS43" s="12"/>
      <c r="BT43" s="11"/>
      <c r="BU43" s="11"/>
      <c r="BV43" s="11"/>
      <c r="BW43" s="11"/>
      <c r="BX43" s="11"/>
      <c r="BY43" s="11"/>
      <c r="BZ43" s="11"/>
      <c r="CA43" s="15"/>
      <c r="CB43" s="11"/>
      <c r="CC43" s="11"/>
      <c r="CD43" s="11"/>
      <c r="CE43" s="11"/>
      <c r="CF43" s="31" t="s">
        <v>57</v>
      </c>
      <c r="CG43" s="12"/>
      <c r="CH43" s="12"/>
      <c r="CI43" s="12"/>
      <c r="CJ43" s="12"/>
      <c r="CK43" s="12"/>
      <c r="CL43" s="12"/>
    </row>
    <row r="44" spans="1:93" s="1" customFormat="1">
      <c r="A44" s="15">
        <v>43</v>
      </c>
      <c r="B44" s="15">
        <v>2022202469</v>
      </c>
      <c r="C44" s="15" t="s">
        <v>366</v>
      </c>
      <c r="D44" s="15" t="s">
        <v>245</v>
      </c>
      <c r="E44" s="15">
        <f>SUM(G44:$XEY44)</f>
        <v>72</v>
      </c>
      <c r="F44" s="3">
        <f>COUNT(G44:$XFD44)</f>
        <v>8</v>
      </c>
      <c r="G44" s="32"/>
      <c r="H44" s="15"/>
      <c r="I44" s="15"/>
      <c r="J44" s="15">
        <v>2</v>
      </c>
      <c r="K44" s="15"/>
      <c r="L44" s="15"/>
      <c r="M44" s="15">
        <v>6</v>
      </c>
      <c r="N44" s="15"/>
      <c r="O44" s="15">
        <v>4</v>
      </c>
      <c r="P44" s="15"/>
      <c r="Q44" s="15"/>
      <c r="R44" s="15"/>
      <c r="S44" s="15"/>
      <c r="T44" s="15"/>
      <c r="U44" s="15">
        <v>4</v>
      </c>
      <c r="V44" s="15"/>
      <c r="W44" s="15">
        <v>2</v>
      </c>
      <c r="X44" s="15"/>
      <c r="Y44" s="15"/>
      <c r="Z44" s="15">
        <v>8</v>
      </c>
      <c r="AA44" s="11">
        <v>44</v>
      </c>
      <c r="AB44" s="11"/>
      <c r="AC44" s="11"/>
      <c r="AD44" s="11"/>
      <c r="AE44" s="31" t="s">
        <v>24</v>
      </c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>
        <v>2</v>
      </c>
      <c r="BG44" s="11"/>
      <c r="BH44" s="11"/>
      <c r="BI44" s="11"/>
      <c r="BJ44" s="11"/>
      <c r="BK44" s="11"/>
      <c r="BL44" s="31" t="s">
        <v>51</v>
      </c>
      <c r="BM44" s="11"/>
      <c r="BN44" s="11"/>
      <c r="BO44" s="11"/>
      <c r="BP44" s="11"/>
      <c r="BS44" s="12"/>
      <c r="BT44" s="11"/>
      <c r="BU44" s="11"/>
      <c r="BV44" s="11"/>
      <c r="BW44" s="11"/>
      <c r="BX44" s="11"/>
      <c r="BY44" s="11"/>
      <c r="BZ44" s="11"/>
      <c r="CA44" s="15"/>
      <c r="CB44" s="11"/>
      <c r="CC44" s="11"/>
      <c r="CD44" s="11"/>
      <c r="CE44" s="11"/>
      <c r="CF44" s="31" t="s">
        <v>57</v>
      </c>
      <c r="CG44" s="12"/>
      <c r="CH44" s="12"/>
      <c r="CI44" s="12"/>
      <c r="CJ44" s="12"/>
      <c r="CK44" s="12"/>
      <c r="CL44" s="12"/>
    </row>
    <row r="45" spans="1:93" s="1" customFormat="1">
      <c r="A45" s="15">
        <v>44</v>
      </c>
      <c r="B45" s="15">
        <v>2022202472</v>
      </c>
      <c r="C45" s="15" t="s">
        <v>367</v>
      </c>
      <c r="D45" s="15" t="s">
        <v>245</v>
      </c>
      <c r="E45" s="15">
        <f>SUM(G45:$XEY45)</f>
        <v>326.5</v>
      </c>
      <c r="F45" s="3">
        <f>COUNT(G45:$XFD45)</f>
        <v>18</v>
      </c>
      <c r="G45" s="32">
        <v>6</v>
      </c>
      <c r="H45" s="15"/>
      <c r="I45" s="15">
        <v>3.5</v>
      </c>
      <c r="J45" s="15"/>
      <c r="K45" s="15">
        <v>6</v>
      </c>
      <c r="L45" s="15"/>
      <c r="M45" s="15">
        <v>6</v>
      </c>
      <c r="N45" s="15"/>
      <c r="O45" s="15"/>
      <c r="P45" s="15">
        <v>6</v>
      </c>
      <c r="Q45" s="15"/>
      <c r="R45" s="15"/>
      <c r="S45" s="15"/>
      <c r="T45" s="15"/>
      <c r="U45" s="15">
        <v>4</v>
      </c>
      <c r="V45" s="15">
        <v>4</v>
      </c>
      <c r="W45" s="15"/>
      <c r="X45" s="15"/>
      <c r="Y45" s="15"/>
      <c r="Z45" s="15"/>
      <c r="AA45" s="11">
        <v>10</v>
      </c>
      <c r="AB45" s="11"/>
      <c r="AC45" s="11">
        <v>4</v>
      </c>
      <c r="AD45" s="11"/>
      <c r="AE45" s="31" t="s">
        <v>24</v>
      </c>
      <c r="AF45" s="11"/>
      <c r="AG45" s="11"/>
      <c r="AH45" s="11">
        <v>26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>
        <v>5</v>
      </c>
      <c r="AY45" s="11"/>
      <c r="AZ45" s="11"/>
      <c r="BA45" s="11"/>
      <c r="BB45" s="11"/>
      <c r="BC45" s="11"/>
      <c r="BD45" s="11"/>
      <c r="BE45" s="11"/>
      <c r="BF45" s="11">
        <v>2</v>
      </c>
      <c r="BG45" s="11"/>
      <c r="BH45" s="11"/>
      <c r="BI45" s="11"/>
      <c r="BJ45" s="11"/>
      <c r="BK45" s="11"/>
      <c r="BL45" s="31" t="s">
        <v>51</v>
      </c>
      <c r="BM45" s="11">
        <v>15</v>
      </c>
      <c r="BN45" s="11">
        <v>223</v>
      </c>
      <c r="BO45" s="11">
        <v>0</v>
      </c>
      <c r="BP45" s="11">
        <v>0</v>
      </c>
      <c r="BQ45" s="1">
        <v>4</v>
      </c>
      <c r="BR45" s="1">
        <v>2</v>
      </c>
      <c r="BS45" s="12"/>
      <c r="BT45" s="11"/>
      <c r="BU45" s="11"/>
      <c r="BV45" s="11"/>
      <c r="BW45" s="11"/>
      <c r="BX45" s="11"/>
      <c r="BY45" s="11"/>
      <c r="BZ45" s="11"/>
      <c r="CA45" s="15"/>
      <c r="CB45" s="11"/>
      <c r="CC45" s="11"/>
      <c r="CD45" s="11"/>
      <c r="CE45" s="11"/>
      <c r="CF45" s="31" t="s">
        <v>57</v>
      </c>
      <c r="CG45" s="12"/>
      <c r="CH45" s="12"/>
      <c r="CI45" s="12"/>
      <c r="CJ45" s="12"/>
      <c r="CK45" s="12"/>
      <c r="CL45" s="12"/>
    </row>
    <row r="46" spans="1:93" s="1" customFormat="1">
      <c r="A46" s="15">
        <v>45</v>
      </c>
      <c r="B46" s="15">
        <v>2022202473</v>
      </c>
      <c r="C46" s="15" t="s">
        <v>368</v>
      </c>
      <c r="D46" s="15" t="s">
        <v>245</v>
      </c>
      <c r="E46" s="15">
        <f>SUM(G46:$XEY46)</f>
        <v>119</v>
      </c>
      <c r="F46" s="3">
        <f>COUNT(G46:$XFD46)</f>
        <v>13</v>
      </c>
      <c r="G46" s="32"/>
      <c r="H46" s="15"/>
      <c r="I46" s="15"/>
      <c r="J46" s="15">
        <v>2</v>
      </c>
      <c r="K46" s="15"/>
      <c r="L46" s="15">
        <v>4</v>
      </c>
      <c r="M46" s="15"/>
      <c r="N46" s="15"/>
      <c r="O46" s="15"/>
      <c r="P46" s="15"/>
      <c r="Q46" s="15"/>
      <c r="R46" s="15"/>
      <c r="S46" s="15"/>
      <c r="T46" s="15"/>
      <c r="U46" s="15">
        <v>4</v>
      </c>
      <c r="V46" s="15">
        <v>4</v>
      </c>
      <c r="W46" s="15"/>
      <c r="X46" s="15"/>
      <c r="Y46" s="15"/>
      <c r="Z46" s="15">
        <v>8</v>
      </c>
      <c r="AA46" s="11">
        <v>7</v>
      </c>
      <c r="AB46" s="11"/>
      <c r="AC46" s="11"/>
      <c r="AD46" s="11"/>
      <c r="AE46" s="31" t="s">
        <v>24</v>
      </c>
      <c r="AF46" s="11">
        <v>6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>
        <v>2</v>
      </c>
      <c r="BG46" s="11"/>
      <c r="BH46" s="11"/>
      <c r="BI46" s="11"/>
      <c r="BJ46" s="11"/>
      <c r="BK46" s="11"/>
      <c r="BL46" s="31" t="s">
        <v>51</v>
      </c>
      <c r="BM46" s="11"/>
      <c r="BN46" s="11"/>
      <c r="BO46" s="11"/>
      <c r="BP46" s="11"/>
      <c r="BR46" s="1">
        <v>2</v>
      </c>
      <c r="BS46" s="12">
        <v>80</v>
      </c>
      <c r="BT46" s="11">
        <v>0</v>
      </c>
      <c r="BU46" s="11">
        <v>0</v>
      </c>
      <c r="BV46" s="11">
        <v>0</v>
      </c>
      <c r="BW46" s="11"/>
      <c r="BX46" s="11"/>
      <c r="BY46" s="11"/>
      <c r="BZ46" s="11"/>
      <c r="CA46" s="15"/>
      <c r="CB46" s="11"/>
      <c r="CC46" s="11"/>
      <c r="CD46" s="11"/>
      <c r="CE46" s="11"/>
      <c r="CF46" s="31" t="s">
        <v>57</v>
      </c>
      <c r="CG46" s="12"/>
      <c r="CH46" s="12"/>
      <c r="CI46" s="12"/>
      <c r="CJ46" s="12"/>
      <c r="CK46" s="12"/>
      <c r="CL46" s="12"/>
    </row>
    <row r="47" spans="1:93" s="1" customFormat="1">
      <c r="A47" s="15">
        <v>46</v>
      </c>
      <c r="B47" s="15">
        <v>2022202485</v>
      </c>
      <c r="C47" s="15" t="s">
        <v>369</v>
      </c>
      <c r="D47" s="15" t="s">
        <v>245</v>
      </c>
      <c r="E47" s="15">
        <f>SUM(G47:$XEY47)</f>
        <v>370.5</v>
      </c>
      <c r="F47" s="3">
        <f>COUNT(G47:$XFD47)</f>
        <v>17</v>
      </c>
      <c r="G47" s="32">
        <v>42</v>
      </c>
      <c r="H47" s="15"/>
      <c r="I47" s="15">
        <v>3.5</v>
      </c>
      <c r="J47" s="15"/>
      <c r="K47" s="15"/>
      <c r="L47" s="15"/>
      <c r="M47" s="15"/>
      <c r="N47" s="15"/>
      <c r="O47" s="15">
        <v>4</v>
      </c>
      <c r="P47" s="15"/>
      <c r="Q47" s="15"/>
      <c r="R47" s="15">
        <v>8</v>
      </c>
      <c r="S47" s="15"/>
      <c r="T47" s="15"/>
      <c r="U47" s="15">
        <v>4</v>
      </c>
      <c r="V47" s="15">
        <v>4</v>
      </c>
      <c r="W47" s="15">
        <v>4</v>
      </c>
      <c r="X47" s="15"/>
      <c r="Y47" s="15"/>
      <c r="Z47" s="15"/>
      <c r="AA47" s="11">
        <v>18</v>
      </c>
      <c r="AB47" s="11">
        <v>16</v>
      </c>
      <c r="AC47" s="11"/>
      <c r="AD47" s="11"/>
      <c r="AE47" s="31" t="s">
        <v>24</v>
      </c>
      <c r="AF47" s="11" t="s">
        <v>370</v>
      </c>
      <c r="AG47" s="11"/>
      <c r="AH47" s="11"/>
      <c r="AI47" s="11">
        <v>4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>
        <v>4</v>
      </c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>
        <v>4</v>
      </c>
      <c r="BG47" s="11"/>
      <c r="BH47" s="11"/>
      <c r="BI47" s="11"/>
      <c r="BJ47" s="11">
        <v>150</v>
      </c>
      <c r="BK47" s="11">
        <v>50</v>
      </c>
      <c r="BL47" s="31" t="s">
        <v>51</v>
      </c>
      <c r="BM47" s="11"/>
      <c r="BN47" s="11"/>
      <c r="BO47" s="11"/>
      <c r="BP47" s="11"/>
      <c r="BR47" s="1">
        <v>4</v>
      </c>
      <c r="BS47" s="12">
        <v>51</v>
      </c>
      <c r="BT47" s="11">
        <v>0</v>
      </c>
      <c r="BU47" s="11"/>
      <c r="BV47" s="11"/>
      <c r="BW47" s="11"/>
      <c r="BX47" s="11"/>
      <c r="BY47" s="11"/>
      <c r="BZ47" s="11"/>
      <c r="CA47" s="15"/>
      <c r="CB47" s="11"/>
      <c r="CC47" s="11"/>
      <c r="CD47" s="11"/>
      <c r="CE47" s="11"/>
      <c r="CF47" s="31" t="s">
        <v>57</v>
      </c>
      <c r="CG47" s="12"/>
      <c r="CH47" s="12"/>
      <c r="CI47" s="12"/>
      <c r="CJ47" s="12"/>
      <c r="CK47" s="12"/>
      <c r="CL47" s="12"/>
    </row>
    <row r="48" spans="1:93" s="1" customFormat="1">
      <c r="A48" s="15">
        <v>47</v>
      </c>
      <c r="B48" s="15">
        <v>2022202493</v>
      </c>
      <c r="C48" s="15" t="s">
        <v>371</v>
      </c>
      <c r="D48" s="15" t="s">
        <v>245</v>
      </c>
      <c r="E48" s="15">
        <f>SUM(G48:$XEY48)</f>
        <v>71</v>
      </c>
      <c r="F48" s="3">
        <f>COUNT(G48:$XFD48)</f>
        <v>10</v>
      </c>
      <c r="G48" s="32"/>
      <c r="H48" s="15"/>
      <c r="I48" s="15"/>
      <c r="J48" s="15"/>
      <c r="K48" s="15"/>
      <c r="L48" s="15"/>
      <c r="M48" s="15"/>
      <c r="N48" s="15"/>
      <c r="O48" s="15">
        <v>4</v>
      </c>
      <c r="P48" s="15"/>
      <c r="Q48" s="15"/>
      <c r="R48" s="15"/>
      <c r="S48" s="15">
        <v>6</v>
      </c>
      <c r="T48" s="15"/>
      <c r="U48" s="15">
        <v>4</v>
      </c>
      <c r="V48" s="15">
        <v>4</v>
      </c>
      <c r="W48" s="15"/>
      <c r="X48" s="15"/>
      <c r="Y48" s="15">
        <v>4</v>
      </c>
      <c r="Z48" s="15">
        <v>8</v>
      </c>
      <c r="AA48" s="11">
        <v>2</v>
      </c>
      <c r="AB48" s="11"/>
      <c r="AC48" s="11"/>
      <c r="AD48" s="11"/>
      <c r="AE48" s="31" t="s">
        <v>24</v>
      </c>
      <c r="AF48" s="11">
        <v>9</v>
      </c>
      <c r="AG48" s="11"/>
      <c r="AH48" s="11">
        <v>26</v>
      </c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>
        <v>4</v>
      </c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31" t="s">
        <v>51</v>
      </c>
      <c r="BM48" s="11"/>
      <c r="BN48" s="11"/>
      <c r="BO48" s="11"/>
      <c r="BP48" s="11"/>
      <c r="BS48" s="12"/>
      <c r="BT48" s="11"/>
      <c r="BU48" s="11"/>
      <c r="BV48" s="11"/>
      <c r="BW48" s="11"/>
      <c r="BX48" s="11"/>
      <c r="BY48" s="11"/>
      <c r="BZ48" s="11"/>
      <c r="CA48" s="15"/>
      <c r="CB48" s="11"/>
      <c r="CC48" s="11"/>
      <c r="CD48" s="11"/>
      <c r="CE48" s="11"/>
      <c r="CF48" s="31" t="s">
        <v>57</v>
      </c>
      <c r="CG48" s="12"/>
      <c r="CH48" s="12"/>
      <c r="CI48" s="12"/>
      <c r="CJ48" s="12"/>
      <c r="CK48" s="12"/>
      <c r="CL48" s="12"/>
    </row>
    <row r="49" spans="1:93" s="1" customFormat="1">
      <c r="A49" s="15">
        <v>48</v>
      </c>
      <c r="B49" s="15">
        <v>2022202494</v>
      </c>
      <c r="C49" s="15" t="s">
        <v>372</v>
      </c>
      <c r="D49" s="15" t="s">
        <v>245</v>
      </c>
      <c r="E49" s="15">
        <f>SUM(G49:$XEY49)</f>
        <v>72.5</v>
      </c>
      <c r="F49" s="3">
        <f>COUNT(G49:$XFD49)</f>
        <v>10</v>
      </c>
      <c r="G49" s="32"/>
      <c r="H49" s="15"/>
      <c r="I49" s="15"/>
      <c r="J49" s="15"/>
      <c r="K49" s="15"/>
      <c r="L49" s="15">
        <v>4</v>
      </c>
      <c r="M49" s="15"/>
      <c r="N49" s="15"/>
      <c r="O49" s="15">
        <v>4</v>
      </c>
      <c r="P49" s="15"/>
      <c r="Q49" s="15"/>
      <c r="R49" s="15"/>
      <c r="S49" s="15"/>
      <c r="T49" s="15"/>
      <c r="U49" s="15">
        <v>4</v>
      </c>
      <c r="V49" s="15"/>
      <c r="W49" s="15"/>
      <c r="X49" s="15"/>
      <c r="Y49" s="15"/>
      <c r="Z49" s="15"/>
      <c r="AA49" s="11"/>
      <c r="AB49" s="11"/>
      <c r="AC49" s="11">
        <v>5</v>
      </c>
      <c r="AD49" s="11"/>
      <c r="AE49" s="31" t="s">
        <v>24</v>
      </c>
      <c r="AF49" s="11">
        <v>11</v>
      </c>
      <c r="AG49" s="11">
        <v>0.5</v>
      </c>
      <c r="AH49" s="11">
        <v>27</v>
      </c>
      <c r="AI49" s="11"/>
      <c r="AJ49" s="11">
        <v>1</v>
      </c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>
        <v>12</v>
      </c>
      <c r="AV49" s="11"/>
      <c r="AW49" s="11"/>
      <c r="AX49" s="11"/>
      <c r="AY49" s="11">
        <v>4</v>
      </c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31" t="s">
        <v>51</v>
      </c>
      <c r="BM49" s="11"/>
      <c r="BN49" s="11"/>
      <c r="BO49" s="11"/>
      <c r="BP49" s="11"/>
      <c r="BS49" s="12"/>
      <c r="BT49" s="11"/>
      <c r="BU49" s="11"/>
      <c r="BV49" s="11"/>
      <c r="BW49" s="11"/>
      <c r="BX49" s="11"/>
      <c r="BY49" s="11"/>
      <c r="BZ49" s="11"/>
      <c r="CA49" s="15"/>
      <c r="CB49" s="11"/>
      <c r="CC49" s="11"/>
      <c r="CD49" s="11"/>
      <c r="CE49" s="11"/>
      <c r="CF49" s="31" t="s">
        <v>57</v>
      </c>
      <c r="CG49" s="12"/>
      <c r="CH49" s="12"/>
      <c r="CI49" s="12"/>
      <c r="CJ49" s="12"/>
      <c r="CK49" s="12"/>
      <c r="CL49" s="12"/>
    </row>
    <row r="50" spans="1:93" s="1" customFormat="1">
      <c r="A50" s="15">
        <v>49</v>
      </c>
      <c r="B50" s="15">
        <v>2021202785</v>
      </c>
      <c r="C50" s="15" t="s">
        <v>373</v>
      </c>
      <c r="D50" s="15" t="s">
        <v>245</v>
      </c>
      <c r="E50" s="15">
        <f>SUM(G50:$XEY50)</f>
        <v>23</v>
      </c>
      <c r="F50" s="3">
        <f>COUNT(G50:$XFD50)</f>
        <v>5</v>
      </c>
      <c r="G50" s="32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1"/>
      <c r="AB50" s="11"/>
      <c r="AC50" s="11"/>
      <c r="AD50" s="11"/>
      <c r="AE50" s="3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31"/>
      <c r="BM50" s="11"/>
      <c r="BN50" s="11"/>
      <c r="BO50" s="11"/>
      <c r="BP50" s="11"/>
      <c r="BS50" s="12"/>
      <c r="BT50" s="11"/>
      <c r="BU50" s="11"/>
      <c r="BV50" s="11"/>
      <c r="BW50" s="11"/>
      <c r="BX50" s="11"/>
      <c r="BY50" s="11"/>
      <c r="BZ50" s="11"/>
      <c r="CA50" s="15">
        <v>14</v>
      </c>
      <c r="CB50" s="11">
        <v>0</v>
      </c>
      <c r="CC50" s="11">
        <v>0</v>
      </c>
      <c r="CD50" s="11"/>
      <c r="CE50" s="11"/>
      <c r="CF50" s="31" t="s">
        <v>57</v>
      </c>
      <c r="CG50" s="12"/>
      <c r="CH50" s="12"/>
      <c r="CI50" s="12"/>
      <c r="CJ50" s="12"/>
      <c r="CK50" s="12"/>
      <c r="CL50" s="12"/>
      <c r="CM50" s="1">
        <v>4</v>
      </c>
      <c r="CN50">
        <v>5</v>
      </c>
      <c r="CO50"/>
    </row>
    <row r="51" spans="1:93" s="1" customFormat="1">
      <c r="A51" s="15"/>
      <c r="B51" s="15"/>
      <c r="C51" s="15" t="s">
        <v>171</v>
      </c>
      <c r="D51" s="15"/>
      <c r="E51" s="15" t="s">
        <v>374</v>
      </c>
      <c r="F51" s="15" t="s">
        <v>374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1"/>
      <c r="AB51" s="11"/>
      <c r="AC51" s="11"/>
      <c r="AD51" s="11"/>
      <c r="AE51" s="31" t="s">
        <v>24</v>
      </c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31" t="s">
        <v>51</v>
      </c>
      <c r="BM51" s="11"/>
      <c r="BN51" s="11"/>
      <c r="BO51" s="11"/>
      <c r="BP51" s="11"/>
      <c r="BQ51" s="15"/>
      <c r="BR51" s="15"/>
      <c r="BS51" s="12"/>
      <c r="BT51" s="11"/>
      <c r="BU51" s="11"/>
      <c r="BV51" s="11"/>
      <c r="BW51" s="11"/>
      <c r="BX51" s="11"/>
      <c r="BY51" s="11"/>
      <c r="BZ51" s="11"/>
      <c r="CA51" s="15"/>
      <c r="CB51" s="11"/>
      <c r="CC51" s="11"/>
      <c r="CD51" s="11"/>
      <c r="CE51" s="11"/>
      <c r="CF51" s="31" t="s">
        <v>57</v>
      </c>
      <c r="CG51" s="12"/>
      <c r="CH51" s="12"/>
      <c r="CI51" s="12"/>
      <c r="CJ51" s="12"/>
      <c r="CK51" s="12"/>
      <c r="CL51" s="12"/>
    </row>
    <row r="52" spans="1:93" s="1" customFormat="1">
      <c r="A52" s="15"/>
      <c r="B52" s="15"/>
      <c r="C52" s="15" t="s">
        <v>193</v>
      </c>
      <c r="D52" s="15"/>
      <c r="E52" s="15" t="s">
        <v>374</v>
      </c>
      <c r="F52" s="15" t="s">
        <v>374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1"/>
      <c r="AB52" s="11"/>
      <c r="AC52" s="11"/>
      <c r="AD52" s="11"/>
      <c r="AE52" s="31" t="s">
        <v>24</v>
      </c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31" t="s">
        <v>51</v>
      </c>
      <c r="BM52" s="11"/>
      <c r="BN52" s="11"/>
      <c r="BO52" s="11"/>
      <c r="BP52" s="11"/>
      <c r="BQ52" s="15"/>
      <c r="BR52" s="15"/>
      <c r="BS52" s="12"/>
      <c r="BT52" s="11"/>
      <c r="BU52" s="11"/>
      <c r="BV52" s="11"/>
      <c r="BW52" s="11"/>
      <c r="BX52" s="11"/>
      <c r="BY52" s="11"/>
      <c r="BZ52" s="11"/>
      <c r="CA52" s="15"/>
      <c r="CB52" s="11"/>
      <c r="CC52" s="11"/>
      <c r="CD52" s="11"/>
      <c r="CE52" s="11"/>
      <c r="CF52" s="31" t="s">
        <v>57</v>
      </c>
      <c r="CG52" s="12"/>
      <c r="CH52" s="12"/>
      <c r="CI52" s="12"/>
      <c r="CJ52" s="12"/>
      <c r="CK52" s="12"/>
      <c r="CL52" s="12"/>
      <c r="CN52">
        <v>5</v>
      </c>
      <c r="CO52">
        <v>3</v>
      </c>
    </row>
    <row r="53" spans="1:93">
      <c r="B53" s="40" t="s">
        <v>375</v>
      </c>
      <c r="C53" s="40" t="s">
        <v>376</v>
      </c>
      <c r="D53" s="40" t="s">
        <v>245</v>
      </c>
      <c r="E53" s="15">
        <f>SUM(G53:$XEY53)</f>
        <v>17</v>
      </c>
      <c r="F53" s="3">
        <f>COUNT(G53:$XFD53)</f>
        <v>4</v>
      </c>
      <c r="CA53" s="6">
        <v>12</v>
      </c>
      <c r="CD53" s="22">
        <v>0</v>
      </c>
      <c r="CE53" s="22">
        <v>0</v>
      </c>
      <c r="CN53" s="22">
        <v>5</v>
      </c>
    </row>
  </sheetData>
  <phoneticPr fontId="1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H54"/>
  <sheetViews>
    <sheetView zoomScale="84" zoomScaleNormal="84" workbookViewId="0">
      <pane xSplit="6" ySplit="1" topLeftCell="CD32" activePane="bottomRight" state="frozen"/>
      <selection pane="topRight"/>
      <selection pane="bottomLeft"/>
      <selection pane="bottomRight" activeCell="CG1" sqref="CG1:CG1048576"/>
    </sheetView>
  </sheetViews>
  <sheetFormatPr baseColWidth="10" defaultColWidth="15.6640625" defaultRowHeight="17"/>
  <cols>
    <col min="1" max="1" width="8" style="24" customWidth="1"/>
    <col min="2" max="2" width="11.5" style="24" hidden="1" customWidth="1"/>
    <col min="3" max="3" width="8" style="24" customWidth="1"/>
    <col min="4" max="5" width="7.6640625" style="24" customWidth="1"/>
    <col min="6" max="6" width="9.6640625" style="24" customWidth="1"/>
    <col min="7" max="8" width="24.33203125" style="24" customWidth="1"/>
    <col min="9" max="9" width="15.5" style="24" customWidth="1"/>
    <col min="10" max="13" width="11.83203125" style="24" customWidth="1"/>
    <col min="14" max="14" width="11.33203125" style="24" customWidth="1"/>
    <col min="15" max="16" width="7.6640625" style="24" customWidth="1"/>
    <col min="17" max="17" width="17.6640625" style="24" customWidth="1"/>
    <col min="18" max="18" width="13.33203125" style="24" customWidth="1"/>
    <col min="19" max="19" width="12.33203125" style="24" customWidth="1"/>
    <col min="20" max="20" width="7.6640625" style="24" customWidth="1"/>
    <col min="21" max="21" width="16.83203125" style="24" customWidth="1"/>
    <col min="22" max="22" width="10.83203125" style="24" customWidth="1"/>
    <col min="23" max="23" width="11.1640625" style="24" customWidth="1"/>
    <col min="24" max="25" width="11.83203125" style="24" customWidth="1"/>
    <col min="26" max="26" width="10.33203125" style="24" customWidth="1"/>
    <col min="27" max="27" width="6.5" style="24" customWidth="1"/>
    <col min="28" max="28" width="23.6640625" style="24" customWidth="1"/>
    <col min="29" max="29" width="17.5" style="24" customWidth="1"/>
    <col min="30" max="30" width="12.5" style="24" customWidth="1"/>
    <col min="31" max="31" width="8.6640625" style="24" customWidth="1"/>
    <col min="32" max="32" width="12.5" style="24" customWidth="1"/>
    <col min="33" max="33" width="16.83203125" style="24" customWidth="1"/>
    <col min="34" max="35" width="11.1640625" style="24" customWidth="1"/>
    <col min="36" max="37" width="11.5" style="24" customWidth="1"/>
    <col min="38" max="38" width="11.6640625" style="24" customWidth="1"/>
    <col min="39" max="39" width="18.6640625" style="24" customWidth="1"/>
    <col min="40" max="40" width="12.6640625" style="24" customWidth="1"/>
    <col min="41" max="41" width="18.33203125" style="24" customWidth="1"/>
    <col min="42" max="42" width="14.33203125" style="24" customWidth="1"/>
    <col min="43" max="43" width="9.6640625" style="24" customWidth="1"/>
    <col min="44" max="44" width="16.1640625" style="24" customWidth="1"/>
    <col min="45" max="45" width="14.33203125" style="24" customWidth="1"/>
    <col min="46" max="47" width="9.83203125" style="24" customWidth="1"/>
    <col min="48" max="48" width="11.83203125" style="24" customWidth="1"/>
    <col min="49" max="49" width="9.6640625" style="24" customWidth="1"/>
    <col min="50" max="50" width="12.1640625" style="24" customWidth="1"/>
    <col min="51" max="57" width="9.6640625" style="24" customWidth="1"/>
    <col min="58" max="58" width="11.5" style="24" customWidth="1"/>
    <col min="59" max="59" width="9.6640625" style="24" customWidth="1"/>
    <col min="60" max="60" width="25" style="24" customWidth="1"/>
    <col min="61" max="61" width="8.6640625" style="4" customWidth="1"/>
    <col min="62" max="62" width="8.6640625" style="24" customWidth="1"/>
    <col min="63" max="63" width="13.1640625" style="24" customWidth="1"/>
    <col min="64" max="64" width="9.6640625" style="24" customWidth="1"/>
    <col min="65" max="65" width="14.5" style="24" customWidth="1"/>
    <col min="66" max="66" width="9.6640625" style="24" customWidth="1"/>
    <col min="67" max="67" width="16.5" style="25" customWidth="1"/>
    <col min="68" max="68" width="0.83203125" style="24" hidden="1" customWidth="1"/>
    <col min="69" max="69" width="9.33203125" style="24" customWidth="1"/>
    <col min="70" max="72" width="13.5" style="24" customWidth="1"/>
    <col min="73" max="73" width="8.6640625" style="24" customWidth="1"/>
    <col min="74" max="74" width="9.6640625" style="24" customWidth="1"/>
    <col min="75" max="75" width="9.6640625" style="4" customWidth="1"/>
    <col min="76" max="76" width="9.6640625" style="24" customWidth="1"/>
    <col min="77" max="77" width="21" style="24" customWidth="1"/>
    <col min="78" max="79" width="9.6640625" style="24" customWidth="1"/>
    <col min="80" max="80" width="15.33203125" style="24" customWidth="1"/>
    <col min="81" max="81" width="9.6640625" style="24" customWidth="1"/>
    <col min="82" max="82" width="16.6640625" style="24" customWidth="1"/>
    <col min="83" max="84" width="1.83203125" style="24" hidden="1" customWidth="1"/>
    <col min="85" max="85" width="15.6640625" style="24" customWidth="1"/>
    <col min="86" max="86" width="15.6640625" style="8" customWidth="1"/>
    <col min="87" max="16384" width="15.6640625" style="24"/>
  </cols>
  <sheetData>
    <row r="1" spans="1:86" s="1" customFormat="1" ht="17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103</v>
      </c>
      <c r="K1" s="26" t="s">
        <v>9</v>
      </c>
      <c r="L1" s="26" t="s">
        <v>103</v>
      </c>
      <c r="M1" s="26" t="s">
        <v>9</v>
      </c>
      <c r="N1" s="27" t="s">
        <v>10</v>
      </c>
      <c r="O1" s="27" t="s">
        <v>108</v>
      </c>
      <c r="P1" s="27" t="s">
        <v>112</v>
      </c>
      <c r="Q1" s="27" t="s">
        <v>231</v>
      </c>
      <c r="R1" s="27" t="s">
        <v>13</v>
      </c>
      <c r="S1" s="27" t="s">
        <v>14</v>
      </c>
      <c r="T1" s="27" t="s">
        <v>18</v>
      </c>
      <c r="U1" s="27" t="s">
        <v>19</v>
      </c>
      <c r="V1" s="27" t="s">
        <v>20</v>
      </c>
      <c r="W1" s="27" t="s">
        <v>15</v>
      </c>
      <c r="X1" s="27" t="s">
        <v>16</v>
      </c>
      <c r="Y1" s="27" t="s">
        <v>199</v>
      </c>
      <c r="Z1" s="27" t="s">
        <v>46</v>
      </c>
      <c r="AA1" s="27" t="s">
        <v>107</v>
      </c>
      <c r="AB1" s="27" t="s">
        <v>377</v>
      </c>
      <c r="AC1" s="27" t="s">
        <v>21</v>
      </c>
      <c r="AD1" s="26" t="s">
        <v>22</v>
      </c>
      <c r="AE1" s="10" t="s">
        <v>24</v>
      </c>
      <c r="AF1" s="27" t="s">
        <v>25</v>
      </c>
      <c r="AG1" s="9" t="s">
        <v>113</v>
      </c>
      <c r="AH1" s="9" t="s">
        <v>114</v>
      </c>
      <c r="AI1" s="9" t="s">
        <v>28</v>
      </c>
      <c r="AJ1" s="9" t="s">
        <v>29</v>
      </c>
      <c r="AK1" s="9" t="s">
        <v>115</v>
      </c>
      <c r="AL1" s="9" t="s">
        <v>116</v>
      </c>
      <c r="AM1" s="9" t="s">
        <v>31</v>
      </c>
      <c r="AN1" s="9" t="s">
        <v>33</v>
      </c>
      <c r="AO1" s="9" t="s">
        <v>34</v>
      </c>
      <c r="AP1" s="9" t="s">
        <v>37</v>
      </c>
      <c r="AQ1" s="9" t="s">
        <v>158</v>
      </c>
      <c r="AR1" s="9" t="s">
        <v>119</v>
      </c>
      <c r="AS1" s="11" t="s">
        <v>120</v>
      </c>
      <c r="AT1" s="11" t="s">
        <v>239</v>
      </c>
      <c r="AU1" s="11" t="s">
        <v>159</v>
      </c>
      <c r="AV1" s="11" t="s">
        <v>39</v>
      </c>
      <c r="AW1" s="11" t="s">
        <v>40</v>
      </c>
      <c r="AX1" s="1" t="s">
        <v>41</v>
      </c>
      <c r="AY1" s="9" t="s">
        <v>42</v>
      </c>
      <c r="AZ1" s="9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160</v>
      </c>
      <c r="BF1" s="1" t="s">
        <v>122</v>
      </c>
      <c r="BG1" s="1" t="s">
        <v>48</v>
      </c>
      <c r="BH1" s="26" t="s">
        <v>49</v>
      </c>
      <c r="BI1" s="3" t="s">
        <v>23</v>
      </c>
      <c r="BJ1" s="10" t="s">
        <v>51</v>
      </c>
      <c r="BK1" s="1" t="s">
        <v>53</v>
      </c>
      <c r="BL1" s="1" t="s">
        <v>54</v>
      </c>
      <c r="BM1" s="1" t="s">
        <v>378</v>
      </c>
      <c r="BN1" s="1" t="s">
        <v>379</v>
      </c>
      <c r="BO1" s="9" t="s">
        <v>55</v>
      </c>
      <c r="BQ1" s="1" t="s">
        <v>50</v>
      </c>
      <c r="BR1" s="1" t="s">
        <v>241</v>
      </c>
      <c r="BU1" s="10" t="s">
        <v>57</v>
      </c>
      <c r="BV1" s="12" t="s">
        <v>163</v>
      </c>
      <c r="BW1" s="12" t="s">
        <v>61</v>
      </c>
      <c r="BX1" s="3" t="s">
        <v>62</v>
      </c>
      <c r="BY1" s="12" t="s">
        <v>164</v>
      </c>
      <c r="BZ1" s="1" t="s">
        <v>58</v>
      </c>
      <c r="CA1" s="1" t="s">
        <v>165</v>
      </c>
      <c r="CB1" s="1" t="s">
        <v>63</v>
      </c>
      <c r="CC1" s="12" t="s">
        <v>64</v>
      </c>
      <c r="CD1" s="28" t="s">
        <v>242</v>
      </c>
      <c r="CG1" t="s">
        <v>167</v>
      </c>
      <c r="CH1" t="s">
        <v>65</v>
      </c>
    </row>
    <row r="2" spans="1:86" s="1" customFormat="1" ht="17" customHeight="1">
      <c r="A2" s="26">
        <v>1</v>
      </c>
      <c r="B2" s="26" t="s">
        <v>380</v>
      </c>
      <c r="C2" s="26" t="s">
        <v>381</v>
      </c>
      <c r="D2" s="26" t="s">
        <v>245</v>
      </c>
      <c r="E2" s="15">
        <f>SUM(G2:$XEX2)</f>
        <v>26</v>
      </c>
      <c r="F2" s="3">
        <f t="shared" ref="F2:F33" si="0">COUNT(G2:EW2)</f>
        <v>4</v>
      </c>
      <c r="G2" s="26"/>
      <c r="H2" s="26"/>
      <c r="I2" s="26"/>
      <c r="J2" s="26"/>
      <c r="K2" s="26"/>
      <c r="L2" s="26"/>
      <c r="M2" s="26"/>
      <c r="N2" s="27"/>
      <c r="O2" s="27"/>
      <c r="P2" s="27"/>
      <c r="Q2" s="27"/>
      <c r="R2" s="27"/>
      <c r="S2" s="27"/>
      <c r="T2" s="27"/>
      <c r="U2" s="27">
        <v>16</v>
      </c>
      <c r="V2" s="27"/>
      <c r="W2" s="27">
        <v>4</v>
      </c>
      <c r="X2" s="27"/>
      <c r="Y2" s="27"/>
      <c r="Z2" s="27"/>
      <c r="AA2" s="27"/>
      <c r="AB2" s="27"/>
      <c r="AC2" s="27"/>
      <c r="AD2" s="27"/>
      <c r="AE2" s="10" t="s">
        <v>24</v>
      </c>
      <c r="AF2" s="27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11"/>
      <c r="AT2" s="11"/>
      <c r="AU2" s="11"/>
      <c r="BH2" s="26"/>
      <c r="BI2" s="3"/>
      <c r="BJ2" s="10" t="s">
        <v>51</v>
      </c>
      <c r="BU2" s="10" t="s">
        <v>57</v>
      </c>
      <c r="BV2" s="12"/>
      <c r="BW2" s="12">
        <v>1</v>
      </c>
      <c r="BX2" s="12"/>
      <c r="BY2" s="12"/>
      <c r="CC2" s="12"/>
      <c r="CG2"/>
      <c r="CH2">
        <v>5</v>
      </c>
    </row>
    <row r="3" spans="1:86" s="1" customFormat="1" ht="17" customHeight="1">
      <c r="A3" s="26">
        <v>2</v>
      </c>
      <c r="B3" s="26" t="s">
        <v>382</v>
      </c>
      <c r="C3" s="26" t="s">
        <v>383</v>
      </c>
      <c r="D3" s="26" t="s">
        <v>245</v>
      </c>
      <c r="E3" s="15">
        <f>SUM(G3:$XEX3)</f>
        <v>54</v>
      </c>
      <c r="F3" s="3">
        <f t="shared" si="0"/>
        <v>6</v>
      </c>
      <c r="G3" s="26"/>
      <c r="H3" s="26"/>
      <c r="I3" s="26"/>
      <c r="J3" s="26"/>
      <c r="K3" s="26"/>
      <c r="L3" s="26"/>
      <c r="M3" s="26"/>
      <c r="N3" s="27"/>
      <c r="O3" s="27"/>
      <c r="P3" s="27"/>
      <c r="Q3" s="27"/>
      <c r="R3" s="27"/>
      <c r="S3" s="27"/>
      <c r="T3" s="27"/>
      <c r="U3" s="27">
        <v>8</v>
      </c>
      <c r="V3" s="27"/>
      <c r="W3" s="27"/>
      <c r="X3" s="27"/>
      <c r="Y3" s="27"/>
      <c r="Z3" s="27"/>
      <c r="AA3" s="27"/>
      <c r="AB3" s="27"/>
      <c r="AC3" s="27"/>
      <c r="AD3" s="27"/>
      <c r="AE3" s="10" t="s">
        <v>24</v>
      </c>
      <c r="AF3" s="27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11"/>
      <c r="AT3" s="11"/>
      <c r="AU3" s="11"/>
      <c r="AW3" s="1">
        <v>4</v>
      </c>
      <c r="BA3" s="1">
        <v>6</v>
      </c>
      <c r="BB3" s="1">
        <v>4</v>
      </c>
      <c r="BH3" s="26">
        <v>30</v>
      </c>
      <c r="BI3" s="3"/>
      <c r="BJ3" s="10" t="s">
        <v>51</v>
      </c>
      <c r="BU3" s="10" t="s">
        <v>57</v>
      </c>
      <c r="BV3" s="12"/>
      <c r="BW3" s="12"/>
      <c r="BX3" s="12"/>
      <c r="BY3" s="12"/>
      <c r="CC3" s="12"/>
      <c r="CG3"/>
      <c r="CH3">
        <v>2</v>
      </c>
    </row>
    <row r="4" spans="1:86" s="1" customFormat="1" ht="17" customHeight="1">
      <c r="A4" s="26">
        <v>3</v>
      </c>
      <c r="B4" s="26" t="s">
        <v>384</v>
      </c>
      <c r="C4" s="26" t="s">
        <v>385</v>
      </c>
      <c r="D4" s="26" t="s">
        <v>245</v>
      </c>
      <c r="E4" s="15">
        <f>SUM(G4:$XEX4)</f>
        <v>25</v>
      </c>
      <c r="F4" s="3">
        <f t="shared" si="0"/>
        <v>5</v>
      </c>
      <c r="G4" s="26"/>
      <c r="H4" s="26"/>
      <c r="I4" s="26"/>
      <c r="J4" s="26"/>
      <c r="K4" s="26"/>
      <c r="L4" s="26"/>
      <c r="M4" s="26"/>
      <c r="N4" s="27"/>
      <c r="O4" s="27"/>
      <c r="P4" s="27"/>
      <c r="Q4" s="27"/>
      <c r="R4" s="27"/>
      <c r="S4" s="27"/>
      <c r="T4" s="27"/>
      <c r="U4" s="27">
        <v>8</v>
      </c>
      <c r="V4" s="27"/>
      <c r="W4" s="27"/>
      <c r="X4" s="27"/>
      <c r="Y4" s="27"/>
      <c r="Z4" s="27"/>
      <c r="AA4" s="27"/>
      <c r="AB4" s="27"/>
      <c r="AC4" s="27"/>
      <c r="AD4" s="27"/>
      <c r="AE4" s="10" t="s">
        <v>24</v>
      </c>
      <c r="AF4" s="27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11"/>
      <c r="AT4" s="11"/>
      <c r="AU4" s="11"/>
      <c r="BH4" s="26"/>
      <c r="BI4" s="3">
        <v>4</v>
      </c>
      <c r="BJ4" s="10" t="s">
        <v>51</v>
      </c>
      <c r="BQ4" s="1">
        <v>4</v>
      </c>
      <c r="BU4" s="10" t="s">
        <v>57</v>
      </c>
      <c r="BV4" s="12"/>
      <c r="BW4" s="12"/>
      <c r="BX4" s="12"/>
      <c r="BY4" s="12"/>
      <c r="CA4" s="1">
        <v>4</v>
      </c>
      <c r="CC4" s="12"/>
      <c r="CG4"/>
      <c r="CH4">
        <v>5</v>
      </c>
    </row>
    <row r="5" spans="1:86" s="1" customFormat="1" ht="17" customHeight="1">
      <c r="A5" s="26">
        <v>4</v>
      </c>
      <c r="B5" s="26" t="s">
        <v>386</v>
      </c>
      <c r="C5" s="26" t="s">
        <v>387</v>
      </c>
      <c r="D5" s="26" t="s">
        <v>245</v>
      </c>
      <c r="E5" s="15">
        <f>SUM(G5:$XEX5)</f>
        <v>42.5</v>
      </c>
      <c r="F5" s="3">
        <f t="shared" si="0"/>
        <v>7</v>
      </c>
      <c r="G5" s="26"/>
      <c r="H5" s="26">
        <v>7</v>
      </c>
      <c r="I5" s="26"/>
      <c r="J5" s="26"/>
      <c r="K5" s="26"/>
      <c r="L5" s="26"/>
      <c r="M5" s="26"/>
      <c r="N5" s="27"/>
      <c r="O5" s="27"/>
      <c r="P5" s="27"/>
      <c r="Q5" s="27"/>
      <c r="R5" s="27"/>
      <c r="S5" s="27"/>
      <c r="T5" s="27"/>
      <c r="U5" s="27"/>
      <c r="V5" s="27">
        <v>2</v>
      </c>
      <c r="W5" s="27"/>
      <c r="X5" s="27"/>
      <c r="Y5" s="27"/>
      <c r="Z5" s="27"/>
      <c r="AA5" s="27"/>
      <c r="AB5" s="27"/>
      <c r="AC5" s="27">
        <v>4</v>
      </c>
      <c r="AD5" s="27"/>
      <c r="AE5" s="10" t="s">
        <v>24</v>
      </c>
      <c r="AF5" s="27"/>
      <c r="AG5" s="9"/>
      <c r="AH5" s="9"/>
      <c r="AI5" s="9">
        <v>23</v>
      </c>
      <c r="AJ5" s="9"/>
      <c r="AK5" s="9"/>
      <c r="AL5" s="9"/>
      <c r="AM5" s="9"/>
      <c r="AN5" s="9"/>
      <c r="AO5" s="9"/>
      <c r="AP5" s="9"/>
      <c r="AQ5" s="9"/>
      <c r="AR5" s="9"/>
      <c r="AS5" s="11"/>
      <c r="AT5" s="11"/>
      <c r="AU5" s="11"/>
      <c r="BH5" s="26">
        <v>4</v>
      </c>
      <c r="BI5" s="3"/>
      <c r="BJ5" s="10" t="s">
        <v>51</v>
      </c>
      <c r="BU5" s="10" t="s">
        <v>57</v>
      </c>
      <c r="BV5" s="12"/>
      <c r="BW5" s="12">
        <v>0.5</v>
      </c>
      <c r="BX5" s="12"/>
      <c r="BY5" s="12"/>
      <c r="CC5" s="12"/>
      <c r="CG5"/>
      <c r="CH5">
        <v>2</v>
      </c>
    </row>
    <row r="6" spans="1:86" s="1" customFormat="1" ht="17" customHeight="1">
      <c r="A6" s="26">
        <v>5</v>
      </c>
      <c r="B6" s="26" t="s">
        <v>388</v>
      </c>
      <c r="C6" s="26" t="s">
        <v>389</v>
      </c>
      <c r="D6" s="26" t="s">
        <v>245</v>
      </c>
      <c r="E6" s="15">
        <f>SUM(G6:$XEX6)</f>
        <v>30</v>
      </c>
      <c r="F6" s="3">
        <f t="shared" si="0"/>
        <v>4</v>
      </c>
      <c r="G6" s="26"/>
      <c r="H6" s="26"/>
      <c r="I6" s="26"/>
      <c r="J6" s="26"/>
      <c r="K6" s="26"/>
      <c r="L6" s="26"/>
      <c r="M6" s="26"/>
      <c r="N6" s="27"/>
      <c r="O6" s="27"/>
      <c r="P6" s="27"/>
      <c r="Q6" s="27"/>
      <c r="R6" s="27"/>
      <c r="S6" s="27"/>
      <c r="T6" s="27"/>
      <c r="U6" s="27">
        <v>16</v>
      </c>
      <c r="V6" s="27"/>
      <c r="W6" s="27">
        <v>4</v>
      </c>
      <c r="X6" s="27">
        <v>4</v>
      </c>
      <c r="Y6" s="27"/>
      <c r="Z6" s="27"/>
      <c r="AA6" s="27"/>
      <c r="AB6" s="27"/>
      <c r="AC6" s="27"/>
      <c r="AD6" s="27"/>
      <c r="AE6" s="10" t="s">
        <v>24</v>
      </c>
      <c r="AF6" s="27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11"/>
      <c r="AT6" s="11"/>
      <c r="AU6" s="11"/>
      <c r="BH6" s="26"/>
      <c r="BI6" s="3"/>
      <c r="BJ6" s="10" t="s">
        <v>51</v>
      </c>
      <c r="BU6" s="10" t="s">
        <v>57</v>
      </c>
      <c r="BV6" s="12">
        <v>6</v>
      </c>
      <c r="BW6" s="12"/>
      <c r="BX6" s="12"/>
      <c r="BY6" s="12"/>
      <c r="CC6" s="12"/>
    </row>
    <row r="7" spans="1:86" s="1" customFormat="1" ht="17" customHeight="1">
      <c r="A7" s="26">
        <v>6</v>
      </c>
      <c r="B7" s="26" t="s">
        <v>390</v>
      </c>
      <c r="C7" s="26" t="s">
        <v>391</v>
      </c>
      <c r="D7" s="26" t="s">
        <v>245</v>
      </c>
      <c r="E7" s="15">
        <f>SUM(G7:$XEX7)</f>
        <v>144.5</v>
      </c>
      <c r="F7" s="3">
        <f t="shared" si="0"/>
        <v>11</v>
      </c>
      <c r="G7" s="26">
        <v>81</v>
      </c>
      <c r="H7" s="26"/>
      <c r="I7" s="26"/>
      <c r="J7" s="26"/>
      <c r="K7" s="26"/>
      <c r="L7" s="26"/>
      <c r="M7" s="26"/>
      <c r="N7" s="27"/>
      <c r="O7" s="27"/>
      <c r="P7" s="27"/>
      <c r="Q7" s="27">
        <v>6</v>
      </c>
      <c r="R7" s="27"/>
      <c r="S7" s="27"/>
      <c r="T7" s="27"/>
      <c r="U7" s="27">
        <v>16</v>
      </c>
      <c r="V7" s="27">
        <v>8</v>
      </c>
      <c r="W7" s="27">
        <v>4</v>
      </c>
      <c r="X7" s="27">
        <v>4</v>
      </c>
      <c r="Y7" s="27"/>
      <c r="Z7" s="27">
        <v>4</v>
      </c>
      <c r="AA7" s="27"/>
      <c r="AB7" s="27"/>
      <c r="AC7" s="27"/>
      <c r="AD7" s="27"/>
      <c r="AE7" s="10" t="s">
        <v>24</v>
      </c>
      <c r="AF7" s="27"/>
      <c r="AG7" s="9">
        <v>0.5</v>
      </c>
      <c r="AH7" s="9"/>
      <c r="AI7" s="9"/>
      <c r="AJ7" s="9"/>
      <c r="AK7" s="9"/>
      <c r="AL7" s="9"/>
      <c r="AM7" s="9"/>
      <c r="AN7" s="9"/>
      <c r="AO7" s="9"/>
      <c r="AP7" s="9">
        <v>10</v>
      </c>
      <c r="AQ7" s="9"/>
      <c r="AR7" s="9"/>
      <c r="AS7" s="11"/>
      <c r="AT7" s="11"/>
      <c r="AU7" s="11"/>
      <c r="BC7" s="1">
        <v>8</v>
      </c>
      <c r="BD7" s="1">
        <v>3</v>
      </c>
      <c r="BH7" s="26"/>
      <c r="BI7" s="3"/>
      <c r="BJ7" s="10" t="s">
        <v>51</v>
      </c>
      <c r="BU7" s="10" t="s">
        <v>57</v>
      </c>
      <c r="BV7" s="12"/>
      <c r="BW7" s="12"/>
      <c r="BX7" s="12"/>
      <c r="BY7" s="12"/>
      <c r="CC7" s="12"/>
    </row>
    <row r="8" spans="1:86" s="1" customFormat="1" ht="17" customHeight="1">
      <c r="A8" s="26">
        <v>7</v>
      </c>
      <c r="B8" s="26" t="s">
        <v>392</v>
      </c>
      <c r="C8" s="26" t="s">
        <v>393</v>
      </c>
      <c r="D8" s="26" t="s">
        <v>245</v>
      </c>
      <c r="E8" s="15">
        <f>SUM(G8:$XEX8)</f>
        <v>61</v>
      </c>
      <c r="F8" s="3">
        <f t="shared" si="0"/>
        <v>6</v>
      </c>
      <c r="G8" s="26"/>
      <c r="H8" s="26"/>
      <c r="I8" s="26"/>
      <c r="J8" s="26"/>
      <c r="K8" s="26"/>
      <c r="L8" s="26"/>
      <c r="M8" s="26"/>
      <c r="N8" s="27"/>
      <c r="O8" s="27"/>
      <c r="P8" s="27"/>
      <c r="Q8" s="27"/>
      <c r="R8" s="27"/>
      <c r="S8" s="27"/>
      <c r="T8" s="27"/>
      <c r="U8" s="27"/>
      <c r="V8" s="27"/>
      <c r="W8" s="27">
        <v>4</v>
      </c>
      <c r="X8" s="27">
        <v>4</v>
      </c>
      <c r="Y8" s="27">
        <v>2</v>
      </c>
      <c r="Z8" s="27"/>
      <c r="AA8" s="27"/>
      <c r="AB8" s="27"/>
      <c r="AC8" s="27"/>
      <c r="AD8" s="27"/>
      <c r="AE8" s="10" t="s">
        <v>24</v>
      </c>
      <c r="AF8" s="27">
        <v>9</v>
      </c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11"/>
      <c r="AT8" s="11"/>
      <c r="AU8" s="11"/>
      <c r="BB8" s="1">
        <v>2</v>
      </c>
      <c r="BH8" s="26">
        <v>40</v>
      </c>
      <c r="BI8" s="3"/>
      <c r="BJ8" s="10" t="s">
        <v>51</v>
      </c>
      <c r="BU8" s="10" t="s">
        <v>57</v>
      </c>
      <c r="BV8" s="12"/>
      <c r="BW8" s="12"/>
      <c r="BX8" s="12"/>
      <c r="BY8" s="12"/>
      <c r="CC8" s="12"/>
    </row>
    <row r="9" spans="1:86" s="1" customFormat="1" ht="17" customHeight="1">
      <c r="A9" s="26">
        <v>8</v>
      </c>
      <c r="B9" s="26" t="s">
        <v>394</v>
      </c>
      <c r="C9" s="26" t="s">
        <v>395</v>
      </c>
      <c r="D9" s="26" t="s">
        <v>245</v>
      </c>
      <c r="E9" s="15">
        <f>SUM(G9:$XEX9)</f>
        <v>128.5</v>
      </c>
      <c r="F9" s="3">
        <f t="shared" si="0"/>
        <v>6</v>
      </c>
      <c r="G9" s="26"/>
      <c r="H9" s="26"/>
      <c r="I9" s="26"/>
      <c r="J9" s="26"/>
      <c r="K9" s="26"/>
      <c r="L9" s="26"/>
      <c r="M9" s="26"/>
      <c r="N9" s="27"/>
      <c r="O9" s="27"/>
      <c r="P9" s="27"/>
      <c r="Q9" s="27"/>
      <c r="R9" s="27"/>
      <c r="S9" s="27">
        <v>100</v>
      </c>
      <c r="T9" s="27"/>
      <c r="U9" s="27">
        <v>16</v>
      </c>
      <c r="V9" s="27"/>
      <c r="W9" s="27">
        <v>4</v>
      </c>
      <c r="X9" s="27"/>
      <c r="Y9" s="27"/>
      <c r="Z9" s="27"/>
      <c r="AA9" s="27"/>
      <c r="AB9" s="27"/>
      <c r="AC9" s="27">
        <v>4</v>
      </c>
      <c r="AD9" s="27"/>
      <c r="AE9" s="10" t="s">
        <v>24</v>
      </c>
      <c r="AF9" s="27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11"/>
      <c r="AT9" s="11"/>
      <c r="AU9" s="11"/>
      <c r="AY9" s="1">
        <v>4</v>
      </c>
      <c r="BH9" s="26"/>
      <c r="BI9" s="3"/>
      <c r="BJ9" s="10" t="s">
        <v>51</v>
      </c>
      <c r="BU9" s="10" t="s">
        <v>57</v>
      </c>
      <c r="BV9" s="12"/>
      <c r="BW9" s="12">
        <v>0.5</v>
      </c>
      <c r="BX9" s="12"/>
      <c r="BY9" s="12"/>
      <c r="CC9" s="12"/>
    </row>
    <row r="10" spans="1:86" s="1" customFormat="1" ht="17" customHeight="1">
      <c r="A10" s="26">
        <v>9</v>
      </c>
      <c r="B10" s="26" t="s">
        <v>396</v>
      </c>
      <c r="C10" s="26" t="s">
        <v>397</v>
      </c>
      <c r="D10" s="26" t="s">
        <v>245</v>
      </c>
      <c r="E10" s="15">
        <f>SUM(G10:$XEX10)</f>
        <v>2</v>
      </c>
      <c r="F10" s="3">
        <f t="shared" si="0"/>
        <v>1</v>
      </c>
      <c r="G10" s="26"/>
      <c r="H10" s="26"/>
      <c r="I10" s="26"/>
      <c r="J10" s="26"/>
      <c r="K10" s="26"/>
      <c r="L10" s="26"/>
      <c r="M10" s="26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0" t="s">
        <v>24</v>
      </c>
      <c r="AF10" s="27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11"/>
      <c r="AT10" s="11"/>
      <c r="AU10" s="11"/>
      <c r="BH10" s="26"/>
      <c r="BI10" s="3"/>
      <c r="BJ10" s="10" t="s">
        <v>51</v>
      </c>
      <c r="BU10" s="10" t="s">
        <v>57</v>
      </c>
      <c r="BV10" s="12"/>
      <c r="BW10" s="12">
        <v>2</v>
      </c>
      <c r="BX10" s="12"/>
      <c r="BY10" s="12"/>
      <c r="CC10" s="12"/>
    </row>
    <row r="11" spans="1:86" s="1" customFormat="1" ht="17" customHeight="1">
      <c r="A11" s="26">
        <v>10</v>
      </c>
      <c r="B11" s="26" t="s">
        <v>398</v>
      </c>
      <c r="C11" s="26" t="s">
        <v>399</v>
      </c>
      <c r="D11" s="26" t="s">
        <v>245</v>
      </c>
      <c r="E11" s="15">
        <f>SUM(G11:$XEX11)</f>
        <v>20</v>
      </c>
      <c r="F11" s="3">
        <f t="shared" si="0"/>
        <v>6</v>
      </c>
      <c r="G11" s="26"/>
      <c r="H11" s="26"/>
      <c r="I11" s="26"/>
      <c r="J11" s="26"/>
      <c r="K11" s="26"/>
      <c r="L11" s="26"/>
      <c r="M11" s="26"/>
      <c r="N11" s="27"/>
      <c r="O11" s="27"/>
      <c r="P11" s="27"/>
      <c r="Q11" s="27"/>
      <c r="R11" s="27"/>
      <c r="S11" s="27"/>
      <c r="T11" s="27"/>
      <c r="U11" s="27"/>
      <c r="V11" s="27"/>
      <c r="W11" s="27">
        <v>4</v>
      </c>
      <c r="X11" s="27">
        <v>4</v>
      </c>
      <c r="Y11" s="27">
        <v>2</v>
      </c>
      <c r="Z11" s="27"/>
      <c r="AA11" s="27"/>
      <c r="AB11" s="27"/>
      <c r="AC11" s="27"/>
      <c r="AD11" s="27"/>
      <c r="AE11" s="10" t="s">
        <v>24</v>
      </c>
      <c r="AF11" s="27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11"/>
      <c r="AT11" s="11"/>
      <c r="AU11" s="11"/>
      <c r="AY11" s="1">
        <v>4</v>
      </c>
      <c r="BB11" s="1">
        <v>2</v>
      </c>
      <c r="BH11" s="26"/>
      <c r="BI11" s="3"/>
      <c r="BJ11" s="10" t="s">
        <v>51</v>
      </c>
      <c r="BU11" s="10" t="s">
        <v>57</v>
      </c>
      <c r="BV11" s="12">
        <v>4</v>
      </c>
      <c r="BW11" s="12"/>
      <c r="BX11" s="12"/>
      <c r="BY11" s="12"/>
      <c r="CC11" s="12"/>
    </row>
    <row r="12" spans="1:86" s="1" customFormat="1" ht="17" customHeight="1">
      <c r="A12" s="26">
        <v>11</v>
      </c>
      <c r="B12" s="26" t="s">
        <v>400</v>
      </c>
      <c r="C12" s="26" t="s">
        <v>401</v>
      </c>
      <c r="D12" s="26" t="s">
        <v>245</v>
      </c>
      <c r="E12" s="15">
        <f>SUM(G12:$XEX12)</f>
        <v>101.5</v>
      </c>
      <c r="F12" s="3">
        <f t="shared" si="0"/>
        <v>14</v>
      </c>
      <c r="G12" s="26">
        <v>6</v>
      </c>
      <c r="H12" s="26"/>
      <c r="I12" s="26">
        <v>6</v>
      </c>
      <c r="J12" s="26"/>
      <c r="K12" s="26">
        <v>6</v>
      </c>
      <c r="L12" s="26"/>
      <c r="M12" s="26">
        <v>6</v>
      </c>
      <c r="N12" s="27">
        <v>7</v>
      </c>
      <c r="O12" s="27"/>
      <c r="P12" s="27"/>
      <c r="Q12" s="27"/>
      <c r="R12" s="27"/>
      <c r="S12" s="27"/>
      <c r="T12" s="27"/>
      <c r="U12" s="27"/>
      <c r="V12" s="27"/>
      <c r="W12" s="27">
        <v>4</v>
      </c>
      <c r="X12" s="27">
        <v>4</v>
      </c>
      <c r="Y12" s="27"/>
      <c r="Z12" s="27"/>
      <c r="AA12" s="27"/>
      <c r="AB12" s="27"/>
      <c r="AC12" s="27"/>
      <c r="AD12" s="27"/>
      <c r="AE12" s="10" t="s">
        <v>24</v>
      </c>
      <c r="AF12" s="27">
        <v>11</v>
      </c>
      <c r="AG12" s="9">
        <v>0.5</v>
      </c>
      <c r="AH12" s="9">
        <v>6</v>
      </c>
      <c r="AI12" s="9">
        <v>26</v>
      </c>
      <c r="AJ12" s="9"/>
      <c r="AK12" s="9"/>
      <c r="AL12" s="9"/>
      <c r="AM12" s="9"/>
      <c r="AN12" s="9">
        <v>4</v>
      </c>
      <c r="AO12" s="9"/>
      <c r="AP12" s="9"/>
      <c r="AQ12" s="9"/>
      <c r="AR12" s="9"/>
      <c r="AS12" s="11">
        <v>10</v>
      </c>
      <c r="AT12" s="11"/>
      <c r="AU12" s="11"/>
      <c r="BH12" s="26"/>
      <c r="BI12" s="3"/>
      <c r="BJ12" s="10" t="s">
        <v>51</v>
      </c>
      <c r="BN12" s="1">
        <v>5</v>
      </c>
      <c r="BU12" s="10" t="s">
        <v>57</v>
      </c>
      <c r="BV12" s="12"/>
      <c r="BW12" s="12"/>
      <c r="BX12" s="12"/>
      <c r="BY12" s="12"/>
      <c r="CC12" s="12"/>
    </row>
    <row r="13" spans="1:86" s="1" customFormat="1" ht="17" customHeight="1">
      <c r="A13" s="26">
        <v>12</v>
      </c>
      <c r="B13" s="26" t="s">
        <v>402</v>
      </c>
      <c r="C13" s="26" t="s">
        <v>403</v>
      </c>
      <c r="D13" s="26" t="s">
        <v>245</v>
      </c>
      <c r="E13" s="15">
        <f>SUM(G13:$XEX13)</f>
        <v>29</v>
      </c>
      <c r="F13" s="3">
        <f t="shared" si="0"/>
        <v>4</v>
      </c>
      <c r="G13" s="26"/>
      <c r="H13" s="26"/>
      <c r="I13" s="26"/>
      <c r="J13" s="26"/>
      <c r="K13" s="26"/>
      <c r="L13" s="26"/>
      <c r="M13" s="26"/>
      <c r="N13" s="27"/>
      <c r="O13" s="27"/>
      <c r="P13" s="27"/>
      <c r="Q13" s="27"/>
      <c r="R13" s="27"/>
      <c r="S13" s="27"/>
      <c r="T13" s="27"/>
      <c r="U13" s="27"/>
      <c r="V13" s="27">
        <v>8</v>
      </c>
      <c r="W13" s="27"/>
      <c r="X13" s="27"/>
      <c r="Y13" s="27"/>
      <c r="Z13" s="27"/>
      <c r="AA13" s="27"/>
      <c r="AB13" s="27"/>
      <c r="AC13" s="27"/>
      <c r="AD13" s="27"/>
      <c r="AE13" s="10" t="s">
        <v>24</v>
      </c>
      <c r="AF13" s="27">
        <v>12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11"/>
      <c r="AT13" s="11">
        <v>5</v>
      </c>
      <c r="AU13" s="11"/>
      <c r="BH13" s="26"/>
      <c r="BI13" s="3"/>
      <c r="BJ13" s="10" t="s">
        <v>51</v>
      </c>
      <c r="BU13" s="10" t="s">
        <v>57</v>
      </c>
      <c r="BV13" s="12"/>
      <c r="BW13" s="12"/>
      <c r="BX13" s="12"/>
      <c r="BY13" s="12"/>
      <c r="CA13" s="1">
        <v>4</v>
      </c>
      <c r="CC13" s="12"/>
    </row>
    <row r="14" spans="1:86" s="1" customFormat="1" ht="17" customHeight="1">
      <c r="A14" s="26">
        <v>13</v>
      </c>
      <c r="B14" s="26" t="s">
        <v>404</v>
      </c>
      <c r="C14" s="26" t="s">
        <v>405</v>
      </c>
      <c r="D14" s="26" t="s">
        <v>245</v>
      </c>
      <c r="E14" s="15">
        <f>SUM(G14:$XEX14)</f>
        <v>40</v>
      </c>
      <c r="F14" s="3">
        <f t="shared" si="0"/>
        <v>9</v>
      </c>
      <c r="G14" s="26"/>
      <c r="H14" s="26">
        <v>8.5</v>
      </c>
      <c r="I14" s="26"/>
      <c r="J14" s="26"/>
      <c r="K14" s="26"/>
      <c r="L14" s="26"/>
      <c r="M14" s="26"/>
      <c r="N14" s="27"/>
      <c r="O14" s="27"/>
      <c r="P14" s="27"/>
      <c r="Q14" s="27"/>
      <c r="R14" s="27"/>
      <c r="S14" s="27"/>
      <c r="T14" s="27"/>
      <c r="U14" s="27"/>
      <c r="V14" s="27"/>
      <c r="W14" s="27">
        <v>4</v>
      </c>
      <c r="X14" s="27"/>
      <c r="Y14" s="27">
        <v>2</v>
      </c>
      <c r="Z14" s="27"/>
      <c r="AA14" s="27"/>
      <c r="AB14" s="27"/>
      <c r="AC14" s="27"/>
      <c r="AD14" s="27"/>
      <c r="AE14" s="10" t="s">
        <v>24</v>
      </c>
      <c r="AF14" s="27">
        <v>9</v>
      </c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11"/>
      <c r="AT14" s="11"/>
      <c r="AU14" s="11">
        <v>3</v>
      </c>
      <c r="BB14" s="1">
        <v>2</v>
      </c>
      <c r="BH14" s="26"/>
      <c r="BI14" s="3"/>
      <c r="BJ14" s="10" t="s">
        <v>51</v>
      </c>
      <c r="BN14" s="1">
        <v>5</v>
      </c>
      <c r="BU14" s="10" t="s">
        <v>57</v>
      </c>
      <c r="BV14" s="12"/>
      <c r="BW14" s="12">
        <v>0.5</v>
      </c>
      <c r="BX14" s="12"/>
      <c r="BY14" s="12"/>
      <c r="CC14" s="12"/>
      <c r="CG14"/>
      <c r="CH14">
        <v>6</v>
      </c>
    </row>
    <row r="15" spans="1:86" s="1" customFormat="1" ht="17" customHeight="1">
      <c r="A15" s="26">
        <v>14</v>
      </c>
      <c r="B15" s="26" t="s">
        <v>406</v>
      </c>
      <c r="C15" s="26" t="s">
        <v>407</v>
      </c>
      <c r="D15" s="26" t="s">
        <v>245</v>
      </c>
      <c r="E15" s="15">
        <f>SUM(G15:$XEX15)</f>
        <v>16</v>
      </c>
      <c r="F15" s="3">
        <f t="shared" si="0"/>
        <v>2</v>
      </c>
      <c r="G15" s="26"/>
      <c r="H15" s="26"/>
      <c r="I15" s="26"/>
      <c r="J15" s="26"/>
      <c r="K15" s="26"/>
      <c r="L15" s="26"/>
      <c r="M15" s="26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10" t="s">
        <v>24</v>
      </c>
      <c r="AF15" s="27">
        <v>12</v>
      </c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1"/>
      <c r="AT15" s="11"/>
      <c r="AU15" s="11"/>
      <c r="BH15" s="26"/>
      <c r="BI15" s="3"/>
      <c r="BJ15" s="10" t="s">
        <v>51</v>
      </c>
      <c r="BU15" s="10" t="s">
        <v>57</v>
      </c>
      <c r="BV15" s="12"/>
      <c r="BW15" s="12"/>
      <c r="BX15" s="12"/>
      <c r="BY15" s="12"/>
      <c r="CC15" s="12"/>
      <c r="CG15"/>
      <c r="CH15">
        <v>4</v>
      </c>
    </row>
    <row r="16" spans="1:86" s="1" customFormat="1" ht="17" customHeight="1">
      <c r="A16" s="26">
        <v>15</v>
      </c>
      <c r="B16" s="26">
        <v>2022202474</v>
      </c>
      <c r="C16" s="26" t="s">
        <v>408</v>
      </c>
      <c r="D16" s="26" t="s">
        <v>245</v>
      </c>
      <c r="E16" s="15">
        <f>SUM(G16:$XEX16)</f>
        <v>32</v>
      </c>
      <c r="F16" s="3">
        <f t="shared" si="0"/>
        <v>5</v>
      </c>
      <c r="G16" s="26"/>
      <c r="H16" s="26"/>
      <c r="I16" s="26"/>
      <c r="J16" s="26"/>
      <c r="K16" s="26"/>
      <c r="L16" s="26"/>
      <c r="M16" s="26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10" t="s">
        <v>24</v>
      </c>
      <c r="AF16" s="27"/>
      <c r="AG16" s="9"/>
      <c r="AH16" s="9"/>
      <c r="AI16" s="9"/>
      <c r="AJ16" s="9"/>
      <c r="AK16" s="9"/>
      <c r="AL16" s="9"/>
      <c r="AM16" s="9"/>
      <c r="AN16" s="9"/>
      <c r="AO16" s="9">
        <v>20</v>
      </c>
      <c r="AP16" s="9"/>
      <c r="AQ16" s="9"/>
      <c r="AR16" s="9"/>
      <c r="AS16" s="11"/>
      <c r="AT16" s="11"/>
      <c r="AU16" s="11"/>
      <c r="BH16" s="26"/>
      <c r="BI16" s="3"/>
      <c r="BJ16" s="10" t="s">
        <v>51</v>
      </c>
      <c r="BU16" s="10" t="s">
        <v>57</v>
      </c>
      <c r="BV16" s="12"/>
      <c r="BW16" s="12">
        <v>1</v>
      </c>
      <c r="BX16" s="12">
        <v>5</v>
      </c>
      <c r="BY16" s="12"/>
      <c r="CA16" s="1">
        <v>4</v>
      </c>
      <c r="CC16" s="12"/>
      <c r="CG16"/>
      <c r="CH16">
        <v>2</v>
      </c>
    </row>
    <row r="17" spans="1:86" s="1" customFormat="1" ht="17" customHeight="1">
      <c r="A17" s="26">
        <v>16</v>
      </c>
      <c r="B17" s="26">
        <v>2022202475</v>
      </c>
      <c r="C17" s="26" t="s">
        <v>409</v>
      </c>
      <c r="D17" s="26" t="s">
        <v>245</v>
      </c>
      <c r="E17" s="15">
        <f>SUM(G17:$XEX17)</f>
        <v>13</v>
      </c>
      <c r="F17" s="3">
        <f t="shared" si="0"/>
        <v>2</v>
      </c>
      <c r="G17" s="26"/>
      <c r="H17" s="26"/>
      <c r="I17" s="26"/>
      <c r="J17" s="26"/>
      <c r="K17" s="26"/>
      <c r="L17" s="26"/>
      <c r="M17" s="26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10" t="s">
        <v>24</v>
      </c>
      <c r="AF17" s="27"/>
      <c r="AG17" s="9"/>
      <c r="AH17" s="9"/>
      <c r="AI17" s="9"/>
      <c r="AJ17" s="9"/>
      <c r="AK17" s="9"/>
      <c r="AL17" s="9"/>
      <c r="AM17" s="9"/>
      <c r="AN17" s="9">
        <v>7</v>
      </c>
      <c r="AO17" s="9"/>
      <c r="AP17" s="9"/>
      <c r="AQ17" s="9"/>
      <c r="AR17" s="9"/>
      <c r="AS17" s="11"/>
      <c r="AT17" s="11"/>
      <c r="AU17" s="11"/>
      <c r="BH17" s="26"/>
      <c r="BI17" s="3"/>
      <c r="BJ17" s="10" t="s">
        <v>51</v>
      </c>
      <c r="BU17" s="10" t="s">
        <v>57</v>
      </c>
      <c r="BV17" s="12"/>
      <c r="BW17" s="12"/>
      <c r="BX17" s="12"/>
      <c r="BY17" s="12"/>
      <c r="CC17" s="12"/>
      <c r="CG17"/>
      <c r="CH17">
        <v>6</v>
      </c>
    </row>
    <row r="18" spans="1:86" s="1" customFormat="1" ht="17" customHeight="1">
      <c r="A18" s="26">
        <v>17</v>
      </c>
      <c r="B18" s="26">
        <v>2022202484</v>
      </c>
      <c r="C18" s="26" t="s">
        <v>410</v>
      </c>
      <c r="D18" s="26" t="s">
        <v>245</v>
      </c>
      <c r="E18" s="15">
        <f>SUM(G18:$XEX18)</f>
        <v>24</v>
      </c>
      <c r="F18" s="3">
        <f t="shared" si="0"/>
        <v>3</v>
      </c>
      <c r="G18" s="26">
        <v>18</v>
      </c>
      <c r="H18" s="26"/>
      <c r="I18" s="26"/>
      <c r="J18" s="26"/>
      <c r="K18" s="26"/>
      <c r="L18" s="26"/>
      <c r="M18" s="26"/>
      <c r="N18" s="27"/>
      <c r="O18" s="27"/>
      <c r="P18" s="27"/>
      <c r="Q18" s="27"/>
      <c r="R18" s="27"/>
      <c r="S18" s="27"/>
      <c r="T18" s="27"/>
      <c r="U18" s="27"/>
      <c r="V18" s="27"/>
      <c r="W18" s="27">
        <v>4</v>
      </c>
      <c r="X18" s="27"/>
      <c r="Y18" s="27"/>
      <c r="Z18" s="27"/>
      <c r="AA18" s="27"/>
      <c r="AB18" s="27"/>
      <c r="AC18" s="27"/>
      <c r="AD18" s="27"/>
      <c r="AE18" s="10" t="s">
        <v>24</v>
      </c>
      <c r="AF18" s="27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1"/>
      <c r="AT18" s="11"/>
      <c r="AU18" s="11"/>
      <c r="BB18" s="1">
        <v>2</v>
      </c>
      <c r="BH18" s="26"/>
      <c r="BI18" s="3"/>
      <c r="BJ18" s="10" t="s">
        <v>51</v>
      </c>
      <c r="BU18" s="10" t="s">
        <v>57</v>
      </c>
      <c r="BV18" s="12"/>
      <c r="BW18" s="12"/>
      <c r="BX18" s="12"/>
      <c r="BY18" s="12"/>
      <c r="CC18" s="12"/>
    </row>
    <row r="19" spans="1:86" s="1" customFormat="1" ht="17" customHeight="1">
      <c r="A19" s="26">
        <v>18</v>
      </c>
      <c r="B19" s="26">
        <v>2022202489</v>
      </c>
      <c r="C19" s="26" t="s">
        <v>411</v>
      </c>
      <c r="D19" s="26" t="s">
        <v>245</v>
      </c>
      <c r="E19" s="15">
        <f>SUM(G19:$XEX19)</f>
        <v>29</v>
      </c>
      <c r="F19" s="3">
        <f t="shared" si="0"/>
        <v>7</v>
      </c>
      <c r="G19" s="26"/>
      <c r="H19" s="26"/>
      <c r="I19" s="26"/>
      <c r="J19" s="26"/>
      <c r="K19" s="26"/>
      <c r="L19" s="26"/>
      <c r="M19" s="26"/>
      <c r="N19" s="27"/>
      <c r="O19" s="27"/>
      <c r="P19" s="27"/>
      <c r="Q19" s="27"/>
      <c r="R19" s="27"/>
      <c r="S19" s="27"/>
      <c r="T19" s="27"/>
      <c r="U19" s="27"/>
      <c r="V19" s="27"/>
      <c r="W19" s="27">
        <v>4</v>
      </c>
      <c r="X19" s="27">
        <v>4</v>
      </c>
      <c r="Y19" s="27">
        <v>4</v>
      </c>
      <c r="Z19" s="27"/>
      <c r="AA19" s="27"/>
      <c r="AB19" s="27"/>
      <c r="AC19" s="27">
        <v>4</v>
      </c>
      <c r="AD19" s="27"/>
      <c r="AE19" s="10" t="s">
        <v>24</v>
      </c>
      <c r="AF19" s="27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11"/>
      <c r="AT19" s="11"/>
      <c r="AU19" s="11"/>
      <c r="BB19" s="1">
        <v>4</v>
      </c>
      <c r="BH19" s="26"/>
      <c r="BI19" s="3"/>
      <c r="BJ19" s="10" t="s">
        <v>51</v>
      </c>
      <c r="BU19" s="10" t="s">
        <v>57</v>
      </c>
      <c r="BV19" s="12"/>
      <c r="BW19" s="12"/>
      <c r="BX19" s="12"/>
      <c r="BY19" s="12"/>
      <c r="CC19" s="12"/>
      <c r="CG19">
        <v>5</v>
      </c>
      <c r="CH19">
        <v>4</v>
      </c>
    </row>
    <row r="20" spans="1:86" s="1" customFormat="1" ht="17" customHeight="1">
      <c r="A20" s="26">
        <v>19</v>
      </c>
      <c r="B20" s="26">
        <v>2022202490</v>
      </c>
      <c r="C20" s="26" t="s">
        <v>412</v>
      </c>
      <c r="D20" s="26" t="s">
        <v>245</v>
      </c>
      <c r="E20" s="15">
        <f>SUM(G20:$XEX20)</f>
        <v>46</v>
      </c>
      <c r="F20" s="3">
        <f t="shared" si="0"/>
        <v>8</v>
      </c>
      <c r="G20" s="26"/>
      <c r="H20" s="26"/>
      <c r="I20" s="26">
        <v>6</v>
      </c>
      <c r="J20" s="26"/>
      <c r="K20" s="26"/>
      <c r="L20" s="26"/>
      <c r="M20" s="26"/>
      <c r="N20" s="27"/>
      <c r="O20" s="27"/>
      <c r="P20" s="27"/>
      <c r="Q20" s="27"/>
      <c r="R20" s="27"/>
      <c r="S20" s="27"/>
      <c r="T20" s="27"/>
      <c r="U20" s="27">
        <v>16</v>
      </c>
      <c r="V20" s="27"/>
      <c r="W20" s="27">
        <v>4</v>
      </c>
      <c r="X20" s="27">
        <v>4</v>
      </c>
      <c r="Y20" s="27">
        <v>4</v>
      </c>
      <c r="Z20" s="27"/>
      <c r="AA20" s="27"/>
      <c r="AB20" s="27"/>
      <c r="AC20" s="27">
        <v>4</v>
      </c>
      <c r="AD20" s="27"/>
      <c r="AE20" s="10" t="s">
        <v>24</v>
      </c>
      <c r="AF20" s="27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11"/>
      <c r="AT20" s="11"/>
      <c r="AU20" s="11"/>
      <c r="BB20" s="1">
        <v>4</v>
      </c>
      <c r="BH20" s="26"/>
      <c r="BI20" s="3"/>
      <c r="BJ20" s="10" t="s">
        <v>51</v>
      </c>
      <c r="BL20" s="1">
        <v>4</v>
      </c>
      <c r="BU20" s="10" t="s">
        <v>57</v>
      </c>
      <c r="BV20" s="12"/>
      <c r="BW20" s="12"/>
      <c r="BX20" s="12"/>
      <c r="BY20" s="12"/>
      <c r="CC20" s="12"/>
    </row>
    <row r="21" spans="1:86" s="1" customFormat="1" ht="17" customHeight="1">
      <c r="A21" s="26">
        <v>20</v>
      </c>
      <c r="B21" s="26">
        <v>2022202496</v>
      </c>
      <c r="C21" s="26" t="s">
        <v>413</v>
      </c>
      <c r="D21" s="26" t="s">
        <v>245</v>
      </c>
      <c r="E21" s="15">
        <f>SUM(G21:$XEX21)</f>
        <v>84</v>
      </c>
      <c r="F21" s="3">
        <f t="shared" si="0"/>
        <v>2</v>
      </c>
      <c r="G21" s="26"/>
      <c r="H21" s="26"/>
      <c r="I21" s="26"/>
      <c r="J21" s="26"/>
      <c r="K21" s="26"/>
      <c r="L21" s="26"/>
      <c r="M21" s="26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10" t="s">
        <v>24</v>
      </c>
      <c r="AF21" s="27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11"/>
      <c r="AT21" s="11"/>
      <c r="AU21" s="11"/>
      <c r="BE21" s="1">
        <v>4</v>
      </c>
      <c r="BH21" s="26">
        <v>80</v>
      </c>
      <c r="BI21" s="3"/>
      <c r="BJ21" s="10" t="s">
        <v>51</v>
      </c>
      <c r="BU21" s="10" t="s">
        <v>57</v>
      </c>
      <c r="BV21" s="12"/>
      <c r="BW21" s="12"/>
      <c r="BX21" s="12"/>
      <c r="BY21" s="12"/>
      <c r="CC21" s="12"/>
    </row>
    <row r="22" spans="1:86" s="1" customFormat="1" ht="17" customHeight="1">
      <c r="A22" s="26">
        <v>21</v>
      </c>
      <c r="B22" s="26">
        <v>2022202863</v>
      </c>
      <c r="C22" s="26" t="s">
        <v>414</v>
      </c>
      <c r="D22" s="26" t="s">
        <v>245</v>
      </c>
      <c r="E22" s="15">
        <f>SUM(G22:$XEX22)</f>
        <v>19</v>
      </c>
      <c r="F22" s="3">
        <f t="shared" si="0"/>
        <v>6</v>
      </c>
      <c r="G22" s="26"/>
      <c r="H22" s="26"/>
      <c r="I22" s="26"/>
      <c r="J22" s="26"/>
      <c r="K22" s="26"/>
      <c r="L22" s="26"/>
      <c r="M22" s="26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>
        <v>2</v>
      </c>
      <c r="Z22" s="27"/>
      <c r="AA22" s="27"/>
      <c r="AB22" s="27"/>
      <c r="AC22" s="27">
        <v>4</v>
      </c>
      <c r="AD22" s="27"/>
      <c r="AE22" s="10" t="s">
        <v>24</v>
      </c>
      <c r="AF22" s="27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11"/>
      <c r="AT22" s="11"/>
      <c r="AU22" s="11"/>
      <c r="BB22" s="1">
        <v>2</v>
      </c>
      <c r="BH22" s="26"/>
      <c r="BI22" s="3"/>
      <c r="BJ22" s="10" t="s">
        <v>51</v>
      </c>
      <c r="BU22" s="10" t="s">
        <v>57</v>
      </c>
      <c r="BV22" s="12"/>
      <c r="BW22" s="12">
        <v>2</v>
      </c>
      <c r="BX22" s="12"/>
      <c r="BY22" s="12"/>
      <c r="CA22" s="1">
        <v>4</v>
      </c>
      <c r="CC22" s="12"/>
      <c r="CG22">
        <v>5</v>
      </c>
      <c r="CH22"/>
    </row>
    <row r="23" spans="1:86" s="1" customFormat="1" ht="17" customHeight="1">
      <c r="A23" s="26">
        <v>22</v>
      </c>
      <c r="B23" s="26">
        <v>2022202864</v>
      </c>
      <c r="C23" s="26" t="s">
        <v>415</v>
      </c>
      <c r="D23" s="26" t="s">
        <v>245</v>
      </c>
      <c r="E23" s="15">
        <f>SUM(G23:$XEX23)</f>
        <v>6</v>
      </c>
      <c r="F23" s="3">
        <f t="shared" si="0"/>
        <v>2</v>
      </c>
      <c r="G23" s="26"/>
      <c r="H23" s="26"/>
      <c r="I23" s="26"/>
      <c r="J23" s="26"/>
      <c r="K23" s="26"/>
      <c r="L23" s="26"/>
      <c r="M23" s="26"/>
      <c r="N23" s="27"/>
      <c r="O23" s="27"/>
      <c r="P23" s="27"/>
      <c r="Q23" s="27"/>
      <c r="R23" s="27"/>
      <c r="S23" s="27"/>
      <c r="T23" s="27"/>
      <c r="U23" s="27"/>
      <c r="V23" s="27"/>
      <c r="W23" s="27">
        <v>4</v>
      </c>
      <c r="X23" s="27"/>
      <c r="Y23" s="27">
        <v>2</v>
      </c>
      <c r="Z23" s="27"/>
      <c r="AA23" s="27"/>
      <c r="AB23" s="27"/>
      <c r="AC23" s="27"/>
      <c r="AD23" s="27"/>
      <c r="AE23" s="10" t="s">
        <v>24</v>
      </c>
      <c r="AF23" s="27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11"/>
      <c r="AT23" s="11"/>
      <c r="AU23" s="11"/>
      <c r="BH23" s="26"/>
      <c r="BI23" s="3"/>
      <c r="BJ23" s="10" t="s">
        <v>51</v>
      </c>
      <c r="BU23" s="10" t="s">
        <v>57</v>
      </c>
      <c r="BV23" s="12"/>
      <c r="BW23" s="12"/>
      <c r="BX23" s="12"/>
      <c r="BY23" s="12"/>
      <c r="CC23" s="12"/>
    </row>
    <row r="24" spans="1:86" s="1" customFormat="1" ht="17" customHeight="1">
      <c r="A24" s="26">
        <v>23</v>
      </c>
      <c r="B24" s="26">
        <v>2022202457</v>
      </c>
      <c r="C24" s="26" t="s">
        <v>416</v>
      </c>
      <c r="D24" s="26" t="s">
        <v>245</v>
      </c>
      <c r="E24" s="15">
        <f>SUM(G24:$XEX24)</f>
        <v>48</v>
      </c>
      <c r="F24" s="3">
        <f t="shared" si="0"/>
        <v>8</v>
      </c>
      <c r="G24" s="26"/>
      <c r="H24" s="26"/>
      <c r="I24" s="26"/>
      <c r="J24" s="26"/>
      <c r="K24" s="26"/>
      <c r="L24" s="26"/>
      <c r="M24" s="26"/>
      <c r="N24" s="27"/>
      <c r="O24" s="27"/>
      <c r="P24" s="27">
        <v>8</v>
      </c>
      <c r="Q24" s="27"/>
      <c r="R24" s="27"/>
      <c r="S24" s="27"/>
      <c r="T24" s="27"/>
      <c r="U24" s="27"/>
      <c r="V24" s="27"/>
      <c r="W24" s="27">
        <v>4</v>
      </c>
      <c r="X24" s="27">
        <v>4</v>
      </c>
      <c r="Y24" s="27"/>
      <c r="Z24" s="27"/>
      <c r="AA24" s="27"/>
      <c r="AB24" s="27"/>
      <c r="AC24" s="27"/>
      <c r="AD24" s="27"/>
      <c r="AE24" s="10" t="s">
        <v>24</v>
      </c>
      <c r="AF24" s="27">
        <v>1</v>
      </c>
      <c r="AG24" s="9"/>
      <c r="AH24" s="9"/>
      <c r="AI24" s="9">
        <v>23</v>
      </c>
      <c r="AJ24" s="9"/>
      <c r="AK24" s="9"/>
      <c r="AL24" s="9"/>
      <c r="AM24" s="9"/>
      <c r="AN24" s="9"/>
      <c r="AO24" s="9"/>
      <c r="AP24" s="9"/>
      <c r="AQ24" s="9"/>
      <c r="AR24" s="9"/>
      <c r="AS24" s="11"/>
      <c r="AT24" s="11"/>
      <c r="AU24" s="11"/>
      <c r="BB24" s="1">
        <v>2</v>
      </c>
      <c r="BH24" s="26"/>
      <c r="BI24" s="3"/>
      <c r="BJ24" s="10" t="s">
        <v>51</v>
      </c>
      <c r="BU24" s="10" t="s">
        <v>57</v>
      </c>
      <c r="BV24" s="12"/>
      <c r="BW24" s="12"/>
      <c r="BX24" s="12"/>
      <c r="BY24" s="12"/>
      <c r="CA24" s="1">
        <v>4</v>
      </c>
      <c r="CC24" s="12"/>
      <c r="CG24"/>
      <c r="CH24">
        <v>2</v>
      </c>
    </row>
    <row r="25" spans="1:86" s="1" customFormat="1" ht="17" customHeight="1">
      <c r="A25" s="26">
        <v>24</v>
      </c>
      <c r="B25" s="26">
        <v>2022202499</v>
      </c>
      <c r="C25" s="26" t="s">
        <v>417</v>
      </c>
      <c r="D25" s="26" t="s">
        <v>245</v>
      </c>
      <c r="E25" s="15">
        <f>SUM(G25:$XEX25)</f>
        <v>105.5</v>
      </c>
      <c r="F25" s="3">
        <f t="shared" si="0"/>
        <v>9</v>
      </c>
      <c r="G25" s="26"/>
      <c r="H25" s="26"/>
      <c r="I25" s="26"/>
      <c r="J25" s="26"/>
      <c r="K25" s="26"/>
      <c r="L25" s="26"/>
      <c r="M25" s="26"/>
      <c r="N25" s="27"/>
      <c r="O25" s="27">
        <v>7</v>
      </c>
      <c r="P25" s="27"/>
      <c r="Q25" s="27"/>
      <c r="R25" s="27"/>
      <c r="S25" s="27"/>
      <c r="T25" s="27"/>
      <c r="U25" s="27">
        <v>8</v>
      </c>
      <c r="V25" s="27"/>
      <c r="W25" s="27">
        <v>4</v>
      </c>
      <c r="X25" s="27"/>
      <c r="Y25" s="27"/>
      <c r="Z25" s="27"/>
      <c r="AA25" s="27"/>
      <c r="AB25" s="27"/>
      <c r="AC25" s="27"/>
      <c r="AD25" s="27"/>
      <c r="AE25" s="10" t="s">
        <v>24</v>
      </c>
      <c r="AF25" s="27"/>
      <c r="AG25" s="9">
        <v>0.5</v>
      </c>
      <c r="AH25" s="9"/>
      <c r="AI25" s="9">
        <v>29</v>
      </c>
      <c r="AJ25" s="9">
        <v>45</v>
      </c>
      <c r="AK25" s="9"/>
      <c r="AL25" s="9"/>
      <c r="AM25" s="9"/>
      <c r="AN25" s="9"/>
      <c r="AO25" s="9"/>
      <c r="AP25" s="9"/>
      <c r="AQ25" s="9">
        <v>4</v>
      </c>
      <c r="AR25" s="9"/>
      <c r="AS25" s="11"/>
      <c r="AT25" s="11"/>
      <c r="AU25" s="11"/>
      <c r="AW25" s="1">
        <v>4</v>
      </c>
      <c r="AX25" s="1">
        <v>4</v>
      </c>
      <c r="BH25" s="26"/>
      <c r="BI25" s="3"/>
      <c r="BJ25" s="10" t="s">
        <v>51</v>
      </c>
      <c r="BU25" s="10" t="s">
        <v>57</v>
      </c>
      <c r="BV25" s="12"/>
      <c r="BW25" s="12"/>
      <c r="BX25" s="12"/>
      <c r="BY25" s="12"/>
      <c r="CC25" s="12"/>
    </row>
    <row r="26" spans="1:86" s="1" customFormat="1" ht="17" customHeight="1">
      <c r="A26" s="26">
        <v>25</v>
      </c>
      <c r="B26" s="26">
        <v>2022202500</v>
      </c>
      <c r="C26" s="26" t="s">
        <v>418</v>
      </c>
      <c r="D26" s="26" t="s">
        <v>245</v>
      </c>
      <c r="E26" s="15">
        <f>SUM(G26:$XEX26)</f>
        <v>35</v>
      </c>
      <c r="F26" s="3">
        <f t="shared" si="0"/>
        <v>4</v>
      </c>
      <c r="G26" s="26"/>
      <c r="H26" s="26"/>
      <c r="I26" s="26"/>
      <c r="J26" s="26"/>
      <c r="K26" s="26"/>
      <c r="L26" s="26"/>
      <c r="M26" s="26"/>
      <c r="N26" s="27"/>
      <c r="O26" s="27"/>
      <c r="P26" s="27"/>
      <c r="Q26" s="27"/>
      <c r="R26" s="27"/>
      <c r="S26" s="27"/>
      <c r="T26" s="27"/>
      <c r="U26" s="27"/>
      <c r="V26" s="27"/>
      <c r="W26" s="27">
        <v>4</v>
      </c>
      <c r="X26" s="27"/>
      <c r="Y26" s="27"/>
      <c r="Z26" s="27"/>
      <c r="AA26" s="27">
        <v>4.5</v>
      </c>
      <c r="AB26" s="27"/>
      <c r="AC26" s="27"/>
      <c r="AD26" s="27"/>
      <c r="AE26" s="10" t="s">
        <v>24</v>
      </c>
      <c r="AF26" s="27"/>
      <c r="AG26" s="9"/>
      <c r="AH26" s="9"/>
      <c r="AI26" s="9">
        <v>22</v>
      </c>
      <c r="AJ26" s="9"/>
      <c r="AK26" s="9"/>
      <c r="AL26" s="9"/>
      <c r="AM26" s="9"/>
      <c r="AN26" s="9"/>
      <c r="AO26" s="9"/>
      <c r="AP26" s="9"/>
      <c r="AQ26" s="9"/>
      <c r="AR26" s="9"/>
      <c r="AS26" s="11"/>
      <c r="AT26" s="11"/>
      <c r="AU26" s="11"/>
      <c r="BH26" s="26">
        <v>4.5</v>
      </c>
      <c r="BI26" s="3"/>
      <c r="BJ26" s="10" t="s">
        <v>51</v>
      </c>
      <c r="BU26" s="10" t="s">
        <v>57</v>
      </c>
      <c r="BV26" s="12"/>
      <c r="BW26" s="12"/>
      <c r="BX26" s="12"/>
      <c r="BY26" s="12"/>
      <c r="CC26" s="12"/>
    </row>
    <row r="27" spans="1:86" s="1" customFormat="1" ht="17" customHeight="1">
      <c r="A27" s="26">
        <v>26</v>
      </c>
      <c r="B27" s="26">
        <v>2022202366</v>
      </c>
      <c r="C27" s="26" t="s">
        <v>419</v>
      </c>
      <c r="D27" s="26" t="s">
        <v>245</v>
      </c>
      <c r="E27" s="15">
        <f>SUM(G27:$XEX27)</f>
        <v>84</v>
      </c>
      <c r="F27" s="3">
        <f t="shared" si="0"/>
        <v>10</v>
      </c>
      <c r="G27" s="26"/>
      <c r="H27" s="26">
        <v>6</v>
      </c>
      <c r="I27" s="26">
        <v>6</v>
      </c>
      <c r="J27" s="26">
        <v>8</v>
      </c>
      <c r="K27" s="26"/>
      <c r="L27" s="26">
        <v>8</v>
      </c>
      <c r="M27" s="26"/>
      <c r="N27" s="27"/>
      <c r="O27" s="27">
        <v>4</v>
      </c>
      <c r="P27" s="27"/>
      <c r="Q27" s="27"/>
      <c r="R27" s="27"/>
      <c r="S27" s="27"/>
      <c r="T27" s="27"/>
      <c r="U27" s="27">
        <v>16</v>
      </c>
      <c r="V27" s="27"/>
      <c r="W27" s="27"/>
      <c r="X27" s="27"/>
      <c r="Y27" s="27"/>
      <c r="Z27" s="27"/>
      <c r="AA27" s="27"/>
      <c r="AB27" s="27"/>
      <c r="AC27" s="27"/>
      <c r="AD27" s="27">
        <v>4</v>
      </c>
      <c r="AE27" s="10" t="s">
        <v>24</v>
      </c>
      <c r="AF27" s="27"/>
      <c r="AG27" s="9"/>
      <c r="AH27" s="9"/>
      <c r="AI27" s="9">
        <v>26</v>
      </c>
      <c r="AJ27" s="9"/>
      <c r="AK27" s="9"/>
      <c r="AL27" s="9"/>
      <c r="AM27" s="9"/>
      <c r="AN27" s="9"/>
      <c r="AO27" s="9"/>
      <c r="AP27" s="9"/>
      <c r="AQ27" s="9"/>
      <c r="AR27" s="9"/>
      <c r="AS27" s="11"/>
      <c r="AT27" s="11">
        <v>2</v>
      </c>
      <c r="AU27" s="11"/>
      <c r="AW27" s="1">
        <v>4</v>
      </c>
      <c r="BH27" s="26"/>
      <c r="BI27" s="3"/>
      <c r="BJ27" s="10" t="s">
        <v>51</v>
      </c>
      <c r="BU27" s="10" t="s">
        <v>57</v>
      </c>
      <c r="BV27" s="12"/>
      <c r="BW27" s="12"/>
      <c r="BX27" s="12"/>
      <c r="BY27" s="12"/>
      <c r="CC27" s="12"/>
    </row>
    <row r="28" spans="1:86" s="1" customFormat="1" ht="17" customHeight="1">
      <c r="A28" s="26">
        <v>27</v>
      </c>
      <c r="B28" s="26">
        <v>2022202367</v>
      </c>
      <c r="C28" s="26" t="s">
        <v>420</v>
      </c>
      <c r="D28" s="26" t="s">
        <v>245</v>
      </c>
      <c r="E28" s="15">
        <f>SUM(G28:$XEX28)</f>
        <v>53</v>
      </c>
      <c r="F28" s="3">
        <f t="shared" si="0"/>
        <v>8</v>
      </c>
      <c r="G28" s="26"/>
      <c r="H28" s="26"/>
      <c r="I28" s="26"/>
      <c r="J28" s="26"/>
      <c r="K28" s="26"/>
      <c r="L28" s="26"/>
      <c r="M28" s="26"/>
      <c r="N28" s="27"/>
      <c r="O28" s="27"/>
      <c r="P28" s="27"/>
      <c r="Q28" s="27"/>
      <c r="R28" s="27"/>
      <c r="S28" s="27"/>
      <c r="T28" s="27"/>
      <c r="U28" s="27">
        <v>16</v>
      </c>
      <c r="V28" s="27"/>
      <c r="W28" s="27">
        <v>4</v>
      </c>
      <c r="X28" s="27"/>
      <c r="Y28" s="27">
        <v>4</v>
      </c>
      <c r="Z28" s="27"/>
      <c r="AA28" s="27"/>
      <c r="AB28" s="27"/>
      <c r="AC28" s="27"/>
      <c r="AD28" s="27"/>
      <c r="AE28" s="10" t="s">
        <v>24</v>
      </c>
      <c r="AF28" s="27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11">
        <v>12</v>
      </c>
      <c r="AT28" s="11"/>
      <c r="AU28" s="11"/>
      <c r="AY28" s="1">
        <v>4</v>
      </c>
      <c r="BB28" s="1">
        <v>4</v>
      </c>
      <c r="BH28" s="26"/>
      <c r="BI28" s="3"/>
      <c r="BJ28" s="10" t="s">
        <v>51</v>
      </c>
      <c r="BL28" s="1">
        <v>4</v>
      </c>
      <c r="BU28" s="10" t="s">
        <v>57</v>
      </c>
      <c r="BV28" s="12"/>
      <c r="BW28" s="12"/>
      <c r="BX28" s="12">
        <v>5</v>
      </c>
      <c r="BY28" s="12"/>
      <c r="CC28" s="12"/>
    </row>
    <row r="29" spans="1:86" s="1" customFormat="1" ht="17" customHeight="1">
      <c r="A29" s="26">
        <v>28</v>
      </c>
      <c r="B29" s="26">
        <v>2022202368</v>
      </c>
      <c r="C29" s="26" t="s">
        <v>421</v>
      </c>
      <c r="D29" s="26" t="s">
        <v>245</v>
      </c>
      <c r="E29" s="15">
        <f>SUM(G29:$XEX29)</f>
        <v>130</v>
      </c>
      <c r="F29" s="3">
        <f t="shared" si="0"/>
        <v>13</v>
      </c>
      <c r="G29" s="26"/>
      <c r="H29" s="26"/>
      <c r="I29" s="26">
        <v>6</v>
      </c>
      <c r="J29" s="26"/>
      <c r="K29" s="26">
        <v>6</v>
      </c>
      <c r="L29" s="26"/>
      <c r="M29" s="26">
        <v>6</v>
      </c>
      <c r="N29" s="27"/>
      <c r="O29" s="27"/>
      <c r="P29" s="27"/>
      <c r="Q29" s="27"/>
      <c r="R29" s="27"/>
      <c r="S29" s="27"/>
      <c r="T29" s="27"/>
      <c r="U29" s="27">
        <v>16</v>
      </c>
      <c r="V29" s="27"/>
      <c r="W29" s="27">
        <v>4</v>
      </c>
      <c r="X29" s="27">
        <v>4</v>
      </c>
      <c r="Y29" s="27"/>
      <c r="Z29" s="27"/>
      <c r="AA29" s="27"/>
      <c r="AB29" s="27"/>
      <c r="AC29" s="27"/>
      <c r="AD29" s="27"/>
      <c r="AE29" s="10" t="s">
        <v>24</v>
      </c>
      <c r="AF29" s="27">
        <v>12</v>
      </c>
      <c r="AG29" s="9"/>
      <c r="AH29" s="9"/>
      <c r="AI29" s="9">
        <v>27</v>
      </c>
      <c r="AJ29" s="9"/>
      <c r="AK29" s="9"/>
      <c r="AL29" s="9">
        <v>21</v>
      </c>
      <c r="AM29" s="9">
        <v>16</v>
      </c>
      <c r="AN29" s="9"/>
      <c r="AO29" s="9"/>
      <c r="AP29" s="9"/>
      <c r="AQ29" s="9"/>
      <c r="AR29" s="9"/>
      <c r="AS29" s="11"/>
      <c r="AT29" s="11"/>
      <c r="AU29" s="11"/>
      <c r="AY29" s="1">
        <v>4</v>
      </c>
      <c r="BC29" s="1">
        <v>4</v>
      </c>
      <c r="BD29" s="1">
        <v>4</v>
      </c>
      <c r="BH29" s="26"/>
      <c r="BI29" s="3"/>
      <c r="BJ29" s="10" t="s">
        <v>51</v>
      </c>
      <c r="BU29" s="10" t="s">
        <v>57</v>
      </c>
      <c r="BV29" s="12"/>
      <c r="BW29" s="12"/>
      <c r="BX29" s="12"/>
      <c r="BY29" s="12"/>
      <c r="CC29" s="12"/>
    </row>
    <row r="30" spans="1:86" s="1" customFormat="1" ht="17" customHeight="1">
      <c r="A30" s="26">
        <v>29</v>
      </c>
      <c r="B30" s="26">
        <v>2022202370</v>
      </c>
      <c r="C30" s="26" t="s">
        <v>422</v>
      </c>
      <c r="D30" s="26" t="s">
        <v>245</v>
      </c>
      <c r="E30" s="15">
        <f>SUM(G30:$XEX30)</f>
        <v>19</v>
      </c>
      <c r="F30" s="3">
        <f t="shared" si="0"/>
        <v>5</v>
      </c>
      <c r="G30" s="26"/>
      <c r="H30" s="26"/>
      <c r="I30" s="26"/>
      <c r="J30" s="26"/>
      <c r="K30" s="26"/>
      <c r="L30" s="26"/>
      <c r="M30" s="26"/>
      <c r="N30" s="27"/>
      <c r="O30" s="27"/>
      <c r="P30" s="27"/>
      <c r="Q30" s="27"/>
      <c r="R30" s="27">
        <v>1</v>
      </c>
      <c r="S30" s="27"/>
      <c r="T30" s="27"/>
      <c r="U30" s="27">
        <v>8</v>
      </c>
      <c r="V30" s="27"/>
      <c r="W30" s="27">
        <v>4</v>
      </c>
      <c r="X30" s="27"/>
      <c r="Y30" s="27"/>
      <c r="Z30" s="27"/>
      <c r="AA30" s="27"/>
      <c r="AB30" s="27"/>
      <c r="AC30" s="27"/>
      <c r="AD30" s="27"/>
      <c r="AE30" s="10" t="s">
        <v>24</v>
      </c>
      <c r="AF30" s="27"/>
      <c r="AG30" s="9"/>
      <c r="AH30" s="9"/>
      <c r="AI30" s="9"/>
      <c r="AJ30" s="9"/>
      <c r="AK30" s="9">
        <v>2</v>
      </c>
      <c r="AL30" s="9"/>
      <c r="AM30" s="9"/>
      <c r="AN30" s="9"/>
      <c r="AO30" s="9"/>
      <c r="AP30" s="9"/>
      <c r="AQ30" s="9"/>
      <c r="AR30" s="9"/>
      <c r="AS30" s="11"/>
      <c r="AT30" s="11"/>
      <c r="AU30" s="11"/>
      <c r="BH30" s="26"/>
      <c r="BI30" s="3"/>
      <c r="BJ30" s="10" t="s">
        <v>51</v>
      </c>
      <c r="BU30" s="10" t="s">
        <v>57</v>
      </c>
      <c r="BV30" s="12"/>
      <c r="BW30" s="12"/>
      <c r="BX30" s="12"/>
      <c r="BY30" s="12"/>
      <c r="BZ30" s="1">
        <v>4</v>
      </c>
      <c r="CC30" s="12"/>
    </row>
    <row r="31" spans="1:86" s="1" customFormat="1" ht="17" customHeight="1">
      <c r="A31" s="26">
        <v>30</v>
      </c>
      <c r="B31" s="26">
        <v>2022202375</v>
      </c>
      <c r="C31" s="26" t="s">
        <v>423</v>
      </c>
      <c r="D31" s="26" t="s">
        <v>245</v>
      </c>
      <c r="E31" s="15">
        <f>SUM(G31:$XEX31)</f>
        <v>24</v>
      </c>
      <c r="F31" s="3">
        <f t="shared" si="0"/>
        <v>6</v>
      </c>
      <c r="G31" s="26"/>
      <c r="H31" s="26"/>
      <c r="I31" s="26"/>
      <c r="J31" s="26"/>
      <c r="K31" s="26"/>
      <c r="L31" s="26"/>
      <c r="M31" s="26"/>
      <c r="N31" s="27"/>
      <c r="O31" s="27"/>
      <c r="P31" s="27"/>
      <c r="Q31" s="27"/>
      <c r="R31" s="27"/>
      <c r="S31" s="27"/>
      <c r="T31" s="27"/>
      <c r="U31" s="27"/>
      <c r="V31" s="27"/>
      <c r="W31" s="27">
        <v>4</v>
      </c>
      <c r="X31" s="27"/>
      <c r="Y31" s="27">
        <v>2</v>
      </c>
      <c r="Z31" s="27"/>
      <c r="AA31" s="27"/>
      <c r="AB31" s="27"/>
      <c r="AC31" s="27"/>
      <c r="AD31" s="27"/>
      <c r="AE31" s="10" t="s">
        <v>24</v>
      </c>
      <c r="AF31" s="27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>
        <v>5</v>
      </c>
      <c r="AS31" s="11"/>
      <c r="AT31" s="11"/>
      <c r="AU31" s="11"/>
      <c r="AY31" s="1">
        <v>4</v>
      </c>
      <c r="BH31" s="26"/>
      <c r="BI31" s="3"/>
      <c r="BJ31" s="10" t="s">
        <v>51</v>
      </c>
      <c r="BU31" s="10" t="s">
        <v>57</v>
      </c>
      <c r="BV31" s="12"/>
      <c r="BW31" s="12"/>
      <c r="BX31" s="12"/>
      <c r="BY31" s="12"/>
      <c r="CA31" s="1">
        <v>4</v>
      </c>
      <c r="CC31" s="12"/>
      <c r="CG31"/>
      <c r="CH31">
        <v>5</v>
      </c>
    </row>
    <row r="32" spans="1:86" s="1" customFormat="1" ht="17" customHeight="1">
      <c r="A32" s="26">
        <v>31</v>
      </c>
      <c r="B32" s="26">
        <v>2022202381</v>
      </c>
      <c r="C32" s="26" t="s">
        <v>424</v>
      </c>
      <c r="D32" s="26" t="s">
        <v>245</v>
      </c>
      <c r="E32" s="15">
        <f>SUM(G32:$XEX32)</f>
        <v>43</v>
      </c>
      <c r="F32" s="3">
        <f t="shared" si="0"/>
        <v>5</v>
      </c>
      <c r="G32" s="26"/>
      <c r="H32" s="26"/>
      <c r="I32" s="26"/>
      <c r="J32" s="26"/>
      <c r="K32" s="26"/>
      <c r="L32" s="26"/>
      <c r="M32" s="26"/>
      <c r="N32" s="27"/>
      <c r="O32" s="27"/>
      <c r="P32" s="27"/>
      <c r="Q32" s="27"/>
      <c r="R32" s="27"/>
      <c r="S32" s="27"/>
      <c r="T32" s="27"/>
      <c r="U32" s="27"/>
      <c r="V32" s="27"/>
      <c r="W32" s="27">
        <v>4</v>
      </c>
      <c r="X32" s="27"/>
      <c r="Y32" s="27"/>
      <c r="Z32" s="27"/>
      <c r="AA32" s="27"/>
      <c r="AB32" s="27"/>
      <c r="AC32" s="27">
        <v>4</v>
      </c>
      <c r="AD32" s="27"/>
      <c r="AE32" s="10" t="s">
        <v>24</v>
      </c>
      <c r="AF32" s="27">
        <v>7</v>
      </c>
      <c r="AG32" s="9"/>
      <c r="AH32" s="9"/>
      <c r="AI32" s="9">
        <v>26</v>
      </c>
      <c r="AJ32" s="9"/>
      <c r="AK32" s="9">
        <v>2</v>
      </c>
      <c r="AL32" s="9"/>
      <c r="AM32" s="9"/>
      <c r="AN32" s="9"/>
      <c r="AO32" s="9"/>
      <c r="AP32" s="9"/>
      <c r="AQ32" s="9"/>
      <c r="AR32" s="9"/>
      <c r="AS32" s="11"/>
      <c r="AT32" s="11"/>
      <c r="AU32" s="11"/>
      <c r="BH32" s="26"/>
      <c r="BI32" s="3"/>
      <c r="BJ32" s="10" t="s">
        <v>51</v>
      </c>
      <c r="BU32" s="10" t="s">
        <v>57</v>
      </c>
      <c r="BV32" s="12"/>
      <c r="BW32" s="12"/>
      <c r="BX32" s="12"/>
      <c r="BY32" s="12"/>
      <c r="CC32" s="12"/>
    </row>
    <row r="33" spans="1:86" s="1" customFormat="1" ht="17" customHeight="1">
      <c r="A33" s="26">
        <v>32</v>
      </c>
      <c r="B33" s="26">
        <v>2022202389</v>
      </c>
      <c r="C33" s="26" t="s">
        <v>425</v>
      </c>
      <c r="D33" s="26" t="s">
        <v>245</v>
      </c>
      <c r="E33" s="15">
        <f>SUM(G33:$XEX33)</f>
        <v>44</v>
      </c>
      <c r="F33" s="3">
        <f t="shared" si="0"/>
        <v>5</v>
      </c>
      <c r="G33" s="26"/>
      <c r="H33" s="26"/>
      <c r="I33" s="26"/>
      <c r="J33" s="26">
        <v>8</v>
      </c>
      <c r="K33" s="26"/>
      <c r="L33" s="26">
        <v>8</v>
      </c>
      <c r="M33" s="26"/>
      <c r="N33" s="27"/>
      <c r="O33" s="27"/>
      <c r="P33" s="27"/>
      <c r="Q33" s="27"/>
      <c r="R33" s="27"/>
      <c r="S33" s="27"/>
      <c r="T33" s="27"/>
      <c r="U33" s="27"/>
      <c r="V33" s="27"/>
      <c r="W33" s="27">
        <v>4</v>
      </c>
      <c r="X33" s="27"/>
      <c r="Y33" s="27"/>
      <c r="Z33" s="27"/>
      <c r="AA33" s="27"/>
      <c r="AB33" s="27"/>
      <c r="AC33" s="27"/>
      <c r="AD33" s="27">
        <v>4</v>
      </c>
      <c r="AE33" s="10" t="s">
        <v>24</v>
      </c>
      <c r="AF33" s="27"/>
      <c r="AG33" s="9"/>
      <c r="AH33" s="9"/>
      <c r="AI33" s="9"/>
      <c r="AJ33" s="9"/>
      <c r="AK33" s="9"/>
      <c r="AL33" s="9"/>
      <c r="AM33" s="9"/>
      <c r="AN33" s="9"/>
      <c r="AO33" s="9">
        <v>20</v>
      </c>
      <c r="AP33" s="9"/>
      <c r="AQ33" s="9"/>
      <c r="AR33" s="9"/>
      <c r="AS33" s="11"/>
      <c r="AT33" s="11"/>
      <c r="AU33" s="11"/>
      <c r="BH33" s="26"/>
      <c r="BI33" s="3"/>
      <c r="BJ33" s="10" t="s">
        <v>51</v>
      </c>
      <c r="BU33" s="10" t="s">
        <v>57</v>
      </c>
      <c r="BV33" s="12"/>
      <c r="BW33" s="12"/>
      <c r="BX33" s="12"/>
      <c r="BY33" s="12"/>
      <c r="CC33" s="12"/>
    </row>
    <row r="34" spans="1:86" s="1" customFormat="1" ht="17" customHeight="1">
      <c r="A34" s="26">
        <v>33</v>
      </c>
      <c r="B34" s="26">
        <v>2022202391</v>
      </c>
      <c r="C34" s="26" t="s">
        <v>426</v>
      </c>
      <c r="D34" s="26" t="s">
        <v>245</v>
      </c>
      <c r="E34" s="15">
        <f>SUM(G34:$XEX34)</f>
        <v>33.5</v>
      </c>
      <c r="F34" s="3">
        <f t="shared" ref="F34:F65" si="1">COUNT(G34:EW34)</f>
        <v>5</v>
      </c>
      <c r="G34" s="26"/>
      <c r="H34" s="26"/>
      <c r="I34" s="26"/>
      <c r="J34" s="26"/>
      <c r="K34" s="26"/>
      <c r="L34" s="26"/>
      <c r="M34" s="26"/>
      <c r="N34" s="27">
        <v>8</v>
      </c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10" t="s">
        <v>24</v>
      </c>
      <c r="AF34" s="27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>
        <v>4</v>
      </c>
      <c r="AR34" s="9"/>
      <c r="AS34" s="11">
        <v>12</v>
      </c>
      <c r="AT34" s="11"/>
      <c r="AU34" s="11"/>
      <c r="BF34" s="1">
        <v>4.5</v>
      </c>
      <c r="BH34" s="26"/>
      <c r="BI34" s="3"/>
      <c r="BJ34" s="10" t="s">
        <v>51</v>
      </c>
      <c r="BU34" s="10" t="s">
        <v>57</v>
      </c>
      <c r="BV34" s="12"/>
      <c r="BW34" s="12"/>
      <c r="BX34" s="12"/>
      <c r="BY34" s="12"/>
      <c r="CC34" s="12"/>
      <c r="CG34">
        <v>5</v>
      </c>
      <c r="CH34"/>
    </row>
    <row r="35" spans="1:86" s="1" customFormat="1" ht="17" customHeight="1">
      <c r="A35" s="26">
        <v>34</v>
      </c>
      <c r="B35" s="26">
        <v>2022202394</v>
      </c>
      <c r="C35" s="26" t="s">
        <v>427</v>
      </c>
      <c r="D35" s="26" t="s">
        <v>245</v>
      </c>
      <c r="E35" s="15">
        <f>SUM(G35:$XEX35)</f>
        <v>235.5</v>
      </c>
      <c r="F35" s="3">
        <f t="shared" si="1"/>
        <v>24</v>
      </c>
      <c r="G35" s="26"/>
      <c r="H35" s="26"/>
      <c r="I35" s="26"/>
      <c r="J35" s="26"/>
      <c r="K35" s="26"/>
      <c r="L35" s="26"/>
      <c r="M35" s="26"/>
      <c r="N35" s="27"/>
      <c r="O35" s="27"/>
      <c r="P35" s="27"/>
      <c r="Q35" s="27">
        <v>6</v>
      </c>
      <c r="R35" s="27"/>
      <c r="S35" s="27"/>
      <c r="T35" s="27"/>
      <c r="U35" s="27">
        <v>8</v>
      </c>
      <c r="V35" s="27">
        <v>7</v>
      </c>
      <c r="W35" s="27">
        <v>4</v>
      </c>
      <c r="X35" s="27">
        <v>4</v>
      </c>
      <c r="Y35" s="27"/>
      <c r="Z35" s="27"/>
      <c r="AA35" s="27">
        <v>4</v>
      </c>
      <c r="AB35" s="27">
        <v>9</v>
      </c>
      <c r="AC35" s="27">
        <v>4</v>
      </c>
      <c r="AD35" s="27"/>
      <c r="AE35" s="10" t="s">
        <v>24</v>
      </c>
      <c r="AF35" s="27">
        <v>7</v>
      </c>
      <c r="AG35" s="9">
        <v>1.5</v>
      </c>
      <c r="AH35" s="9"/>
      <c r="AI35" s="9"/>
      <c r="AJ35" s="9">
        <v>40</v>
      </c>
      <c r="AK35" s="9"/>
      <c r="AL35" s="9">
        <v>5</v>
      </c>
      <c r="AM35" s="9">
        <v>16</v>
      </c>
      <c r="AN35" s="9"/>
      <c r="AO35" s="9">
        <v>20</v>
      </c>
      <c r="AP35" s="9"/>
      <c r="AQ35" s="9"/>
      <c r="AR35" s="9"/>
      <c r="AS35" s="11">
        <v>12</v>
      </c>
      <c r="AT35" s="11"/>
      <c r="AU35" s="11"/>
      <c r="AX35" s="1">
        <v>12</v>
      </c>
      <c r="AY35" s="1">
        <v>4</v>
      </c>
      <c r="BA35" s="1">
        <v>1</v>
      </c>
      <c r="BC35" s="1">
        <v>8</v>
      </c>
      <c r="BD35" s="1">
        <v>3</v>
      </c>
      <c r="BH35" s="26"/>
      <c r="BI35" s="3"/>
      <c r="BJ35" s="10" t="s">
        <v>51</v>
      </c>
      <c r="BK35" s="1">
        <v>4</v>
      </c>
      <c r="BM35" s="1">
        <v>3</v>
      </c>
      <c r="BO35" s="1">
        <v>53</v>
      </c>
      <c r="BP35" s="1">
        <v>0</v>
      </c>
      <c r="BU35" s="10" t="s">
        <v>57</v>
      </c>
      <c r="BV35" s="12"/>
      <c r="BW35" s="12"/>
      <c r="BX35" s="12"/>
      <c r="BY35" s="12"/>
      <c r="CC35" s="12"/>
    </row>
    <row r="36" spans="1:86" s="1" customFormat="1" ht="17" customHeight="1">
      <c r="A36" s="26">
        <v>35</v>
      </c>
      <c r="B36" s="26">
        <v>2022202404</v>
      </c>
      <c r="C36" s="26" t="s">
        <v>428</v>
      </c>
      <c r="D36" s="26" t="s">
        <v>245</v>
      </c>
      <c r="E36" s="15">
        <f>SUM(G36:$XEX36)</f>
        <v>32</v>
      </c>
      <c r="F36" s="3">
        <f t="shared" si="1"/>
        <v>7</v>
      </c>
      <c r="G36" s="26"/>
      <c r="H36" s="26">
        <v>3.5</v>
      </c>
      <c r="I36" s="26"/>
      <c r="J36" s="26"/>
      <c r="K36" s="26"/>
      <c r="L36" s="26"/>
      <c r="M36" s="26"/>
      <c r="N36" s="27"/>
      <c r="O36" s="27"/>
      <c r="P36" s="27"/>
      <c r="Q36" s="27"/>
      <c r="R36" s="27"/>
      <c r="S36" s="27"/>
      <c r="T36" s="27"/>
      <c r="U36" s="27"/>
      <c r="V36" s="27"/>
      <c r="W36" s="27">
        <v>4</v>
      </c>
      <c r="X36" s="27"/>
      <c r="Y36" s="27"/>
      <c r="Z36" s="27"/>
      <c r="AA36" s="27"/>
      <c r="AB36" s="27"/>
      <c r="AC36" s="27"/>
      <c r="AD36" s="27"/>
      <c r="AE36" s="10" t="s">
        <v>24</v>
      </c>
      <c r="AF36" s="27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11"/>
      <c r="AT36" s="11"/>
      <c r="AU36" s="11"/>
      <c r="AY36" s="1">
        <v>4</v>
      </c>
      <c r="BH36" s="26"/>
      <c r="BI36" s="3"/>
      <c r="BJ36" s="10" t="s">
        <v>51</v>
      </c>
      <c r="BQ36" s="1">
        <v>4</v>
      </c>
      <c r="BU36" s="10" t="s">
        <v>57</v>
      </c>
      <c r="BV36" s="12"/>
      <c r="BW36" s="12"/>
      <c r="BX36" s="12"/>
      <c r="BY36" s="12"/>
      <c r="CC36" s="12"/>
      <c r="CD36" s="1">
        <v>16.5</v>
      </c>
      <c r="CE36" s="1">
        <v>0</v>
      </c>
      <c r="CF36" s="1">
        <v>0</v>
      </c>
    </row>
    <row r="37" spans="1:86" s="1" customFormat="1" ht="17" customHeight="1">
      <c r="A37" s="26">
        <v>36</v>
      </c>
      <c r="B37" s="26">
        <v>2022202410</v>
      </c>
      <c r="C37" s="26" t="s">
        <v>429</v>
      </c>
      <c r="D37" s="26" t="s">
        <v>245</v>
      </c>
      <c r="E37" s="15">
        <f>SUM(G37:$XEX37)</f>
        <v>69.5</v>
      </c>
      <c r="F37" s="3">
        <f t="shared" si="1"/>
        <v>8</v>
      </c>
      <c r="G37" s="26"/>
      <c r="H37" s="26"/>
      <c r="I37" s="26">
        <v>6</v>
      </c>
      <c r="J37" s="26"/>
      <c r="K37" s="26">
        <v>6</v>
      </c>
      <c r="L37" s="26"/>
      <c r="M37" s="26">
        <v>6</v>
      </c>
      <c r="N37" s="27">
        <v>7</v>
      </c>
      <c r="O37" s="27"/>
      <c r="P37" s="27"/>
      <c r="Q37" s="27"/>
      <c r="R37" s="27"/>
      <c r="S37" s="27"/>
      <c r="T37" s="27"/>
      <c r="U37" s="27">
        <v>16</v>
      </c>
      <c r="V37" s="27"/>
      <c r="W37" s="27"/>
      <c r="X37" s="27"/>
      <c r="Y37" s="27"/>
      <c r="Z37" s="27"/>
      <c r="AA37" s="27"/>
      <c r="AB37" s="27"/>
      <c r="AC37" s="27"/>
      <c r="AD37" s="27"/>
      <c r="AE37" s="10" t="s">
        <v>24</v>
      </c>
      <c r="AF37" s="27">
        <v>12</v>
      </c>
      <c r="AG37" s="9"/>
      <c r="AH37" s="9"/>
      <c r="AI37" s="9"/>
      <c r="AJ37" s="9"/>
      <c r="AK37" s="9"/>
      <c r="AL37" s="9"/>
      <c r="AM37" s="9">
        <v>16</v>
      </c>
      <c r="AN37" s="9"/>
      <c r="AO37" s="9"/>
      <c r="AP37" s="9"/>
      <c r="AQ37" s="9"/>
      <c r="AR37" s="9"/>
      <c r="AS37" s="11"/>
      <c r="AT37" s="11"/>
      <c r="AU37" s="11"/>
      <c r="BH37" s="26"/>
      <c r="BI37" s="3"/>
      <c r="BJ37" s="10" t="s">
        <v>51</v>
      </c>
      <c r="BU37" s="10" t="s">
        <v>57</v>
      </c>
      <c r="BV37" s="12"/>
      <c r="BW37" s="12"/>
      <c r="BX37" s="12"/>
      <c r="BY37" s="12"/>
      <c r="CB37" s="1">
        <v>0.5</v>
      </c>
      <c r="CC37" s="12"/>
    </row>
    <row r="38" spans="1:86" s="1" customFormat="1" ht="17" customHeight="1">
      <c r="A38" s="26">
        <v>37</v>
      </c>
      <c r="B38" s="26">
        <v>2022202411</v>
      </c>
      <c r="C38" s="26" t="s">
        <v>430</v>
      </c>
      <c r="D38" s="26" t="s">
        <v>245</v>
      </c>
      <c r="E38" s="15">
        <f>SUM(G38:$XEX38)</f>
        <v>18</v>
      </c>
      <c r="F38" s="3">
        <f t="shared" si="1"/>
        <v>2</v>
      </c>
      <c r="G38" s="26"/>
      <c r="H38" s="26"/>
      <c r="I38" s="26"/>
      <c r="J38" s="26"/>
      <c r="K38" s="26"/>
      <c r="L38" s="26"/>
      <c r="M38" s="26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10" t="s">
        <v>24</v>
      </c>
      <c r="AF38" s="27"/>
      <c r="AG38" s="9"/>
      <c r="AH38" s="9"/>
      <c r="AI38" s="9"/>
      <c r="AJ38" s="9"/>
      <c r="AK38" s="9"/>
      <c r="AL38" s="9"/>
      <c r="AM38" s="9">
        <v>16</v>
      </c>
      <c r="AN38" s="9"/>
      <c r="AO38" s="9"/>
      <c r="AP38" s="9"/>
      <c r="AQ38" s="9"/>
      <c r="AR38" s="9"/>
      <c r="AS38" s="11"/>
      <c r="AT38" s="11"/>
      <c r="AU38" s="11"/>
      <c r="BB38" s="1">
        <v>2</v>
      </c>
      <c r="BH38" s="26"/>
      <c r="BI38" s="3"/>
      <c r="BJ38" s="10" t="s">
        <v>51</v>
      </c>
      <c r="BU38" s="10" t="s">
        <v>57</v>
      </c>
      <c r="BV38" s="12"/>
      <c r="BW38" s="12"/>
      <c r="BX38" s="12"/>
      <c r="BY38" s="12"/>
      <c r="CC38" s="12"/>
    </row>
    <row r="39" spans="1:86" s="1" customFormat="1" ht="17" customHeight="1">
      <c r="A39" s="26">
        <v>38</v>
      </c>
      <c r="B39" s="26">
        <v>2022202412</v>
      </c>
      <c r="C39" s="26" t="s">
        <v>431</v>
      </c>
      <c r="D39" s="26" t="s">
        <v>245</v>
      </c>
      <c r="E39" s="15">
        <f>SUM(G39:$XEX39)</f>
        <v>42</v>
      </c>
      <c r="F39" s="3">
        <f t="shared" si="1"/>
        <v>4</v>
      </c>
      <c r="G39" s="26"/>
      <c r="H39" s="26"/>
      <c r="I39" s="26"/>
      <c r="J39" s="26"/>
      <c r="K39" s="26"/>
      <c r="L39" s="26"/>
      <c r="M39" s="26"/>
      <c r="N39" s="27"/>
      <c r="O39" s="27"/>
      <c r="P39" s="27"/>
      <c r="Q39" s="27"/>
      <c r="R39" s="27"/>
      <c r="S39" s="27"/>
      <c r="T39" s="27"/>
      <c r="U39" s="27">
        <v>16</v>
      </c>
      <c r="V39" s="27"/>
      <c r="W39" s="27">
        <v>4</v>
      </c>
      <c r="X39" s="27"/>
      <c r="Y39" s="27"/>
      <c r="Z39" s="27"/>
      <c r="AA39" s="27"/>
      <c r="AB39" s="27"/>
      <c r="AC39" s="27"/>
      <c r="AD39" s="27"/>
      <c r="AE39" s="10" t="s">
        <v>24</v>
      </c>
      <c r="AF39" s="27">
        <v>6</v>
      </c>
      <c r="AG39" s="9"/>
      <c r="AH39" s="9"/>
      <c r="AI39" s="9"/>
      <c r="AJ39" s="9"/>
      <c r="AK39" s="9"/>
      <c r="AL39" s="9"/>
      <c r="AM39" s="9">
        <v>16</v>
      </c>
      <c r="AN39" s="9"/>
      <c r="AO39" s="9"/>
      <c r="AP39" s="9"/>
      <c r="AQ39" s="9"/>
      <c r="AR39" s="9"/>
      <c r="AS39" s="11"/>
      <c r="AT39" s="11"/>
      <c r="AU39" s="11"/>
      <c r="BH39" s="26"/>
      <c r="BI39" s="3"/>
      <c r="BJ39" s="10" t="s">
        <v>51</v>
      </c>
      <c r="BU39" s="10" t="s">
        <v>57</v>
      </c>
      <c r="BV39" s="12"/>
      <c r="BW39" s="12"/>
      <c r="BX39" s="12"/>
      <c r="BY39" s="12"/>
      <c r="CC39" s="12"/>
    </row>
    <row r="40" spans="1:86" s="1" customFormat="1" ht="17" customHeight="1">
      <c r="A40" s="26">
        <v>39</v>
      </c>
      <c r="B40" s="26">
        <v>2022202425</v>
      </c>
      <c r="C40" s="26" t="s">
        <v>432</v>
      </c>
      <c r="D40" s="26" t="s">
        <v>245</v>
      </c>
      <c r="E40" s="15">
        <f>SUM(G40:$XEX40)</f>
        <v>24</v>
      </c>
      <c r="F40" s="3">
        <f t="shared" si="1"/>
        <v>6</v>
      </c>
      <c r="G40" s="26"/>
      <c r="H40" s="26">
        <v>4</v>
      </c>
      <c r="I40" s="26"/>
      <c r="J40" s="26"/>
      <c r="K40" s="26"/>
      <c r="L40" s="26"/>
      <c r="M40" s="26"/>
      <c r="N40" s="27"/>
      <c r="O40" s="27"/>
      <c r="P40" s="27"/>
      <c r="Q40" s="27"/>
      <c r="R40" s="27"/>
      <c r="S40" s="27"/>
      <c r="T40" s="27">
        <v>4</v>
      </c>
      <c r="U40" s="27"/>
      <c r="V40" s="27"/>
      <c r="W40" s="27">
        <v>4</v>
      </c>
      <c r="X40" s="27"/>
      <c r="Y40" s="27"/>
      <c r="Z40" s="27"/>
      <c r="AA40" s="27"/>
      <c r="AB40" s="27"/>
      <c r="AC40" s="27"/>
      <c r="AD40" s="27"/>
      <c r="AE40" s="10" t="s">
        <v>24</v>
      </c>
      <c r="AF40" s="27">
        <v>7</v>
      </c>
      <c r="AG40" s="9"/>
      <c r="AH40" s="9"/>
      <c r="AI40" s="9"/>
      <c r="AJ40" s="9"/>
      <c r="AK40" s="9">
        <v>2</v>
      </c>
      <c r="AL40" s="9"/>
      <c r="AM40" s="9"/>
      <c r="AN40" s="9"/>
      <c r="AO40" s="9"/>
      <c r="AP40" s="9"/>
      <c r="AQ40" s="9"/>
      <c r="AR40" s="9"/>
      <c r="AS40" s="11"/>
      <c r="AT40" s="11"/>
      <c r="AU40" s="11"/>
      <c r="BH40" s="26"/>
      <c r="BI40" s="3"/>
      <c r="BJ40" s="10" t="s">
        <v>51</v>
      </c>
      <c r="BU40" s="10" t="s">
        <v>57</v>
      </c>
      <c r="BV40" s="12"/>
      <c r="BW40" s="12"/>
      <c r="BX40" s="12"/>
      <c r="BY40" s="12"/>
      <c r="CC40" s="12"/>
      <c r="CG40"/>
      <c r="CH40">
        <v>3</v>
      </c>
    </row>
    <row r="41" spans="1:86" s="1" customFormat="1" ht="17" customHeight="1">
      <c r="A41" s="26">
        <v>40</v>
      </c>
      <c r="B41" s="26">
        <v>2022202437</v>
      </c>
      <c r="C41" s="26" t="s">
        <v>433</v>
      </c>
      <c r="D41" s="26" t="s">
        <v>245</v>
      </c>
      <c r="E41" s="15">
        <f>SUM(G41:$XEX41)</f>
        <v>48.5</v>
      </c>
      <c r="F41" s="3">
        <f t="shared" si="1"/>
        <v>8</v>
      </c>
      <c r="G41" s="26"/>
      <c r="H41" s="26">
        <v>4</v>
      </c>
      <c r="I41" s="26"/>
      <c r="J41" s="26"/>
      <c r="K41" s="26"/>
      <c r="L41" s="26"/>
      <c r="M41" s="26"/>
      <c r="N41" s="27"/>
      <c r="O41" s="27"/>
      <c r="P41" s="27"/>
      <c r="Q41" s="27"/>
      <c r="R41" s="27"/>
      <c r="S41" s="27"/>
      <c r="T41" s="27">
        <v>4</v>
      </c>
      <c r="U41" s="27"/>
      <c r="V41" s="27"/>
      <c r="W41" s="27">
        <v>4</v>
      </c>
      <c r="X41" s="27">
        <v>4</v>
      </c>
      <c r="Y41" s="27"/>
      <c r="Z41" s="27"/>
      <c r="AA41" s="27"/>
      <c r="AB41" s="27"/>
      <c r="AC41" s="27">
        <v>4</v>
      </c>
      <c r="AD41" s="27"/>
      <c r="AE41" s="10" t="s">
        <v>24</v>
      </c>
      <c r="AF41" s="27"/>
      <c r="AG41" s="9">
        <v>0.5</v>
      </c>
      <c r="AH41" s="9"/>
      <c r="AI41" s="9">
        <v>26</v>
      </c>
      <c r="AJ41" s="9"/>
      <c r="AK41" s="9">
        <v>2</v>
      </c>
      <c r="AL41" s="9"/>
      <c r="AM41" s="9"/>
      <c r="AN41" s="9"/>
      <c r="AO41" s="9"/>
      <c r="AP41" s="9"/>
      <c r="AQ41" s="9"/>
      <c r="AR41" s="9"/>
      <c r="AS41" s="11"/>
      <c r="AT41" s="11"/>
      <c r="AU41" s="11"/>
      <c r="BH41" s="26"/>
      <c r="BI41" s="3"/>
      <c r="BJ41" s="10" t="s">
        <v>51</v>
      </c>
      <c r="BU41" s="10" t="s">
        <v>57</v>
      </c>
      <c r="BV41" s="12"/>
      <c r="BW41" s="12"/>
      <c r="BX41" s="12"/>
      <c r="BY41" s="12"/>
      <c r="CC41" s="12"/>
    </row>
    <row r="42" spans="1:86" s="1" customFormat="1" ht="17" customHeight="1">
      <c r="A42" s="26">
        <v>41</v>
      </c>
      <c r="B42" s="26">
        <v>2022202438</v>
      </c>
      <c r="C42" s="26" t="s">
        <v>434</v>
      </c>
      <c r="D42" s="26" t="s">
        <v>245</v>
      </c>
      <c r="E42" s="15">
        <f>SUM(G42:$XEX42)</f>
        <v>24</v>
      </c>
      <c r="F42" s="3">
        <f t="shared" si="1"/>
        <v>3</v>
      </c>
      <c r="G42" s="26"/>
      <c r="H42" s="26"/>
      <c r="I42" s="26"/>
      <c r="J42" s="26"/>
      <c r="K42" s="26"/>
      <c r="L42" s="26"/>
      <c r="M42" s="26"/>
      <c r="N42" s="27"/>
      <c r="O42" s="27"/>
      <c r="P42" s="27"/>
      <c r="Q42" s="27"/>
      <c r="R42" s="27"/>
      <c r="S42" s="27"/>
      <c r="T42" s="27"/>
      <c r="U42" s="27">
        <v>16</v>
      </c>
      <c r="V42" s="27"/>
      <c r="W42" s="27">
        <v>4</v>
      </c>
      <c r="X42" s="27"/>
      <c r="Y42" s="27"/>
      <c r="Z42" s="27"/>
      <c r="AA42" s="27"/>
      <c r="AB42" s="27"/>
      <c r="AC42" s="27">
        <v>4</v>
      </c>
      <c r="AD42" s="27"/>
      <c r="AE42" s="10" t="s">
        <v>24</v>
      </c>
      <c r="AF42" s="27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11"/>
      <c r="AT42" s="11"/>
      <c r="AU42" s="11"/>
      <c r="BH42" s="26"/>
      <c r="BI42" s="3"/>
      <c r="BJ42" s="10" t="s">
        <v>51</v>
      </c>
      <c r="BU42" s="10" t="s">
        <v>57</v>
      </c>
      <c r="BV42" s="12"/>
      <c r="BW42" s="12"/>
      <c r="BX42" s="12"/>
      <c r="BY42" s="12"/>
      <c r="CC42" s="12"/>
    </row>
    <row r="43" spans="1:86" s="1" customFormat="1" ht="17" customHeight="1">
      <c r="A43" s="26">
        <v>42</v>
      </c>
      <c r="B43" s="26">
        <v>2022202439</v>
      </c>
      <c r="C43" s="26" t="s">
        <v>435</v>
      </c>
      <c r="D43" s="26" t="s">
        <v>245</v>
      </c>
      <c r="E43" s="15">
        <f>SUM(G43:$XEX43)</f>
        <v>36</v>
      </c>
      <c r="F43" s="3">
        <f t="shared" si="1"/>
        <v>8</v>
      </c>
      <c r="G43" s="26"/>
      <c r="H43" s="26"/>
      <c r="I43" s="26"/>
      <c r="J43" s="26"/>
      <c r="K43" s="26"/>
      <c r="L43" s="26"/>
      <c r="M43" s="26"/>
      <c r="N43" s="27"/>
      <c r="O43" s="27"/>
      <c r="P43" s="27"/>
      <c r="Q43" s="27"/>
      <c r="R43" s="27"/>
      <c r="S43" s="27"/>
      <c r="T43" s="27"/>
      <c r="U43" s="27">
        <v>8</v>
      </c>
      <c r="V43" s="27">
        <v>2</v>
      </c>
      <c r="W43" s="27">
        <v>4</v>
      </c>
      <c r="X43" s="27">
        <v>4</v>
      </c>
      <c r="Y43" s="27"/>
      <c r="Z43" s="27"/>
      <c r="AA43" s="27"/>
      <c r="AB43" s="27"/>
      <c r="AC43" s="27"/>
      <c r="AD43" s="27"/>
      <c r="AE43" s="10" t="s">
        <v>24</v>
      </c>
      <c r="AF43" s="27"/>
      <c r="AG43" s="9">
        <v>1.5</v>
      </c>
      <c r="AH43" s="9"/>
      <c r="AI43" s="9"/>
      <c r="AJ43" s="9"/>
      <c r="AK43" s="9"/>
      <c r="AL43" s="9"/>
      <c r="AM43" s="9"/>
      <c r="AN43" s="9"/>
      <c r="AO43" s="9"/>
      <c r="AP43" s="9">
        <v>10</v>
      </c>
      <c r="AQ43" s="9"/>
      <c r="AR43" s="9"/>
      <c r="AS43" s="11"/>
      <c r="AT43" s="11"/>
      <c r="AU43" s="11"/>
      <c r="BH43" s="26"/>
      <c r="BI43" s="3"/>
      <c r="BJ43" s="10" t="s">
        <v>51</v>
      </c>
      <c r="BU43" s="10" t="s">
        <v>57</v>
      </c>
      <c r="BV43" s="12"/>
      <c r="BW43" s="12"/>
      <c r="BX43" s="12"/>
      <c r="BY43" s="12"/>
      <c r="CA43" s="1">
        <v>4</v>
      </c>
      <c r="CC43" s="12">
        <v>2.5</v>
      </c>
    </row>
    <row r="44" spans="1:86" s="1" customFormat="1" ht="17" customHeight="1">
      <c r="A44" s="26">
        <v>43</v>
      </c>
      <c r="B44" s="26">
        <v>2022202440</v>
      </c>
      <c r="C44" s="26" t="s">
        <v>436</v>
      </c>
      <c r="D44" s="26" t="s">
        <v>245</v>
      </c>
      <c r="E44" s="15">
        <f>SUM(G44:$XEX44)</f>
        <v>67</v>
      </c>
      <c r="F44" s="3">
        <f t="shared" si="1"/>
        <v>8</v>
      </c>
      <c r="G44" s="26"/>
      <c r="H44" s="26"/>
      <c r="I44" s="26"/>
      <c r="J44" s="26"/>
      <c r="K44" s="26"/>
      <c r="L44" s="26"/>
      <c r="M44" s="26"/>
      <c r="N44" s="27">
        <v>7</v>
      </c>
      <c r="O44" s="27"/>
      <c r="P44" s="27"/>
      <c r="Q44" s="27"/>
      <c r="R44" s="27"/>
      <c r="S44" s="27"/>
      <c r="T44" s="27"/>
      <c r="U44" s="27"/>
      <c r="V44" s="27">
        <v>11</v>
      </c>
      <c r="W44" s="27">
        <v>4</v>
      </c>
      <c r="X44" s="27"/>
      <c r="Y44" s="27"/>
      <c r="Z44" s="27"/>
      <c r="AA44" s="27"/>
      <c r="AB44" s="27"/>
      <c r="AC44" s="27"/>
      <c r="AD44" s="27"/>
      <c r="AE44" s="10" t="s">
        <v>24</v>
      </c>
      <c r="AF44" s="27"/>
      <c r="AG44" s="9"/>
      <c r="AH44" s="9"/>
      <c r="AI44" s="9">
        <v>10</v>
      </c>
      <c r="AJ44" s="9"/>
      <c r="AK44" s="9"/>
      <c r="AL44" s="9">
        <v>17.5</v>
      </c>
      <c r="AM44" s="9"/>
      <c r="AN44" s="9"/>
      <c r="AO44" s="9"/>
      <c r="AP44" s="9"/>
      <c r="AQ44" s="9"/>
      <c r="AR44" s="9"/>
      <c r="AS44" s="11">
        <v>12</v>
      </c>
      <c r="AT44" s="11"/>
      <c r="AU44" s="11"/>
      <c r="BH44" s="26"/>
      <c r="BI44" s="3"/>
      <c r="BJ44" s="10" t="s">
        <v>51</v>
      </c>
      <c r="BU44" s="10" t="s">
        <v>57</v>
      </c>
      <c r="BV44" s="12"/>
      <c r="BW44" s="12"/>
      <c r="BX44" s="12"/>
      <c r="BY44" s="12"/>
      <c r="CA44" s="1">
        <v>4</v>
      </c>
      <c r="CC44" s="12">
        <v>1.5</v>
      </c>
    </row>
    <row r="45" spans="1:86" s="1" customFormat="1" ht="17" customHeight="1">
      <c r="A45" s="26">
        <v>44</v>
      </c>
      <c r="B45" s="26">
        <v>2022202446</v>
      </c>
      <c r="C45" s="26" t="s">
        <v>437</v>
      </c>
      <c r="D45" s="26" t="s">
        <v>245</v>
      </c>
      <c r="E45" s="15">
        <f>SUM(G45:$XEX45)</f>
        <v>38</v>
      </c>
      <c r="F45" s="3">
        <f t="shared" si="1"/>
        <v>7</v>
      </c>
      <c r="G45" s="26"/>
      <c r="H45" s="26"/>
      <c r="I45" s="26"/>
      <c r="J45" s="26">
        <v>8</v>
      </c>
      <c r="K45" s="26"/>
      <c r="L45" s="26">
        <v>8</v>
      </c>
      <c r="M45" s="26"/>
      <c r="N45" s="27"/>
      <c r="O45" s="27"/>
      <c r="P45" s="27"/>
      <c r="Q45" s="27"/>
      <c r="R45" s="27"/>
      <c r="S45" s="27"/>
      <c r="T45" s="27"/>
      <c r="U45" s="27">
        <v>8</v>
      </c>
      <c r="V45" s="27"/>
      <c r="W45" s="27">
        <v>4</v>
      </c>
      <c r="X45" s="27">
        <v>4</v>
      </c>
      <c r="Y45" s="27"/>
      <c r="Z45" s="27"/>
      <c r="AA45" s="27"/>
      <c r="AB45" s="27"/>
      <c r="AC45" s="27"/>
      <c r="AD45" s="27"/>
      <c r="AE45" s="10" t="s">
        <v>24</v>
      </c>
      <c r="AF45" s="27"/>
      <c r="AG45" s="9"/>
      <c r="AH45" s="9"/>
      <c r="AI45" s="9"/>
      <c r="AJ45" s="9"/>
      <c r="AK45" s="9">
        <v>2</v>
      </c>
      <c r="AL45" s="9"/>
      <c r="AM45" s="9"/>
      <c r="AN45" s="9"/>
      <c r="AO45" s="9"/>
      <c r="AP45" s="9"/>
      <c r="AQ45" s="9"/>
      <c r="AR45" s="9"/>
      <c r="AS45" s="11"/>
      <c r="AT45" s="11"/>
      <c r="AU45" s="11"/>
      <c r="AY45" s="1">
        <v>4</v>
      </c>
      <c r="BH45" s="26"/>
      <c r="BI45" s="3"/>
      <c r="BJ45" s="10" t="s">
        <v>51</v>
      </c>
      <c r="BU45" s="10" t="s">
        <v>57</v>
      </c>
      <c r="BV45" s="12"/>
      <c r="BW45" s="12"/>
      <c r="BX45" s="12"/>
      <c r="BY45" s="12"/>
      <c r="CC45" s="12"/>
    </row>
    <row r="46" spans="1:86" s="1" customFormat="1" ht="17" customHeight="1">
      <c r="A46" s="26">
        <v>45</v>
      </c>
      <c r="B46" s="26">
        <v>2022202454</v>
      </c>
      <c r="C46" s="26" t="s">
        <v>438</v>
      </c>
      <c r="D46" s="26" t="s">
        <v>245</v>
      </c>
      <c r="E46" s="15">
        <f>SUM(G46:$XEX46)</f>
        <v>116</v>
      </c>
      <c r="F46" s="3">
        <f t="shared" si="1"/>
        <v>6</v>
      </c>
      <c r="G46" s="26">
        <v>8</v>
      </c>
      <c r="H46" s="26"/>
      <c r="I46" s="26"/>
      <c r="J46" s="26"/>
      <c r="K46" s="26"/>
      <c r="L46" s="26"/>
      <c r="M46" s="26"/>
      <c r="N46" s="27"/>
      <c r="O46" s="27"/>
      <c r="P46" s="27"/>
      <c r="Q46" s="27"/>
      <c r="R46" s="27"/>
      <c r="S46" s="27"/>
      <c r="T46" s="27"/>
      <c r="U46" s="27">
        <v>8</v>
      </c>
      <c r="V46" s="27"/>
      <c r="W46" s="27">
        <v>4</v>
      </c>
      <c r="X46" s="27"/>
      <c r="Y46" s="27"/>
      <c r="Z46" s="27"/>
      <c r="AA46" s="27"/>
      <c r="AB46" s="27"/>
      <c r="AC46" s="27"/>
      <c r="AD46" s="27"/>
      <c r="AE46" s="10" t="s">
        <v>24</v>
      </c>
      <c r="AF46" s="27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11"/>
      <c r="AT46" s="11"/>
      <c r="AU46" s="11"/>
      <c r="AY46" s="1">
        <v>4</v>
      </c>
      <c r="BH46" s="26"/>
      <c r="BI46" s="3"/>
      <c r="BJ46" s="10" t="s">
        <v>51</v>
      </c>
      <c r="BO46" s="1">
        <v>92</v>
      </c>
      <c r="BP46" s="1">
        <v>0</v>
      </c>
      <c r="BU46" s="10" t="s">
        <v>57</v>
      </c>
      <c r="BV46" s="12"/>
      <c r="BW46" s="12"/>
      <c r="BX46" s="12"/>
      <c r="BY46" s="12"/>
      <c r="CC46" s="12"/>
    </row>
    <row r="47" spans="1:86" s="1" customFormat="1" ht="17" customHeight="1">
      <c r="A47" s="26">
        <v>46</v>
      </c>
      <c r="B47" s="26">
        <v>2022202459</v>
      </c>
      <c r="C47" s="26" t="s">
        <v>439</v>
      </c>
      <c r="D47" s="26" t="s">
        <v>245</v>
      </c>
      <c r="E47" s="15">
        <f>SUM(G47:$XEX47)</f>
        <v>19.5</v>
      </c>
      <c r="F47" s="3">
        <f t="shared" si="1"/>
        <v>5</v>
      </c>
      <c r="G47" s="26"/>
      <c r="H47" s="26">
        <v>6</v>
      </c>
      <c r="I47" s="26"/>
      <c r="J47" s="26"/>
      <c r="K47" s="26"/>
      <c r="L47" s="26"/>
      <c r="M47" s="26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10" t="s">
        <v>24</v>
      </c>
      <c r="AF47" s="27"/>
      <c r="AG47" s="9">
        <v>0.5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11"/>
      <c r="AT47" s="11"/>
      <c r="AU47" s="11"/>
      <c r="BH47" s="26"/>
      <c r="BI47" s="3"/>
      <c r="BJ47" s="10" t="s">
        <v>51</v>
      </c>
      <c r="BU47" s="10" t="s">
        <v>57</v>
      </c>
      <c r="BV47" s="12"/>
      <c r="BW47" s="12"/>
      <c r="BX47" s="29">
        <v>5</v>
      </c>
      <c r="BY47" s="12"/>
      <c r="CA47" s="1">
        <v>4</v>
      </c>
      <c r="CC47" s="12">
        <v>4</v>
      </c>
    </row>
    <row r="48" spans="1:86" s="1" customFormat="1" ht="17" customHeight="1">
      <c r="A48" s="26">
        <v>47</v>
      </c>
      <c r="B48" s="26">
        <v>2022202495</v>
      </c>
      <c r="C48" s="26" t="s">
        <v>440</v>
      </c>
      <c r="D48" s="26" t="s">
        <v>245</v>
      </c>
      <c r="E48" s="15">
        <f>SUM(G48:$XEX48)</f>
        <v>51</v>
      </c>
      <c r="F48" s="3">
        <f t="shared" si="1"/>
        <v>8</v>
      </c>
      <c r="G48" s="26">
        <v>4</v>
      </c>
      <c r="H48" s="26"/>
      <c r="I48" s="26"/>
      <c r="J48" s="26"/>
      <c r="K48" s="26"/>
      <c r="L48" s="26"/>
      <c r="M48" s="26"/>
      <c r="N48" s="27"/>
      <c r="O48" s="27"/>
      <c r="P48" s="27"/>
      <c r="Q48" s="27"/>
      <c r="R48" s="27"/>
      <c r="S48" s="27"/>
      <c r="T48" s="27"/>
      <c r="U48" s="27">
        <v>8</v>
      </c>
      <c r="V48" s="27"/>
      <c r="W48" s="27">
        <v>4</v>
      </c>
      <c r="X48" s="27">
        <v>4</v>
      </c>
      <c r="Y48" s="27"/>
      <c r="Z48" s="27"/>
      <c r="AA48" s="27"/>
      <c r="AB48" s="27"/>
      <c r="AC48" s="27"/>
      <c r="AD48" s="27"/>
      <c r="AE48" s="10" t="s">
        <v>24</v>
      </c>
      <c r="AF48" s="27"/>
      <c r="AG48" s="9"/>
      <c r="AH48" s="9"/>
      <c r="AI48" s="9"/>
      <c r="AJ48" s="9">
        <v>18</v>
      </c>
      <c r="AK48" s="9"/>
      <c r="AL48" s="9"/>
      <c r="AM48" s="9"/>
      <c r="AN48" s="9"/>
      <c r="AO48" s="9"/>
      <c r="AP48" s="9"/>
      <c r="AQ48" s="9"/>
      <c r="AR48" s="9"/>
      <c r="AS48" s="11"/>
      <c r="AT48" s="11"/>
      <c r="AU48" s="11"/>
      <c r="BH48" s="26"/>
      <c r="BI48" s="3">
        <v>4</v>
      </c>
      <c r="BJ48" s="10" t="s">
        <v>51</v>
      </c>
      <c r="BU48" s="10" t="s">
        <v>57</v>
      </c>
      <c r="BV48" s="12"/>
      <c r="BW48" s="12"/>
      <c r="BX48" s="12"/>
      <c r="BY48" s="12">
        <v>5</v>
      </c>
      <c r="CA48" s="1">
        <v>4</v>
      </c>
      <c r="CC48" s="12"/>
    </row>
    <row r="49" spans="1:86" s="1" customFormat="1" ht="17" customHeight="1">
      <c r="A49" s="26">
        <v>48</v>
      </c>
      <c r="B49" s="26">
        <v>2022202865</v>
      </c>
      <c r="C49" s="26" t="s">
        <v>441</v>
      </c>
      <c r="D49" s="26" t="s">
        <v>245</v>
      </c>
      <c r="E49" s="15">
        <f>SUM(G49:$XEX49)</f>
        <v>110</v>
      </c>
      <c r="F49" s="3">
        <f t="shared" si="1"/>
        <v>9</v>
      </c>
      <c r="G49" s="26"/>
      <c r="H49" s="26"/>
      <c r="I49" s="26"/>
      <c r="J49" s="26"/>
      <c r="K49" s="26"/>
      <c r="L49" s="26"/>
      <c r="M49" s="26"/>
      <c r="N49" s="27"/>
      <c r="O49" s="27"/>
      <c r="P49" s="27"/>
      <c r="Q49" s="27"/>
      <c r="R49" s="27"/>
      <c r="S49" s="27"/>
      <c r="T49" s="27"/>
      <c r="U49" s="27">
        <v>8</v>
      </c>
      <c r="V49" s="27">
        <v>7</v>
      </c>
      <c r="W49" s="27">
        <v>4</v>
      </c>
      <c r="X49" s="27">
        <v>4</v>
      </c>
      <c r="Y49" s="27"/>
      <c r="Z49" s="27"/>
      <c r="AA49" s="27"/>
      <c r="AB49" s="27"/>
      <c r="AC49" s="27">
        <v>4</v>
      </c>
      <c r="AD49" s="27"/>
      <c r="AE49" s="10" t="s">
        <v>24</v>
      </c>
      <c r="AF49" s="27"/>
      <c r="AG49" s="9"/>
      <c r="AH49" s="9"/>
      <c r="AI49" s="9">
        <v>27</v>
      </c>
      <c r="AJ49" s="9"/>
      <c r="AK49" s="9"/>
      <c r="AL49" s="9"/>
      <c r="AM49" s="9"/>
      <c r="AN49" s="9"/>
      <c r="AO49" s="9"/>
      <c r="AP49" s="9"/>
      <c r="AQ49" s="9"/>
      <c r="AR49" s="9"/>
      <c r="AS49" s="11">
        <v>12</v>
      </c>
      <c r="AT49" s="11"/>
      <c r="AU49" s="11"/>
      <c r="AY49" s="1">
        <v>4</v>
      </c>
      <c r="BG49" s="1">
        <v>40</v>
      </c>
      <c r="BH49" s="26"/>
      <c r="BI49" s="3"/>
      <c r="BJ49" s="10" t="s">
        <v>51</v>
      </c>
      <c r="BU49" s="10" t="s">
        <v>57</v>
      </c>
      <c r="BV49" s="12"/>
      <c r="BW49" s="12"/>
      <c r="BX49" s="12"/>
      <c r="BY49" s="12"/>
      <c r="CC49" s="12"/>
    </row>
    <row r="50" spans="1:86" s="1" customFormat="1" ht="17" customHeight="1">
      <c r="A50" s="26">
        <v>48</v>
      </c>
      <c r="B50" s="30">
        <v>2020202670</v>
      </c>
      <c r="C50" s="26" t="s">
        <v>442</v>
      </c>
      <c r="D50" s="26" t="s">
        <v>245</v>
      </c>
      <c r="E50" s="15">
        <f>SUM(G50:$XEX50)</f>
        <v>20</v>
      </c>
      <c r="F50" s="3">
        <f t="shared" si="1"/>
        <v>4</v>
      </c>
      <c r="G50" s="26"/>
      <c r="H50" s="26"/>
      <c r="I50" s="26"/>
      <c r="J50" s="26"/>
      <c r="K50" s="26"/>
      <c r="L50" s="26"/>
      <c r="M50" s="26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10"/>
      <c r="AF50" s="27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11"/>
      <c r="AT50" s="11"/>
      <c r="AU50" s="11"/>
      <c r="BH50" s="26"/>
      <c r="BI50" s="3"/>
      <c r="BJ50" s="10"/>
      <c r="BR50" s="1">
        <v>16</v>
      </c>
      <c r="BS50" s="1">
        <v>0</v>
      </c>
      <c r="BT50" s="1">
        <v>0</v>
      </c>
      <c r="BU50" s="10"/>
      <c r="BV50" s="12"/>
      <c r="BW50" s="12"/>
      <c r="BX50" s="12"/>
      <c r="BY50" s="12"/>
      <c r="CC50" s="12"/>
      <c r="CH50">
        <v>4</v>
      </c>
    </row>
    <row r="51" spans="1:86" s="1" customFormat="1" ht="17" customHeight="1">
      <c r="A51" s="26"/>
      <c r="B51" s="26"/>
      <c r="C51" s="26" t="s">
        <v>174</v>
      </c>
      <c r="D51" s="27"/>
      <c r="E51" s="27" t="s">
        <v>374</v>
      </c>
      <c r="F51" s="3">
        <f t="shared" si="1"/>
        <v>1</v>
      </c>
      <c r="G51" s="27"/>
      <c r="H51" s="27"/>
      <c r="I51" s="26"/>
      <c r="J51" s="26"/>
      <c r="K51" s="26"/>
      <c r="L51" s="26"/>
      <c r="M51" s="26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10" t="s">
        <v>24</v>
      </c>
      <c r="AF51" s="27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11"/>
      <c r="AT51" s="11"/>
      <c r="AU51" s="11"/>
      <c r="BH51" s="27"/>
      <c r="BI51" s="3"/>
      <c r="BJ51" s="10" t="s">
        <v>51</v>
      </c>
      <c r="BU51" s="10" t="s">
        <v>57</v>
      </c>
      <c r="BV51" s="12"/>
      <c r="BW51" s="12">
        <v>0.5</v>
      </c>
      <c r="BX51" s="12"/>
      <c r="BY51" s="12"/>
      <c r="CC51" s="12"/>
    </row>
    <row r="52" spans="1:86" s="1" customFormat="1" ht="17" customHeight="1">
      <c r="A52" s="26"/>
      <c r="B52" s="26"/>
      <c r="C52" s="26" t="s">
        <v>143</v>
      </c>
      <c r="D52" s="27"/>
      <c r="E52" s="27" t="s">
        <v>196</v>
      </c>
      <c r="F52" s="3">
        <f t="shared" si="1"/>
        <v>1</v>
      </c>
      <c r="G52" s="27"/>
      <c r="H52" s="27"/>
      <c r="I52" s="26"/>
      <c r="J52" s="26"/>
      <c r="K52" s="26"/>
      <c r="L52" s="26"/>
      <c r="M52" s="26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10" t="s">
        <v>24</v>
      </c>
      <c r="AF52" s="27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11"/>
      <c r="AT52" s="11"/>
      <c r="AU52" s="11"/>
      <c r="BH52" s="27"/>
      <c r="BI52" s="3"/>
      <c r="BJ52" s="10" t="s">
        <v>51</v>
      </c>
      <c r="BU52" s="10" t="s">
        <v>57</v>
      </c>
      <c r="BV52" s="12"/>
      <c r="BW52" s="12"/>
      <c r="BX52" s="12"/>
      <c r="BY52" s="12">
        <v>6</v>
      </c>
      <c r="CC52" s="12"/>
    </row>
    <row r="53" spans="1:86" s="1" customFormat="1" ht="17" customHeight="1">
      <c r="A53" s="26"/>
      <c r="B53" s="26"/>
      <c r="C53" s="26" t="s">
        <v>443</v>
      </c>
      <c r="D53" s="27"/>
      <c r="E53" s="27" t="s">
        <v>314</v>
      </c>
      <c r="F53" s="3">
        <f t="shared" si="1"/>
        <v>0</v>
      </c>
      <c r="G53" s="27"/>
      <c r="H53" s="27"/>
      <c r="I53" s="26"/>
      <c r="J53" s="26"/>
      <c r="K53" s="26"/>
      <c r="L53" s="26"/>
      <c r="M53" s="26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10" t="s">
        <v>24</v>
      </c>
      <c r="AF53" s="27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11"/>
      <c r="AT53" s="11"/>
      <c r="AU53" s="11"/>
      <c r="BH53" s="27"/>
      <c r="BI53" s="3"/>
      <c r="BJ53" s="10" t="s">
        <v>51</v>
      </c>
      <c r="BU53" s="10" t="s">
        <v>57</v>
      </c>
      <c r="BV53" s="12"/>
      <c r="BW53" s="12"/>
      <c r="BX53" s="12"/>
      <c r="BY53" s="12"/>
      <c r="CC53" s="12"/>
    </row>
    <row r="54" spans="1:86" s="1" customFormat="1" ht="17" customHeight="1">
      <c r="A54" s="26"/>
      <c r="B54" s="26"/>
      <c r="C54" s="26" t="s">
        <v>189</v>
      </c>
      <c r="D54" s="27"/>
      <c r="E54" s="27" t="s">
        <v>374</v>
      </c>
      <c r="F54" s="3">
        <f t="shared" si="1"/>
        <v>0</v>
      </c>
      <c r="G54" s="27"/>
      <c r="H54" s="27"/>
      <c r="I54" s="26"/>
      <c r="J54" s="26"/>
      <c r="K54" s="26"/>
      <c r="L54" s="26"/>
      <c r="M54" s="26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10" t="s">
        <v>24</v>
      </c>
      <c r="AF54" s="27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11"/>
      <c r="AT54" s="11"/>
      <c r="AU54" s="11"/>
      <c r="BH54" s="27"/>
      <c r="BI54" s="3"/>
      <c r="BJ54" s="10" t="s">
        <v>51</v>
      </c>
      <c r="BU54" s="10" t="s">
        <v>57</v>
      </c>
      <c r="BV54" s="12"/>
      <c r="BW54" s="12"/>
      <c r="BX54" s="12"/>
      <c r="BY54" s="12"/>
      <c r="CC54" s="12"/>
    </row>
  </sheetData>
  <phoneticPr fontId="1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26"/>
  <sheetViews>
    <sheetView workbookViewId="0">
      <pane xSplit="6" ySplit="1" topLeftCell="CB3" activePane="bottomRight" state="frozen"/>
      <selection pane="topRight"/>
      <selection pane="bottomLeft"/>
      <selection pane="bottomRight" activeCell="CE1" sqref="CE1:CE1048576"/>
    </sheetView>
  </sheetViews>
  <sheetFormatPr baseColWidth="10" defaultColWidth="9.6640625" defaultRowHeight="17"/>
  <cols>
    <col min="1" max="1" width="8" style="6" customWidth="1"/>
    <col min="2" max="2" width="14.33203125" style="6" hidden="1" customWidth="1"/>
    <col min="3" max="3" width="8" style="6" customWidth="1"/>
    <col min="4" max="4" width="11.5" style="6" customWidth="1"/>
    <col min="5" max="5" width="7.6640625" style="6" customWidth="1"/>
    <col min="6" max="6" width="9.6640625" style="6" customWidth="1"/>
    <col min="7" max="8" width="24.33203125" style="6" customWidth="1"/>
    <col min="9" max="9" width="12.1640625" style="6" customWidth="1"/>
    <col min="10" max="12" width="11.83203125" style="6" customWidth="1"/>
    <col min="13" max="13" width="7.6640625" style="6" customWidth="1"/>
    <col min="14" max="14" width="12.5" style="6" customWidth="1"/>
    <col min="15" max="15" width="15.33203125" style="6" customWidth="1"/>
    <col min="16" max="16" width="11.5" style="6" customWidth="1"/>
    <col min="17" max="17" width="15.33203125" style="6" customWidth="1"/>
    <col min="18" max="18" width="13.1640625" style="6" customWidth="1"/>
    <col min="19" max="19" width="11.5" style="6" customWidth="1"/>
    <col min="20" max="20" width="12.33203125" style="6" customWidth="1"/>
    <col min="21" max="22" width="12" style="6" customWidth="1"/>
    <col min="23" max="23" width="13.1640625" style="6" customWidth="1"/>
    <col min="24" max="24" width="7.6640625" style="6" customWidth="1"/>
    <col min="25" max="25" width="17.83203125" style="6" customWidth="1"/>
    <col min="26" max="26" width="10.83203125" style="6" customWidth="1"/>
    <col min="27" max="27" width="7.6640625" style="6" customWidth="1"/>
    <col min="28" max="28" width="13.1640625" style="6" customWidth="1"/>
    <col min="29" max="29" width="11.5" style="6" customWidth="1"/>
    <col min="30" max="30" width="7.6640625" style="6" customWidth="1"/>
    <col min="31" max="31" width="15.5" style="6" customWidth="1"/>
    <col min="32" max="32" width="14" style="6" customWidth="1"/>
    <col min="33" max="33" width="17.1640625" style="6" customWidth="1"/>
    <col min="34" max="34" width="8.6640625" style="6" customWidth="1"/>
    <col min="35" max="35" width="12.33203125" style="6" customWidth="1"/>
    <col min="36" max="36" width="20.83203125" style="6" customWidth="1"/>
    <col min="37" max="37" width="11.33203125" style="6" customWidth="1"/>
    <col min="38" max="38" width="10.6640625" style="6" customWidth="1"/>
    <col min="39" max="39" width="11.5" style="6" customWidth="1"/>
    <col min="40" max="40" width="9.6640625" style="6" customWidth="1"/>
    <col min="41" max="41" width="11.5" style="6" customWidth="1"/>
    <col min="42" max="42" width="17.33203125" style="6" customWidth="1"/>
    <col min="43" max="43" width="19.5" style="6" customWidth="1"/>
    <col min="44" max="44" width="12.1640625" style="6" customWidth="1"/>
    <col min="45" max="45" width="17.5" style="6" customWidth="1"/>
    <col min="46" max="46" width="11.1640625" style="6" customWidth="1"/>
    <col min="47" max="47" width="12" style="6" customWidth="1"/>
    <col min="48" max="48" width="14.5" style="6" customWidth="1"/>
    <col min="49" max="49" width="15.5" style="6" customWidth="1"/>
    <col min="50" max="50" width="13.1640625" style="6" customWidth="1"/>
    <col min="51" max="51" width="11.5" style="6" customWidth="1"/>
    <col min="52" max="53" width="9.6640625" style="6" customWidth="1"/>
    <col min="54" max="54" width="10.83203125" style="6" customWidth="1"/>
    <col min="55" max="55" width="9.6640625" style="6" customWidth="1"/>
    <col min="56" max="56" width="9.83203125" style="6" customWidth="1"/>
    <col min="57" max="65" width="9.6640625" style="6" customWidth="1"/>
    <col min="66" max="66" width="24.33203125" style="6" customWidth="1"/>
    <col min="67" max="67" width="17.33203125" style="6" customWidth="1"/>
    <col min="68" max="68" width="8.6640625" style="6" customWidth="1"/>
    <col min="69" max="70" width="9.6640625" style="6" customWidth="1"/>
    <col min="71" max="71" width="24.33203125" style="6" customWidth="1"/>
    <col min="72" max="74" width="9.6640625" style="6" customWidth="1"/>
    <col min="75" max="75" width="19.1640625" style="6" customWidth="1"/>
    <col min="76" max="77" width="9.6640625" style="6" customWidth="1"/>
    <col min="78" max="78" width="16.6640625" style="6" customWidth="1"/>
    <col min="79" max="79" width="8.6640625" style="6" customWidth="1"/>
    <col min="80" max="80" width="18.5" style="22" customWidth="1"/>
    <col min="81" max="82" width="9.6640625" style="6" customWidth="1"/>
    <col min="83" max="83" width="9.6640625" style="8" customWidth="1"/>
    <col min="84" max="16384" width="9.6640625" style="6"/>
  </cols>
  <sheetData>
    <row r="1" spans="1:83" s="1" customFormat="1" ht="17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103</v>
      </c>
      <c r="K1" s="15" t="s">
        <v>316</v>
      </c>
      <c r="L1" s="15" t="s">
        <v>9</v>
      </c>
      <c r="M1" s="11" t="s">
        <v>11</v>
      </c>
      <c r="N1" s="11" t="s">
        <v>230</v>
      </c>
      <c r="O1" s="11" t="s">
        <v>22</v>
      </c>
      <c r="P1" s="11" t="s">
        <v>10</v>
      </c>
      <c r="Q1" s="11" t="s">
        <v>444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105</v>
      </c>
      <c r="W1" s="11" t="s">
        <v>156</v>
      </c>
      <c r="X1" s="11" t="s">
        <v>18</v>
      </c>
      <c r="Y1" s="11" t="s">
        <v>19</v>
      </c>
      <c r="Z1" s="11" t="s">
        <v>20</v>
      </c>
      <c r="AA1" s="11" t="s">
        <v>107</v>
      </c>
      <c r="AB1" s="11" t="s">
        <v>111</v>
      </c>
      <c r="AC1" s="11" t="s">
        <v>26</v>
      </c>
      <c r="AD1" s="11" t="s">
        <v>112</v>
      </c>
      <c r="AE1" s="11" t="s">
        <v>445</v>
      </c>
      <c r="AF1" s="11" t="s">
        <v>446</v>
      </c>
      <c r="AG1" s="11" t="s">
        <v>21</v>
      </c>
      <c r="AH1" s="10" t="s">
        <v>24</v>
      </c>
      <c r="AI1" s="11" t="s">
        <v>25</v>
      </c>
      <c r="AJ1" s="11" t="s">
        <v>27</v>
      </c>
      <c r="AK1" s="11" t="s">
        <v>28</v>
      </c>
      <c r="AL1" s="11" t="s">
        <v>29</v>
      </c>
      <c r="AM1" s="11" t="s">
        <v>115</v>
      </c>
      <c r="AN1" s="11" t="s">
        <v>204</v>
      </c>
      <c r="AO1" s="11" t="s">
        <v>116</v>
      </c>
      <c r="AP1" s="11" t="s">
        <v>31</v>
      </c>
      <c r="AQ1" s="11" t="s">
        <v>447</v>
      </c>
      <c r="AR1" s="11" t="s">
        <v>33</v>
      </c>
      <c r="AS1" s="11" t="s">
        <v>34</v>
      </c>
      <c r="AT1" s="11" t="s">
        <v>117</v>
      </c>
      <c r="AU1" s="11" t="s">
        <v>36</v>
      </c>
      <c r="AV1" s="11" t="s">
        <v>119</v>
      </c>
      <c r="AW1" s="11" t="s">
        <v>120</v>
      </c>
      <c r="AX1" s="11" t="s">
        <v>448</v>
      </c>
      <c r="AY1" s="11" t="s">
        <v>239</v>
      </c>
      <c r="AZ1" s="11" t="s">
        <v>159</v>
      </c>
      <c r="BA1" s="11" t="s">
        <v>121</v>
      </c>
      <c r="BB1" s="11" t="s">
        <v>39</v>
      </c>
      <c r="BC1" s="11" t="s">
        <v>40</v>
      </c>
      <c r="BD1" s="11" t="s">
        <v>41</v>
      </c>
      <c r="BE1" s="9" t="s">
        <v>42</v>
      </c>
      <c r="BF1" s="9" t="s">
        <v>43</v>
      </c>
      <c r="BG1" s="1" t="s">
        <v>44</v>
      </c>
      <c r="BH1" s="1" t="s">
        <v>47</v>
      </c>
      <c r="BI1" s="1" t="s">
        <v>204</v>
      </c>
      <c r="BJ1" s="1" t="s">
        <v>45</v>
      </c>
      <c r="BK1" s="1" t="s">
        <v>48</v>
      </c>
      <c r="BL1" s="1" t="s">
        <v>449</v>
      </c>
      <c r="BM1" s="1" t="s">
        <v>158</v>
      </c>
      <c r="BN1" s="15" t="s">
        <v>49</v>
      </c>
      <c r="BO1" s="1" t="s">
        <v>450</v>
      </c>
      <c r="BP1" s="10" t="s">
        <v>51</v>
      </c>
      <c r="BQ1" s="1" t="s">
        <v>52</v>
      </c>
      <c r="BR1" s="3" t="s">
        <v>240</v>
      </c>
      <c r="BS1" s="15" t="s">
        <v>124</v>
      </c>
      <c r="BT1" s="1" t="s">
        <v>53</v>
      </c>
      <c r="BU1" s="1" t="s">
        <v>451</v>
      </c>
      <c r="BV1" s="1" t="s">
        <v>54</v>
      </c>
      <c r="BW1" s="12" t="s">
        <v>55</v>
      </c>
      <c r="BX1" s="1" t="s">
        <v>452</v>
      </c>
      <c r="BY1" s="4" t="s">
        <v>453</v>
      </c>
      <c r="BZ1" s="1" t="s">
        <v>454</v>
      </c>
      <c r="CA1" s="10" t="s">
        <v>57</v>
      </c>
      <c r="CB1" s="23" t="s">
        <v>242</v>
      </c>
      <c r="CC1" s="3" t="s">
        <v>455</v>
      </c>
      <c r="CD1" s="12" t="s">
        <v>165</v>
      </c>
      <c r="CE1" s="12" t="s">
        <v>65</v>
      </c>
    </row>
    <row r="2" spans="1:83" s="1" customFormat="1" ht="17" customHeight="1">
      <c r="A2" s="15">
        <v>1</v>
      </c>
      <c r="B2" s="15">
        <v>2022202501</v>
      </c>
      <c r="C2" s="15" t="s">
        <v>456</v>
      </c>
      <c r="D2" s="15" t="s">
        <v>457</v>
      </c>
      <c r="E2" s="15">
        <f t="shared" ref="E2:E26" si="0">SUM(G2:CD2)</f>
        <v>278.5</v>
      </c>
      <c r="F2" s="3">
        <f t="shared" ref="F2:F26" si="1">COUNT(G2:DZ2)</f>
        <v>19</v>
      </c>
      <c r="G2" s="15">
        <v>66</v>
      </c>
      <c r="H2" s="15"/>
      <c r="I2" s="15">
        <v>6</v>
      </c>
      <c r="J2" s="15"/>
      <c r="K2" s="15"/>
      <c r="L2" s="15">
        <v>6</v>
      </c>
      <c r="M2" s="11"/>
      <c r="N2" s="11"/>
      <c r="O2" s="11">
        <v>4</v>
      </c>
      <c r="P2" s="11">
        <v>7</v>
      </c>
      <c r="Q2" s="11"/>
      <c r="R2" s="11">
        <v>3</v>
      </c>
      <c r="S2" s="11"/>
      <c r="T2" s="11"/>
      <c r="U2" s="11">
        <v>4</v>
      </c>
      <c r="V2" s="11"/>
      <c r="W2" s="11"/>
      <c r="X2" s="11"/>
      <c r="Y2" s="11">
        <v>8</v>
      </c>
      <c r="Z2" s="11">
        <v>29</v>
      </c>
      <c r="AA2" s="11"/>
      <c r="AB2" s="11"/>
      <c r="AC2" s="11"/>
      <c r="AD2" s="11"/>
      <c r="AE2" s="11"/>
      <c r="AF2" s="11"/>
      <c r="AG2" s="11"/>
      <c r="AH2" s="10" t="s">
        <v>24</v>
      </c>
      <c r="AI2" s="11">
        <v>8</v>
      </c>
      <c r="AJ2" s="11">
        <v>0.5</v>
      </c>
      <c r="AK2" s="11"/>
      <c r="AL2" s="11"/>
      <c r="AM2" s="11"/>
      <c r="AN2" s="11"/>
      <c r="AO2" s="11"/>
      <c r="AP2" s="11"/>
      <c r="AQ2" s="11"/>
      <c r="AR2" s="11">
        <v>5</v>
      </c>
      <c r="AS2" s="11">
        <v>20</v>
      </c>
      <c r="AT2" s="11"/>
      <c r="AU2" s="11"/>
      <c r="AV2" s="11">
        <v>4</v>
      </c>
      <c r="AW2" s="11"/>
      <c r="AX2" s="11"/>
      <c r="AY2" s="11"/>
      <c r="AZ2" s="11"/>
      <c r="BA2" s="11"/>
      <c r="BB2" s="11">
        <v>84</v>
      </c>
      <c r="BC2" s="11"/>
      <c r="BD2" s="11"/>
      <c r="BJ2" s="1">
        <v>2</v>
      </c>
      <c r="BK2" s="1">
        <v>16</v>
      </c>
      <c r="BN2" s="15"/>
      <c r="BP2" s="10" t="s">
        <v>51</v>
      </c>
      <c r="BS2" s="15"/>
      <c r="BT2" s="1">
        <v>4</v>
      </c>
      <c r="BV2" s="1">
        <v>2</v>
      </c>
      <c r="CA2" s="10" t="s">
        <v>57</v>
      </c>
      <c r="CC2" s="3"/>
      <c r="CD2" s="12" t="str">
        <f>IFERROR(VLOOKUP(C2,[2]Sheet1!$F$2:$G$65,2,FALSE)*1,"")</f>
        <v/>
      </c>
      <c r="CE2" s="12"/>
    </row>
    <row r="3" spans="1:83" s="1" customFormat="1" ht="17" customHeight="1">
      <c r="A3" s="15">
        <v>2</v>
      </c>
      <c r="B3" s="15">
        <v>2022202502</v>
      </c>
      <c r="C3" s="15" t="s">
        <v>313</v>
      </c>
      <c r="D3" s="15" t="s">
        <v>457</v>
      </c>
      <c r="E3" s="15">
        <f t="shared" si="0"/>
        <v>56.5</v>
      </c>
      <c r="F3" s="3">
        <f t="shared" si="1"/>
        <v>7</v>
      </c>
      <c r="G3" s="15"/>
      <c r="H3" s="15">
        <v>6</v>
      </c>
      <c r="I3" s="15">
        <v>6</v>
      </c>
      <c r="J3" s="15"/>
      <c r="K3" s="15"/>
      <c r="L3" s="15"/>
      <c r="M3" s="11"/>
      <c r="N3" s="11"/>
      <c r="O3" s="11"/>
      <c r="P3" s="11"/>
      <c r="Q3" s="11"/>
      <c r="R3" s="11"/>
      <c r="S3" s="11"/>
      <c r="T3" s="11">
        <v>4</v>
      </c>
      <c r="U3" s="11">
        <v>4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0" t="s">
        <v>24</v>
      </c>
      <c r="AI3" s="11"/>
      <c r="AJ3" s="11">
        <v>0.5</v>
      </c>
      <c r="AK3" s="11">
        <v>30</v>
      </c>
      <c r="AL3" s="11"/>
      <c r="AM3" s="11"/>
      <c r="AN3" s="11"/>
      <c r="AO3" s="11"/>
      <c r="AP3" s="11"/>
      <c r="AQ3" s="11"/>
      <c r="AR3" s="11"/>
      <c r="AS3" s="11"/>
      <c r="AT3" s="11">
        <v>6</v>
      </c>
      <c r="AU3" s="11"/>
      <c r="AV3" s="11"/>
      <c r="AW3" s="11"/>
      <c r="AX3" s="11"/>
      <c r="AY3" s="11"/>
      <c r="AZ3" s="11"/>
      <c r="BA3" s="11"/>
      <c r="BB3" s="11"/>
      <c r="BC3" s="11"/>
      <c r="BD3" s="11"/>
      <c r="BN3" s="15"/>
      <c r="BP3" s="10" t="s">
        <v>51</v>
      </c>
      <c r="BS3" s="15"/>
      <c r="CA3" s="10" t="s">
        <v>57</v>
      </c>
      <c r="CC3" s="3"/>
      <c r="CD3" s="12" t="str">
        <f>IFERROR(VLOOKUP(C3,[2]Sheet1!$F$2:$G$65,2,FALSE)*1,"")</f>
        <v/>
      </c>
      <c r="CE3" s="12"/>
    </row>
    <row r="4" spans="1:83" s="1" customFormat="1" ht="17" customHeight="1">
      <c r="A4" s="15">
        <v>3</v>
      </c>
      <c r="B4" s="15">
        <v>2022202503</v>
      </c>
      <c r="C4" s="15" t="s">
        <v>458</v>
      </c>
      <c r="D4" s="15" t="s">
        <v>457</v>
      </c>
      <c r="E4" s="15">
        <f t="shared" si="0"/>
        <v>75</v>
      </c>
      <c r="F4" s="3">
        <f t="shared" si="1"/>
        <v>9</v>
      </c>
      <c r="G4" s="15"/>
      <c r="H4" s="15">
        <v>11</v>
      </c>
      <c r="I4" s="15"/>
      <c r="J4" s="15"/>
      <c r="K4" s="15"/>
      <c r="L4" s="15"/>
      <c r="M4" s="11">
        <v>6</v>
      </c>
      <c r="N4" s="11"/>
      <c r="O4" s="11"/>
      <c r="P4" s="11"/>
      <c r="Q4" s="11"/>
      <c r="R4" s="11"/>
      <c r="S4" s="11"/>
      <c r="T4" s="11">
        <v>4</v>
      </c>
      <c r="U4" s="11">
        <v>4</v>
      </c>
      <c r="V4" s="11">
        <v>2</v>
      </c>
      <c r="W4" s="11"/>
      <c r="X4" s="11"/>
      <c r="Y4" s="11"/>
      <c r="Z4" s="11">
        <v>38</v>
      </c>
      <c r="AA4" s="11"/>
      <c r="AB4" s="11"/>
      <c r="AC4" s="11">
        <v>4</v>
      </c>
      <c r="AD4" s="11"/>
      <c r="AE4" s="11"/>
      <c r="AF4" s="11"/>
      <c r="AG4" s="11"/>
      <c r="AH4" s="10" t="s">
        <v>24</v>
      </c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">
        <v>4</v>
      </c>
      <c r="BN4" s="15"/>
      <c r="BP4" s="10" t="s">
        <v>51</v>
      </c>
      <c r="BS4" s="15"/>
      <c r="BV4" s="1">
        <v>2</v>
      </c>
      <c r="CA4" s="10" t="s">
        <v>57</v>
      </c>
      <c r="CC4" s="3"/>
      <c r="CD4" s="12" t="str">
        <f>IFERROR(VLOOKUP(C4,[2]Sheet1!$F$2:$G$65,2,FALSE)*1,"")</f>
        <v/>
      </c>
      <c r="CE4" s="12"/>
    </row>
    <row r="5" spans="1:83" s="1" customFormat="1" ht="17" customHeight="1">
      <c r="A5" s="15">
        <v>4</v>
      </c>
      <c r="B5" s="15">
        <v>2022202504</v>
      </c>
      <c r="C5" s="15" t="s">
        <v>459</v>
      </c>
      <c r="D5" s="15" t="s">
        <v>457</v>
      </c>
      <c r="E5" s="15">
        <f t="shared" si="0"/>
        <v>45</v>
      </c>
      <c r="F5" s="3">
        <f t="shared" si="1"/>
        <v>10</v>
      </c>
      <c r="G5" s="15"/>
      <c r="H5" s="15">
        <v>3.5</v>
      </c>
      <c r="I5" s="15">
        <v>6</v>
      </c>
      <c r="J5" s="15"/>
      <c r="K5" s="15"/>
      <c r="L5" s="15">
        <v>6</v>
      </c>
      <c r="M5" s="11">
        <v>6</v>
      </c>
      <c r="N5" s="11"/>
      <c r="O5" s="11"/>
      <c r="P5" s="11">
        <v>7</v>
      </c>
      <c r="Q5" s="11"/>
      <c r="R5" s="11">
        <v>1</v>
      </c>
      <c r="S5" s="11"/>
      <c r="T5" s="11">
        <v>4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>
        <v>3</v>
      </c>
      <c r="AF5" s="11"/>
      <c r="AG5" s="11"/>
      <c r="AH5" s="10" t="s">
        <v>24</v>
      </c>
      <c r="AI5" s="11">
        <v>8</v>
      </c>
      <c r="AJ5" s="11">
        <v>0.5</v>
      </c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N5" s="15"/>
      <c r="BP5" s="10" t="s">
        <v>51</v>
      </c>
      <c r="BS5" s="15"/>
      <c r="CA5" s="10" t="s">
        <v>57</v>
      </c>
      <c r="CC5" s="3"/>
      <c r="CD5" s="12" t="str">
        <f>IFERROR(VLOOKUP(C5,[2]Sheet1!$F$2:$G$65,2,FALSE)*1,"")</f>
        <v/>
      </c>
      <c r="CE5" s="12"/>
    </row>
    <row r="6" spans="1:83" s="1" customFormat="1" ht="17" customHeight="1">
      <c r="A6" s="15">
        <v>5</v>
      </c>
      <c r="B6" s="15">
        <v>2022202505</v>
      </c>
      <c r="C6" s="15" t="s">
        <v>460</v>
      </c>
      <c r="D6" s="15" t="s">
        <v>457</v>
      </c>
      <c r="E6" s="15">
        <f t="shared" si="0"/>
        <v>150.5</v>
      </c>
      <c r="F6" s="3">
        <f t="shared" si="1"/>
        <v>11</v>
      </c>
      <c r="G6" s="15"/>
      <c r="H6" s="15"/>
      <c r="I6" s="15"/>
      <c r="J6" s="15"/>
      <c r="K6" s="15"/>
      <c r="L6" s="15"/>
      <c r="M6" s="11"/>
      <c r="N6" s="11"/>
      <c r="O6" s="11"/>
      <c r="P6" s="11"/>
      <c r="Q6" s="11"/>
      <c r="R6" s="11"/>
      <c r="S6" s="11"/>
      <c r="T6" s="11">
        <v>4</v>
      </c>
      <c r="U6" s="11">
        <v>4</v>
      </c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0" t="s">
        <v>24</v>
      </c>
      <c r="AI6" s="11"/>
      <c r="AJ6" s="11"/>
      <c r="AK6" s="11"/>
      <c r="AL6" s="11"/>
      <c r="AM6" s="11">
        <v>2</v>
      </c>
      <c r="AN6" s="11"/>
      <c r="AO6" s="11"/>
      <c r="AP6" s="11"/>
      <c r="AQ6" s="11"/>
      <c r="AR6" s="11"/>
      <c r="AS6" s="11">
        <v>20</v>
      </c>
      <c r="AT6" s="11"/>
      <c r="AU6" s="11"/>
      <c r="AV6" s="11">
        <v>6</v>
      </c>
      <c r="AW6" s="11"/>
      <c r="AX6" s="11"/>
      <c r="AY6" s="11"/>
      <c r="AZ6" s="11"/>
      <c r="BA6" s="11"/>
      <c r="BB6" s="11"/>
      <c r="BC6" s="11"/>
      <c r="BD6" s="11"/>
      <c r="BJ6" s="1">
        <v>2</v>
      </c>
      <c r="BN6" s="15"/>
      <c r="BP6" s="10" t="s">
        <v>51</v>
      </c>
      <c r="BR6" s="1">
        <v>20.5</v>
      </c>
      <c r="BS6" s="15">
        <v>30</v>
      </c>
      <c r="BV6" s="1">
        <v>2</v>
      </c>
      <c r="BW6" s="1">
        <v>20</v>
      </c>
      <c r="BX6" s="1">
        <v>40</v>
      </c>
      <c r="CA6" s="10" t="s">
        <v>57</v>
      </c>
      <c r="CC6" s="3"/>
      <c r="CD6" s="12" t="str">
        <f>IFERROR(VLOOKUP(C6,[2]Sheet1!$F$2:$G$65,2,FALSE)*1,"")</f>
        <v/>
      </c>
      <c r="CE6" s="12"/>
    </row>
    <row r="7" spans="1:83" s="1" customFormat="1" ht="17" customHeight="1">
      <c r="A7" s="15">
        <v>6</v>
      </c>
      <c r="B7" s="15">
        <v>2022202506</v>
      </c>
      <c r="C7" s="15" t="s">
        <v>461</v>
      </c>
      <c r="D7" s="15" t="s">
        <v>457</v>
      </c>
      <c r="E7" s="15">
        <f t="shared" si="0"/>
        <v>15</v>
      </c>
      <c r="F7" s="3">
        <f t="shared" si="1"/>
        <v>6</v>
      </c>
      <c r="G7" s="15"/>
      <c r="H7" s="15"/>
      <c r="I7" s="15"/>
      <c r="J7" s="15"/>
      <c r="K7" s="15"/>
      <c r="L7" s="15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0" t="s">
        <v>24</v>
      </c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>
        <v>1</v>
      </c>
      <c r="AY7" s="11"/>
      <c r="AZ7" s="11"/>
      <c r="BA7" s="11"/>
      <c r="BB7" s="11"/>
      <c r="BC7" s="11"/>
      <c r="BD7" s="11"/>
      <c r="BJ7" s="1">
        <v>2</v>
      </c>
      <c r="BN7" s="15"/>
      <c r="BP7" s="10" t="s">
        <v>51</v>
      </c>
      <c r="BS7" s="15"/>
      <c r="CA7" s="10" t="s">
        <v>57</v>
      </c>
      <c r="CB7" s="12">
        <v>1</v>
      </c>
      <c r="CC7" s="3">
        <v>3</v>
      </c>
      <c r="CD7" s="12">
        <v>8</v>
      </c>
      <c r="CE7" s="12">
        <v>10</v>
      </c>
    </row>
    <row r="8" spans="1:83" s="1" customFormat="1" ht="17" customHeight="1">
      <c r="A8" s="15">
        <v>7</v>
      </c>
      <c r="B8" s="15">
        <v>2022202507</v>
      </c>
      <c r="C8" s="15" t="s">
        <v>462</v>
      </c>
      <c r="D8" s="15" t="s">
        <v>457</v>
      </c>
      <c r="E8" s="15">
        <f t="shared" si="0"/>
        <v>115</v>
      </c>
      <c r="F8" s="3">
        <f t="shared" si="1"/>
        <v>14</v>
      </c>
      <c r="G8" s="15">
        <v>2</v>
      </c>
      <c r="H8" s="15"/>
      <c r="I8" s="15">
        <v>6</v>
      </c>
      <c r="J8" s="15"/>
      <c r="K8" s="15"/>
      <c r="L8" s="15">
        <v>6</v>
      </c>
      <c r="M8" s="11"/>
      <c r="N8" s="11"/>
      <c r="O8" s="11"/>
      <c r="P8" s="11">
        <v>6</v>
      </c>
      <c r="Q8" s="11"/>
      <c r="R8" s="11">
        <v>1</v>
      </c>
      <c r="S8" s="11"/>
      <c r="T8" s="11">
        <v>4</v>
      </c>
      <c r="U8" s="11">
        <v>4</v>
      </c>
      <c r="V8" s="11"/>
      <c r="W8" s="11"/>
      <c r="X8" s="11"/>
      <c r="Y8" s="11">
        <v>16</v>
      </c>
      <c r="Z8" s="11">
        <v>34</v>
      </c>
      <c r="AA8" s="11"/>
      <c r="AB8" s="11"/>
      <c r="AC8" s="11"/>
      <c r="AD8" s="11"/>
      <c r="AE8" s="11"/>
      <c r="AF8" s="11"/>
      <c r="AG8" s="11"/>
      <c r="AH8" s="10" t="s">
        <v>24</v>
      </c>
      <c r="AI8" s="11">
        <v>12</v>
      </c>
      <c r="AJ8" s="11"/>
      <c r="AK8" s="11"/>
      <c r="AL8" s="11"/>
      <c r="AM8" s="11"/>
      <c r="AN8" s="11"/>
      <c r="AO8" s="11"/>
      <c r="AP8" s="11">
        <v>16</v>
      </c>
      <c r="AQ8" s="11">
        <v>4</v>
      </c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J8" s="1">
        <v>2</v>
      </c>
      <c r="BN8" s="15"/>
      <c r="BP8" s="10" t="s">
        <v>51</v>
      </c>
      <c r="BS8" s="15"/>
      <c r="BV8" s="1">
        <v>2</v>
      </c>
      <c r="CA8" s="10" t="s">
        <v>57</v>
      </c>
      <c r="CC8" s="3"/>
      <c r="CD8" s="12" t="str">
        <f>IFERROR(VLOOKUP(C8,[2]Sheet1!$F$2:$G$65,2,FALSE)*1,"")</f>
        <v/>
      </c>
      <c r="CE8" s="12"/>
    </row>
    <row r="9" spans="1:83" s="1" customFormat="1" ht="17" customHeight="1">
      <c r="A9" s="15">
        <v>8</v>
      </c>
      <c r="B9" s="15">
        <v>2022202508</v>
      </c>
      <c r="C9" s="15" t="s">
        <v>463</v>
      </c>
      <c r="D9" s="15" t="s">
        <v>457</v>
      </c>
      <c r="E9" s="15">
        <f t="shared" si="0"/>
        <v>161</v>
      </c>
      <c r="F9" s="3">
        <f t="shared" si="1"/>
        <v>13</v>
      </c>
      <c r="G9" s="15"/>
      <c r="H9" s="15"/>
      <c r="I9" s="15">
        <v>6</v>
      </c>
      <c r="J9" s="15"/>
      <c r="K9" s="15"/>
      <c r="L9" s="15">
        <v>6</v>
      </c>
      <c r="M9" s="11">
        <v>6</v>
      </c>
      <c r="N9" s="11"/>
      <c r="O9" s="11"/>
      <c r="P9" s="11"/>
      <c r="Q9" s="11"/>
      <c r="R9" s="11">
        <v>1</v>
      </c>
      <c r="S9" s="11"/>
      <c r="T9" s="11">
        <v>4</v>
      </c>
      <c r="U9" s="11">
        <v>4</v>
      </c>
      <c r="V9" s="11">
        <v>4</v>
      </c>
      <c r="W9" s="11"/>
      <c r="X9" s="11"/>
      <c r="Y9" s="11">
        <v>16</v>
      </c>
      <c r="Z9" s="11"/>
      <c r="AA9" s="11"/>
      <c r="AB9" s="11"/>
      <c r="AC9" s="11"/>
      <c r="AD9" s="11"/>
      <c r="AE9" s="11"/>
      <c r="AF9" s="11"/>
      <c r="AG9" s="11"/>
      <c r="AH9" s="10" t="s">
        <v>24</v>
      </c>
      <c r="AI9" s="11">
        <v>6</v>
      </c>
      <c r="AJ9" s="11"/>
      <c r="AK9" s="11"/>
      <c r="AL9" s="11"/>
      <c r="AM9" s="11"/>
      <c r="AN9" s="11"/>
      <c r="AO9" s="11"/>
      <c r="AP9" s="11">
        <v>16</v>
      </c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>
        <v>84</v>
      </c>
      <c r="BC9" s="11"/>
      <c r="BD9" s="11"/>
      <c r="BJ9" s="1">
        <v>4</v>
      </c>
      <c r="BN9" s="15"/>
      <c r="BP9" s="10" t="s">
        <v>51</v>
      </c>
      <c r="BS9" s="15"/>
      <c r="BV9" s="1">
        <v>4</v>
      </c>
      <c r="CA9" s="10" t="s">
        <v>57</v>
      </c>
      <c r="CC9" s="3"/>
      <c r="CD9" s="12" t="str">
        <f>IFERROR(VLOOKUP(C9,[2]Sheet1!$F$2:$G$65,2,FALSE)*1,"")</f>
        <v/>
      </c>
      <c r="CE9" s="12"/>
    </row>
    <row r="10" spans="1:83" s="1" customFormat="1" ht="17" customHeight="1">
      <c r="A10" s="15">
        <v>9</v>
      </c>
      <c r="B10" s="15">
        <v>2022202509</v>
      </c>
      <c r="C10" s="15" t="s">
        <v>443</v>
      </c>
      <c r="D10" s="15" t="s">
        <v>457</v>
      </c>
      <c r="E10" s="15">
        <f t="shared" si="0"/>
        <v>327.5</v>
      </c>
      <c r="F10" s="3">
        <f t="shared" si="1"/>
        <v>31</v>
      </c>
      <c r="G10" s="15">
        <v>1</v>
      </c>
      <c r="H10" s="15"/>
      <c r="I10" s="15"/>
      <c r="J10" s="15"/>
      <c r="K10" s="15"/>
      <c r="L10" s="15"/>
      <c r="M10" s="11"/>
      <c r="N10" s="11"/>
      <c r="O10" s="11">
        <v>4</v>
      </c>
      <c r="P10" s="11"/>
      <c r="Q10" s="11"/>
      <c r="R10" s="11">
        <v>3</v>
      </c>
      <c r="S10" s="11">
        <v>84</v>
      </c>
      <c r="T10" s="11">
        <v>4</v>
      </c>
      <c r="U10" s="11">
        <v>4</v>
      </c>
      <c r="V10" s="11"/>
      <c r="W10" s="11"/>
      <c r="X10" s="11">
        <v>4</v>
      </c>
      <c r="Y10" s="11"/>
      <c r="Z10" s="11">
        <v>4</v>
      </c>
      <c r="AA10" s="11"/>
      <c r="AB10" s="11"/>
      <c r="AC10" s="11">
        <v>4</v>
      </c>
      <c r="AD10" s="11"/>
      <c r="AE10" s="11"/>
      <c r="AF10" s="11">
        <v>4</v>
      </c>
      <c r="AG10" s="11">
        <v>4</v>
      </c>
      <c r="AH10" s="10" t="s">
        <v>24</v>
      </c>
      <c r="AI10" s="11">
        <v>9</v>
      </c>
      <c r="AJ10" s="11">
        <v>0.5</v>
      </c>
      <c r="AK10" s="11"/>
      <c r="AL10" s="11"/>
      <c r="AM10" s="11">
        <v>2</v>
      </c>
      <c r="AN10" s="11"/>
      <c r="AO10" s="11"/>
      <c r="AP10" s="11"/>
      <c r="AQ10" s="11"/>
      <c r="AR10" s="11">
        <v>3</v>
      </c>
      <c r="AS10" s="11"/>
      <c r="AT10" s="11"/>
      <c r="AU10" s="11">
        <v>7</v>
      </c>
      <c r="AV10" s="11"/>
      <c r="AW10" s="11">
        <v>10</v>
      </c>
      <c r="AX10" s="11"/>
      <c r="AY10" s="11"/>
      <c r="AZ10" s="11">
        <v>3</v>
      </c>
      <c r="BA10" s="11"/>
      <c r="BB10" s="11"/>
      <c r="BC10" s="11">
        <v>9</v>
      </c>
      <c r="BD10" s="11"/>
      <c r="BE10" s="1">
        <v>4</v>
      </c>
      <c r="BM10" s="1">
        <v>4</v>
      </c>
      <c r="BN10" s="15">
        <v>50</v>
      </c>
      <c r="BO10" s="1">
        <v>8</v>
      </c>
      <c r="BP10" s="10" t="s">
        <v>51</v>
      </c>
      <c r="BQ10" s="1">
        <v>12</v>
      </c>
      <c r="BS10" s="15">
        <v>50</v>
      </c>
      <c r="BT10" s="1">
        <v>4</v>
      </c>
      <c r="BV10" s="1">
        <v>4</v>
      </c>
      <c r="BW10" s="1">
        <v>4</v>
      </c>
      <c r="BX10" s="1">
        <v>12</v>
      </c>
      <c r="BY10" s="1">
        <v>8</v>
      </c>
      <c r="BZ10" s="1">
        <v>4</v>
      </c>
      <c r="CA10" s="10" t="s">
        <v>57</v>
      </c>
      <c r="CC10" s="3"/>
      <c r="CD10" s="12" t="str">
        <f>IFERROR(VLOOKUP(C10,[2]Sheet1!$F$2:$G$65,2,FALSE)*1,"")</f>
        <v/>
      </c>
      <c r="CE10" s="12"/>
    </row>
    <row r="11" spans="1:83" s="1" customFormat="1" ht="17" customHeight="1">
      <c r="A11" s="15">
        <v>10</v>
      </c>
      <c r="B11" s="15">
        <v>2022202510</v>
      </c>
      <c r="C11" s="15" t="s">
        <v>464</v>
      </c>
      <c r="D11" s="15" t="s">
        <v>457</v>
      </c>
      <c r="E11" s="15">
        <f t="shared" si="0"/>
        <v>32</v>
      </c>
      <c r="F11" s="3">
        <f t="shared" si="1"/>
        <v>8</v>
      </c>
      <c r="G11" s="15"/>
      <c r="H11" s="15"/>
      <c r="I11" s="15">
        <v>6</v>
      </c>
      <c r="J11" s="15"/>
      <c r="K11" s="15"/>
      <c r="L11" s="15"/>
      <c r="M11" s="11"/>
      <c r="N11" s="11">
        <v>3</v>
      </c>
      <c r="O11" s="11"/>
      <c r="P11" s="11"/>
      <c r="Q11" s="11"/>
      <c r="R11" s="11"/>
      <c r="S11" s="11"/>
      <c r="T11" s="11">
        <v>4</v>
      </c>
      <c r="U11" s="11"/>
      <c r="V11" s="11">
        <v>2</v>
      </c>
      <c r="W11" s="11"/>
      <c r="X11" s="11"/>
      <c r="Y11" s="11">
        <v>8</v>
      </c>
      <c r="Z11" s="11"/>
      <c r="AA11" s="11"/>
      <c r="AB11" s="11"/>
      <c r="AC11" s="11"/>
      <c r="AD11" s="11"/>
      <c r="AE11" s="11"/>
      <c r="AF11" s="11"/>
      <c r="AG11" s="11"/>
      <c r="AH11" s="10" t="s">
        <v>24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>
        <v>3</v>
      </c>
      <c r="BA11" s="11"/>
      <c r="BB11" s="11"/>
      <c r="BC11" s="11"/>
      <c r="BD11" s="11"/>
      <c r="BJ11" s="1">
        <v>2</v>
      </c>
      <c r="BN11" s="15">
        <v>4</v>
      </c>
      <c r="BP11" s="10" t="s">
        <v>51</v>
      </c>
      <c r="BS11" s="15"/>
      <c r="CA11" s="10" t="s">
        <v>57</v>
      </c>
      <c r="CC11" s="3"/>
      <c r="CD11" s="12" t="str">
        <f>IFERROR(VLOOKUP(C11,[2]Sheet1!$F$2:$G$65,2,FALSE)*1,"")</f>
        <v/>
      </c>
      <c r="CE11" s="12"/>
    </row>
    <row r="12" spans="1:83" s="1" customFormat="1" ht="17" customHeight="1">
      <c r="A12" s="15">
        <v>11</v>
      </c>
      <c r="B12" s="15">
        <v>2022202511</v>
      </c>
      <c r="C12" s="15" t="s">
        <v>465</v>
      </c>
      <c r="D12" s="15" t="s">
        <v>457</v>
      </c>
      <c r="E12" s="15">
        <f t="shared" si="0"/>
        <v>80.5</v>
      </c>
      <c r="F12" s="3">
        <f t="shared" si="1"/>
        <v>13</v>
      </c>
      <c r="G12" s="15"/>
      <c r="H12" s="15"/>
      <c r="I12" s="15"/>
      <c r="J12" s="15"/>
      <c r="K12" s="15"/>
      <c r="L12" s="15"/>
      <c r="M12" s="11"/>
      <c r="N12" s="11"/>
      <c r="O12" s="11"/>
      <c r="P12" s="11"/>
      <c r="Q12" s="11"/>
      <c r="R12" s="11"/>
      <c r="S12" s="11"/>
      <c r="T12" s="11">
        <v>4</v>
      </c>
      <c r="U12" s="11">
        <v>4</v>
      </c>
      <c r="V12" s="11"/>
      <c r="W12" s="11">
        <v>4</v>
      </c>
      <c r="X12" s="11"/>
      <c r="Y12" s="11">
        <v>16</v>
      </c>
      <c r="Z12" s="11"/>
      <c r="AA12" s="11"/>
      <c r="AB12" s="11">
        <v>8</v>
      </c>
      <c r="AC12" s="11"/>
      <c r="AD12" s="11"/>
      <c r="AE12" s="11"/>
      <c r="AF12" s="11"/>
      <c r="AG12" s="11"/>
      <c r="AH12" s="10" t="s">
        <v>24</v>
      </c>
      <c r="AI12" s="11"/>
      <c r="AJ12" s="11"/>
      <c r="AK12" s="11"/>
      <c r="AL12" s="11">
        <v>20.5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>
        <v>1</v>
      </c>
      <c r="AY12" s="11"/>
      <c r="AZ12" s="11"/>
      <c r="BA12" s="11"/>
      <c r="BB12" s="11"/>
      <c r="BC12" s="11"/>
      <c r="BD12" s="11">
        <v>4</v>
      </c>
      <c r="BH12" s="1">
        <v>1</v>
      </c>
      <c r="BJ12" s="1">
        <v>2</v>
      </c>
      <c r="BN12" s="15"/>
      <c r="BP12" s="10" t="s">
        <v>51</v>
      </c>
      <c r="BS12" s="15"/>
      <c r="BT12" s="1">
        <v>4</v>
      </c>
      <c r="BU12" s="1">
        <v>10</v>
      </c>
      <c r="BV12" s="1">
        <v>2</v>
      </c>
      <c r="CA12" s="10" t="s">
        <v>57</v>
      </c>
      <c r="CC12" s="3"/>
      <c r="CD12" s="12" t="str">
        <f>IFERROR(VLOOKUP(C12,[2]Sheet1!$F$2:$G$65,2,FALSE)*1,"")</f>
        <v/>
      </c>
      <c r="CE12" s="12"/>
    </row>
    <row r="13" spans="1:83" s="1" customFormat="1" ht="17" customHeight="1">
      <c r="A13" s="15">
        <v>12</v>
      </c>
      <c r="B13" s="15">
        <v>2022202512</v>
      </c>
      <c r="C13" s="15" t="s">
        <v>466</v>
      </c>
      <c r="D13" s="15" t="s">
        <v>457</v>
      </c>
      <c r="E13" s="15">
        <f t="shared" si="0"/>
        <v>37</v>
      </c>
      <c r="F13" s="3">
        <f t="shared" si="1"/>
        <v>4</v>
      </c>
      <c r="G13" s="15"/>
      <c r="H13" s="15">
        <v>6</v>
      </c>
      <c r="I13" s="15"/>
      <c r="J13" s="15"/>
      <c r="K13" s="15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>
        <v>16</v>
      </c>
      <c r="Z13" s="11"/>
      <c r="AA13" s="11"/>
      <c r="AB13" s="11"/>
      <c r="AC13" s="11"/>
      <c r="AD13" s="11"/>
      <c r="AE13" s="11"/>
      <c r="AF13" s="11"/>
      <c r="AG13" s="11">
        <v>4</v>
      </c>
      <c r="AH13" s="10" t="s">
        <v>24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>
        <v>11</v>
      </c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N13" s="15"/>
      <c r="BP13" s="10" t="s">
        <v>51</v>
      </c>
      <c r="BS13" s="15"/>
      <c r="CA13" s="10" t="s">
        <v>57</v>
      </c>
      <c r="CC13" s="3"/>
      <c r="CD13" s="12" t="str">
        <f>IFERROR(VLOOKUP(C13,[2]Sheet1!$F$2:$G$65,2,FALSE)*1,"")</f>
        <v/>
      </c>
      <c r="CE13" s="12"/>
    </row>
    <row r="14" spans="1:83" s="1" customFormat="1" ht="17" customHeight="1">
      <c r="A14" s="15">
        <v>13</v>
      </c>
      <c r="B14" s="15">
        <v>2022202513</v>
      </c>
      <c r="C14" s="15" t="s">
        <v>467</v>
      </c>
      <c r="D14" s="15" t="s">
        <v>457</v>
      </c>
      <c r="E14" s="15">
        <f t="shared" si="0"/>
        <v>85</v>
      </c>
      <c r="F14" s="3">
        <f t="shared" si="1"/>
        <v>10</v>
      </c>
      <c r="G14" s="15"/>
      <c r="H14" s="15"/>
      <c r="I14" s="15"/>
      <c r="J14" s="15"/>
      <c r="K14" s="15"/>
      <c r="L14" s="15"/>
      <c r="M14" s="11"/>
      <c r="N14" s="11"/>
      <c r="O14" s="11"/>
      <c r="P14" s="11"/>
      <c r="Q14" s="11"/>
      <c r="R14" s="11"/>
      <c r="S14" s="11"/>
      <c r="T14" s="11">
        <v>4</v>
      </c>
      <c r="U14" s="11"/>
      <c r="V14" s="11"/>
      <c r="W14" s="11"/>
      <c r="X14" s="11"/>
      <c r="Y14" s="11"/>
      <c r="Z14" s="11"/>
      <c r="AA14" s="11"/>
      <c r="AB14" s="11">
        <v>6</v>
      </c>
      <c r="AC14" s="11"/>
      <c r="AD14" s="11"/>
      <c r="AE14" s="11"/>
      <c r="AF14" s="11"/>
      <c r="AG14" s="11"/>
      <c r="AH14" s="10" t="s">
        <v>24</v>
      </c>
      <c r="AI14" s="11">
        <v>7</v>
      </c>
      <c r="AJ14" s="11"/>
      <c r="AK14" s="11"/>
      <c r="AL14" s="11">
        <v>22</v>
      </c>
      <c r="AM14" s="11"/>
      <c r="AN14" s="11"/>
      <c r="AO14" s="11"/>
      <c r="AP14" s="11"/>
      <c r="AQ14" s="11"/>
      <c r="AR14" s="11">
        <v>4</v>
      </c>
      <c r="AS14" s="11"/>
      <c r="AT14" s="11"/>
      <c r="AU14" s="11"/>
      <c r="AV14" s="11"/>
      <c r="AW14" s="11"/>
      <c r="AX14" s="11">
        <v>1</v>
      </c>
      <c r="AY14" s="11"/>
      <c r="AZ14" s="11"/>
      <c r="BA14" s="11">
        <v>4</v>
      </c>
      <c r="BB14" s="11"/>
      <c r="BC14" s="11"/>
      <c r="BD14" s="11">
        <v>4</v>
      </c>
      <c r="BN14" s="15"/>
      <c r="BP14" s="10" t="s">
        <v>51</v>
      </c>
      <c r="BS14" s="15"/>
      <c r="BT14" s="1">
        <v>4</v>
      </c>
      <c r="BW14" s="1">
        <v>29</v>
      </c>
      <c r="CA14" s="10" t="s">
        <v>57</v>
      </c>
      <c r="CC14" s="3"/>
      <c r="CD14" s="12" t="str">
        <f>IFERROR(VLOOKUP(C14,[2]Sheet1!$F$2:$G$65,2,FALSE)*1,"")</f>
        <v/>
      </c>
      <c r="CE14" s="12"/>
    </row>
    <row r="15" spans="1:83" s="1" customFormat="1" ht="17" customHeight="1">
      <c r="A15" s="15">
        <v>14</v>
      </c>
      <c r="B15" s="15">
        <v>2022202514</v>
      </c>
      <c r="C15" s="15" t="s">
        <v>468</v>
      </c>
      <c r="D15" s="15" t="s">
        <v>457</v>
      </c>
      <c r="E15" s="15">
        <f t="shared" si="0"/>
        <v>58</v>
      </c>
      <c r="F15" s="3">
        <f t="shared" si="1"/>
        <v>6</v>
      </c>
      <c r="G15" s="15"/>
      <c r="H15" s="15">
        <v>6</v>
      </c>
      <c r="I15" s="15"/>
      <c r="J15" s="15"/>
      <c r="K15" s="15"/>
      <c r="L15" s="15"/>
      <c r="M15" s="11"/>
      <c r="N15" s="11"/>
      <c r="O15" s="11"/>
      <c r="P15" s="11"/>
      <c r="Q15" s="11"/>
      <c r="R15" s="11"/>
      <c r="S15" s="11"/>
      <c r="T15" s="11">
        <v>4</v>
      </c>
      <c r="U15" s="11"/>
      <c r="V15" s="11">
        <v>2</v>
      </c>
      <c r="W15" s="11"/>
      <c r="X15" s="11"/>
      <c r="Y15" s="11">
        <v>16</v>
      </c>
      <c r="Z15" s="11"/>
      <c r="AA15" s="11"/>
      <c r="AB15" s="11"/>
      <c r="AC15" s="11"/>
      <c r="AD15" s="11"/>
      <c r="AE15" s="11"/>
      <c r="AF15" s="11"/>
      <c r="AG15" s="11"/>
      <c r="AH15" s="10" t="s">
        <v>24</v>
      </c>
      <c r="AI15" s="11">
        <v>10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>
        <v>20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N15" s="15"/>
      <c r="BP15" s="10" t="s">
        <v>51</v>
      </c>
      <c r="BS15" s="15"/>
      <c r="CA15" s="10" t="s">
        <v>57</v>
      </c>
      <c r="CC15" s="3"/>
      <c r="CD15" s="12" t="str">
        <f>IFERROR(VLOOKUP(C15,[2]Sheet1!$F$2:$G$65,2,FALSE)*1,"")</f>
        <v/>
      </c>
      <c r="CE15" s="12"/>
    </row>
    <row r="16" spans="1:83" s="1" customFormat="1" ht="17" customHeight="1">
      <c r="A16" s="15">
        <v>15</v>
      </c>
      <c r="B16" s="15">
        <v>2022202515</v>
      </c>
      <c r="C16" s="15" t="s">
        <v>469</v>
      </c>
      <c r="D16" s="15" t="s">
        <v>457</v>
      </c>
      <c r="E16" s="15">
        <f t="shared" si="0"/>
        <v>42</v>
      </c>
      <c r="F16" s="3">
        <f t="shared" si="1"/>
        <v>9</v>
      </c>
      <c r="G16" s="15"/>
      <c r="H16" s="15">
        <v>4</v>
      </c>
      <c r="I16" s="15"/>
      <c r="J16" s="15"/>
      <c r="K16" s="15"/>
      <c r="L16" s="15"/>
      <c r="M16" s="11"/>
      <c r="N16" s="11"/>
      <c r="O16" s="11"/>
      <c r="P16" s="11"/>
      <c r="Q16" s="11"/>
      <c r="R16" s="11"/>
      <c r="S16" s="11"/>
      <c r="T16" s="11">
        <v>4</v>
      </c>
      <c r="U16" s="11">
        <v>4</v>
      </c>
      <c r="V16" s="11">
        <v>2</v>
      </c>
      <c r="W16" s="11"/>
      <c r="X16" s="11"/>
      <c r="Y16" s="11"/>
      <c r="Z16" s="11"/>
      <c r="AA16" s="11"/>
      <c r="AB16" s="11"/>
      <c r="AC16" s="11"/>
      <c r="AD16" s="11">
        <v>16</v>
      </c>
      <c r="AE16" s="11"/>
      <c r="AF16" s="11"/>
      <c r="AG16" s="11">
        <v>4</v>
      </c>
      <c r="AH16" s="10" t="s">
        <v>24</v>
      </c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">
        <v>4</v>
      </c>
      <c r="BJ16" s="1">
        <v>2</v>
      </c>
      <c r="BN16" s="15"/>
      <c r="BP16" s="10" t="s">
        <v>51</v>
      </c>
      <c r="BS16" s="15"/>
      <c r="BV16" s="1">
        <v>2</v>
      </c>
      <c r="CA16" s="10" t="s">
        <v>57</v>
      </c>
      <c r="CC16" s="3"/>
      <c r="CD16" s="12" t="str">
        <f>IFERROR(VLOOKUP(C16,[2]Sheet1!$F$2:$G$65,2,FALSE)*1,"")</f>
        <v/>
      </c>
      <c r="CE16" s="12"/>
    </row>
    <row r="17" spans="1:83" s="1" customFormat="1" ht="17" customHeight="1">
      <c r="A17" s="15">
        <v>16</v>
      </c>
      <c r="B17" s="15">
        <v>2022202516</v>
      </c>
      <c r="C17" s="15" t="s">
        <v>470</v>
      </c>
      <c r="D17" s="15" t="s">
        <v>457</v>
      </c>
      <c r="E17" s="15">
        <f t="shared" si="0"/>
        <v>32.5</v>
      </c>
      <c r="F17" s="3">
        <f t="shared" si="1"/>
        <v>9</v>
      </c>
      <c r="G17" s="15"/>
      <c r="H17" s="15"/>
      <c r="I17" s="15">
        <v>6</v>
      </c>
      <c r="J17" s="15"/>
      <c r="K17" s="15"/>
      <c r="L17" s="15">
        <v>6</v>
      </c>
      <c r="M17" s="11"/>
      <c r="N17" s="11"/>
      <c r="O17" s="11"/>
      <c r="P17" s="11">
        <v>7</v>
      </c>
      <c r="Q17" s="11"/>
      <c r="R17" s="11">
        <v>1</v>
      </c>
      <c r="S17" s="11"/>
      <c r="T17" s="11">
        <v>4</v>
      </c>
      <c r="U17" s="11"/>
      <c r="V17" s="11">
        <v>2</v>
      </c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0" t="s">
        <v>24</v>
      </c>
      <c r="AI17" s="11"/>
      <c r="AJ17" s="11">
        <v>0.5</v>
      </c>
      <c r="AK17" s="11"/>
      <c r="AL17" s="11"/>
      <c r="AM17" s="11"/>
      <c r="AN17" s="11"/>
      <c r="AO17" s="11"/>
      <c r="AP17" s="11"/>
      <c r="AQ17" s="11">
        <v>4</v>
      </c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J17" s="1">
        <v>2</v>
      </c>
      <c r="BN17" s="15"/>
      <c r="BP17" s="10" t="s">
        <v>51</v>
      </c>
      <c r="BS17" s="15"/>
      <c r="CA17" s="10" t="s">
        <v>57</v>
      </c>
      <c r="CC17" s="3"/>
      <c r="CD17" s="12" t="str">
        <f>IFERROR(VLOOKUP(C17,[2]Sheet1!$F$2:$G$65,2,FALSE)*1,"")</f>
        <v/>
      </c>
      <c r="CE17" s="12"/>
    </row>
    <row r="18" spans="1:83" s="1" customFormat="1" ht="17" customHeight="1">
      <c r="A18" s="15">
        <v>17</v>
      </c>
      <c r="B18" s="15">
        <v>2022202517</v>
      </c>
      <c r="C18" s="15" t="s">
        <v>471</v>
      </c>
      <c r="D18" s="15" t="s">
        <v>457</v>
      </c>
      <c r="E18" s="15">
        <f t="shared" si="0"/>
        <v>22</v>
      </c>
      <c r="F18" s="3">
        <f t="shared" si="1"/>
        <v>4</v>
      </c>
      <c r="G18" s="15"/>
      <c r="H18" s="15"/>
      <c r="I18" s="15"/>
      <c r="J18" s="15"/>
      <c r="K18" s="15"/>
      <c r="L18" s="15"/>
      <c r="M18" s="11"/>
      <c r="N18" s="11"/>
      <c r="O18" s="11"/>
      <c r="P18" s="11"/>
      <c r="Q18" s="11"/>
      <c r="R18" s="11"/>
      <c r="S18" s="11"/>
      <c r="T18" s="11">
        <v>4</v>
      </c>
      <c r="U18" s="11"/>
      <c r="V18" s="11"/>
      <c r="W18" s="11"/>
      <c r="X18" s="11"/>
      <c r="Y18" s="11"/>
      <c r="Z18" s="11"/>
      <c r="AA18" s="11">
        <v>4</v>
      </c>
      <c r="AB18" s="11"/>
      <c r="AC18" s="11"/>
      <c r="AD18" s="11"/>
      <c r="AE18" s="11"/>
      <c r="AF18" s="11"/>
      <c r="AG18" s="11">
        <v>4</v>
      </c>
      <c r="AH18" s="10" t="s">
        <v>24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L18" s="1">
        <v>10</v>
      </c>
      <c r="BN18" s="15"/>
      <c r="BP18" s="10" t="s">
        <v>51</v>
      </c>
      <c r="BS18" s="15"/>
      <c r="CA18" s="10" t="s">
        <v>57</v>
      </c>
      <c r="CC18" s="3"/>
      <c r="CD18" s="12" t="str">
        <f>IFERROR(VLOOKUP(C18,[2]Sheet1!$F$2:$G$65,2,FALSE)*1,"")</f>
        <v/>
      </c>
      <c r="CE18" s="12"/>
    </row>
    <row r="19" spans="1:83" s="1" customFormat="1" ht="17" customHeight="1">
      <c r="A19" s="15">
        <v>18</v>
      </c>
      <c r="B19" s="15">
        <v>2022202518</v>
      </c>
      <c r="C19" s="15" t="s">
        <v>472</v>
      </c>
      <c r="D19" s="15" t="s">
        <v>457</v>
      </c>
      <c r="E19" s="15">
        <f t="shared" si="0"/>
        <v>30</v>
      </c>
      <c r="F19" s="3">
        <f t="shared" si="1"/>
        <v>8</v>
      </c>
      <c r="G19" s="15"/>
      <c r="H19" s="15">
        <v>4</v>
      </c>
      <c r="I19" s="15"/>
      <c r="J19" s="15"/>
      <c r="K19" s="15"/>
      <c r="L19" s="15"/>
      <c r="M19" s="11"/>
      <c r="N19" s="11"/>
      <c r="O19" s="11"/>
      <c r="P19" s="11"/>
      <c r="Q19" s="11"/>
      <c r="R19" s="11"/>
      <c r="S19" s="11"/>
      <c r="T19" s="11">
        <v>4</v>
      </c>
      <c r="U19" s="11"/>
      <c r="V19" s="11">
        <v>2</v>
      </c>
      <c r="W19" s="11"/>
      <c r="X19" s="11"/>
      <c r="Y19" s="11">
        <v>8</v>
      </c>
      <c r="Z19" s="11"/>
      <c r="AA19" s="11"/>
      <c r="AB19" s="11"/>
      <c r="AC19" s="11"/>
      <c r="AD19" s="11"/>
      <c r="AE19" s="11"/>
      <c r="AF19" s="11"/>
      <c r="AG19" s="11">
        <v>4</v>
      </c>
      <c r="AH19" s="10" t="s">
        <v>24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">
        <v>4</v>
      </c>
      <c r="BJ19" s="1">
        <v>2</v>
      </c>
      <c r="BN19" s="15"/>
      <c r="BP19" s="10" t="s">
        <v>51</v>
      </c>
      <c r="BS19" s="15"/>
      <c r="BV19" s="1">
        <v>2</v>
      </c>
      <c r="CA19" s="10" t="s">
        <v>57</v>
      </c>
      <c r="CC19" s="3"/>
      <c r="CD19" s="12" t="str">
        <f>IFERROR(VLOOKUP(C19,[2]Sheet1!$F$2:$G$65,2,FALSE)*1,"")</f>
        <v/>
      </c>
      <c r="CE19" s="12"/>
    </row>
    <row r="20" spans="1:83" s="1" customFormat="1" ht="17" customHeight="1">
      <c r="A20" s="15">
        <v>19</v>
      </c>
      <c r="B20" s="15">
        <v>2022202519</v>
      </c>
      <c r="C20" s="15" t="s">
        <v>473</v>
      </c>
      <c r="D20" s="15" t="s">
        <v>457</v>
      </c>
      <c r="E20" s="15">
        <f t="shared" si="0"/>
        <v>33</v>
      </c>
      <c r="F20" s="3">
        <f t="shared" si="1"/>
        <v>8</v>
      </c>
      <c r="G20" s="15"/>
      <c r="H20" s="15"/>
      <c r="I20" s="15"/>
      <c r="J20" s="15"/>
      <c r="K20" s="15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1">
        <v>2</v>
      </c>
      <c r="W20" s="11"/>
      <c r="X20" s="11"/>
      <c r="Y20" s="11">
        <v>8</v>
      </c>
      <c r="Z20" s="11"/>
      <c r="AA20" s="11"/>
      <c r="AB20" s="11"/>
      <c r="AC20" s="11"/>
      <c r="AD20" s="11"/>
      <c r="AE20" s="11"/>
      <c r="AF20" s="11"/>
      <c r="AG20" s="11"/>
      <c r="AH20" s="10" t="s">
        <v>24</v>
      </c>
      <c r="AI20" s="11">
        <v>10</v>
      </c>
      <c r="AJ20" s="11"/>
      <c r="AK20" s="11"/>
      <c r="AL20" s="11"/>
      <c r="AM20" s="11"/>
      <c r="AN20" s="11"/>
      <c r="AO20" s="11"/>
      <c r="AP20" s="11"/>
      <c r="AQ20" s="11"/>
      <c r="AR20" s="11">
        <v>5</v>
      </c>
      <c r="AS20" s="11"/>
      <c r="AT20" s="11"/>
      <c r="AU20" s="11"/>
      <c r="AV20" s="11"/>
      <c r="AW20" s="11"/>
      <c r="AX20" s="11">
        <v>1</v>
      </c>
      <c r="AY20" s="11"/>
      <c r="AZ20" s="11">
        <v>3</v>
      </c>
      <c r="BA20" s="11"/>
      <c r="BB20" s="11"/>
      <c r="BC20" s="11">
        <v>4</v>
      </c>
      <c r="BD20" s="11"/>
      <c r="BN20" s="15"/>
      <c r="BP20" s="10" t="s">
        <v>51</v>
      </c>
      <c r="BS20" s="15"/>
      <c r="CA20" s="10" t="s">
        <v>57</v>
      </c>
      <c r="CC20" s="3"/>
      <c r="CD20" s="12" t="str">
        <f>IFERROR(VLOOKUP(C20,[2]Sheet1!$F$2:$G$65,2,FALSE)*1,"")</f>
        <v/>
      </c>
      <c r="CE20" s="12">
        <v>4</v>
      </c>
    </row>
    <row r="21" spans="1:83" s="1" customFormat="1" ht="17" customHeight="1">
      <c r="A21" s="15">
        <v>20</v>
      </c>
      <c r="B21" s="15">
        <v>2022202520</v>
      </c>
      <c r="C21" s="15" t="s">
        <v>474</v>
      </c>
      <c r="D21" s="15" t="s">
        <v>457</v>
      </c>
      <c r="E21" s="15">
        <f t="shared" si="0"/>
        <v>103</v>
      </c>
      <c r="F21" s="3">
        <f t="shared" si="1"/>
        <v>12</v>
      </c>
      <c r="G21" s="15"/>
      <c r="H21" s="15"/>
      <c r="I21" s="15"/>
      <c r="J21" s="15"/>
      <c r="K21" s="15"/>
      <c r="L21" s="15"/>
      <c r="M21" s="11"/>
      <c r="N21" s="11"/>
      <c r="O21" s="11"/>
      <c r="P21" s="11"/>
      <c r="Q21" s="11"/>
      <c r="R21" s="11"/>
      <c r="S21" s="11"/>
      <c r="T21" s="11">
        <v>4</v>
      </c>
      <c r="U21" s="11"/>
      <c r="V21" s="11">
        <v>2</v>
      </c>
      <c r="W21" s="11"/>
      <c r="X21" s="11"/>
      <c r="Y21" s="11">
        <v>16</v>
      </c>
      <c r="Z21" s="11"/>
      <c r="AA21" s="11"/>
      <c r="AB21" s="11"/>
      <c r="AC21" s="11"/>
      <c r="AD21" s="11"/>
      <c r="AE21" s="11"/>
      <c r="AF21" s="11"/>
      <c r="AG21" s="11">
        <v>4</v>
      </c>
      <c r="AH21" s="10" t="s">
        <v>24</v>
      </c>
      <c r="AI21" s="11">
        <v>12</v>
      </c>
      <c r="AJ21" s="11"/>
      <c r="AK21" s="11">
        <v>16</v>
      </c>
      <c r="AL21" s="11"/>
      <c r="AM21" s="11"/>
      <c r="AN21" s="11"/>
      <c r="AO21" s="11"/>
      <c r="AP21" s="11">
        <v>16</v>
      </c>
      <c r="AQ21" s="11"/>
      <c r="AR21" s="11"/>
      <c r="AS21" s="11"/>
      <c r="AT21" s="11"/>
      <c r="AU21" s="11"/>
      <c r="AV21" s="11"/>
      <c r="AW21" s="11"/>
      <c r="AX21" s="11">
        <v>1</v>
      </c>
      <c r="AY21" s="11">
        <v>2</v>
      </c>
      <c r="AZ21" s="11"/>
      <c r="BA21" s="11"/>
      <c r="BB21" s="11"/>
      <c r="BC21" s="11"/>
      <c r="BD21" s="11">
        <v>4</v>
      </c>
      <c r="BJ21" s="1">
        <v>2</v>
      </c>
      <c r="BL21" s="1">
        <v>24</v>
      </c>
      <c r="BN21" s="15"/>
      <c r="BP21" s="10" t="s">
        <v>51</v>
      </c>
      <c r="BS21" s="15"/>
      <c r="CA21" s="10" t="s">
        <v>57</v>
      </c>
      <c r="CC21" s="3"/>
      <c r="CD21" s="12" t="str">
        <f>IFERROR(VLOOKUP(C21,[2]Sheet1!$F$2:$G$65,2,FALSE)*1,"")</f>
        <v/>
      </c>
      <c r="CE21" s="12"/>
    </row>
    <row r="22" spans="1:83" s="1" customFormat="1" ht="17" customHeight="1">
      <c r="A22" s="15">
        <v>21</v>
      </c>
      <c r="B22" s="15">
        <v>2022202521</v>
      </c>
      <c r="C22" s="15" t="s">
        <v>475</v>
      </c>
      <c r="D22" s="15" t="s">
        <v>457</v>
      </c>
      <c r="E22" s="15">
        <f t="shared" si="0"/>
        <v>290.5</v>
      </c>
      <c r="F22" s="3">
        <f t="shared" si="1"/>
        <v>23</v>
      </c>
      <c r="G22" s="15"/>
      <c r="H22" s="15">
        <v>4</v>
      </c>
      <c r="I22" s="15">
        <v>6</v>
      </c>
      <c r="J22" s="15"/>
      <c r="K22" s="15">
        <v>8</v>
      </c>
      <c r="L22" s="15"/>
      <c r="M22" s="11">
        <v>6</v>
      </c>
      <c r="N22" s="11"/>
      <c r="O22" s="11"/>
      <c r="P22" s="11"/>
      <c r="Q22" s="11">
        <v>8</v>
      </c>
      <c r="R22" s="11">
        <v>1</v>
      </c>
      <c r="S22" s="11">
        <v>106</v>
      </c>
      <c r="T22" s="11">
        <v>4</v>
      </c>
      <c r="U22" s="11">
        <v>4</v>
      </c>
      <c r="V22" s="11">
        <v>4</v>
      </c>
      <c r="W22" s="11"/>
      <c r="X22" s="11"/>
      <c r="Y22" s="11">
        <v>16</v>
      </c>
      <c r="Z22" s="11"/>
      <c r="AA22" s="11"/>
      <c r="AB22" s="11"/>
      <c r="AC22" s="11"/>
      <c r="AD22" s="11"/>
      <c r="AE22" s="11"/>
      <c r="AF22" s="11"/>
      <c r="AG22" s="11"/>
      <c r="AH22" s="10" t="s">
        <v>24</v>
      </c>
      <c r="AI22" s="11">
        <v>12</v>
      </c>
      <c r="AJ22" s="11">
        <v>0.5</v>
      </c>
      <c r="AK22" s="11">
        <v>24</v>
      </c>
      <c r="AL22" s="11">
        <v>46</v>
      </c>
      <c r="AM22" s="11"/>
      <c r="AN22" s="11">
        <v>5</v>
      </c>
      <c r="AO22" s="11"/>
      <c r="AP22" s="11">
        <v>16</v>
      </c>
      <c r="AQ22" s="11"/>
      <c r="AR22" s="11"/>
      <c r="AS22" s="11"/>
      <c r="AT22" s="11"/>
      <c r="AU22" s="11"/>
      <c r="AV22" s="11"/>
      <c r="AW22" s="11"/>
      <c r="AX22" s="11">
        <v>1</v>
      </c>
      <c r="AY22" s="11"/>
      <c r="AZ22" s="11"/>
      <c r="BA22" s="11"/>
      <c r="BB22" s="11"/>
      <c r="BC22" s="11">
        <v>3</v>
      </c>
      <c r="BD22" s="11"/>
      <c r="BI22" s="1">
        <v>4</v>
      </c>
      <c r="BJ22" s="1">
        <v>4</v>
      </c>
      <c r="BN22" s="15"/>
      <c r="BP22" s="10" t="s">
        <v>51</v>
      </c>
      <c r="BS22" s="15"/>
      <c r="BT22" s="1">
        <v>4</v>
      </c>
      <c r="BV22" s="1">
        <v>4</v>
      </c>
      <c r="CA22" s="10" t="s">
        <v>57</v>
      </c>
      <c r="CC22" s="3"/>
      <c r="CD22" s="12" t="str">
        <f>IFERROR(VLOOKUP(C22,[2]Sheet1!$F$2:$G$65,2,FALSE)*1,"")</f>
        <v/>
      </c>
      <c r="CE22" s="12"/>
    </row>
    <row r="23" spans="1:83" s="1" customFormat="1" ht="17" customHeight="1">
      <c r="A23" s="15">
        <v>22</v>
      </c>
      <c r="B23" s="15">
        <v>2022202522</v>
      </c>
      <c r="C23" s="15" t="s">
        <v>476</v>
      </c>
      <c r="D23" s="15" t="s">
        <v>457</v>
      </c>
      <c r="E23" s="15">
        <f t="shared" si="0"/>
        <v>61</v>
      </c>
      <c r="F23" s="3">
        <f t="shared" si="1"/>
        <v>8</v>
      </c>
      <c r="G23" s="15">
        <v>30</v>
      </c>
      <c r="H23" s="15"/>
      <c r="I23" s="15"/>
      <c r="J23" s="15">
        <v>8</v>
      </c>
      <c r="K23" s="15"/>
      <c r="L23" s="15"/>
      <c r="M23" s="11"/>
      <c r="N23" s="11"/>
      <c r="O23" s="11"/>
      <c r="P23" s="11"/>
      <c r="Q23" s="11"/>
      <c r="R23" s="11"/>
      <c r="S23" s="11"/>
      <c r="T23" s="11">
        <v>4</v>
      </c>
      <c r="U23" s="11">
        <v>4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>
        <v>4</v>
      </c>
      <c r="AH23" s="10" t="s">
        <v>24</v>
      </c>
      <c r="AI23" s="11"/>
      <c r="AJ23" s="11"/>
      <c r="AK23" s="11"/>
      <c r="AL23" s="11">
        <v>4</v>
      </c>
      <c r="AM23" s="11"/>
      <c r="AN23" s="11"/>
      <c r="AO23" s="11">
        <v>3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">
        <v>4</v>
      </c>
      <c r="BN23" s="15"/>
      <c r="BP23" s="10" t="s">
        <v>51</v>
      </c>
      <c r="BS23" s="15"/>
      <c r="CA23" s="10" t="s">
        <v>57</v>
      </c>
      <c r="CC23" s="3"/>
      <c r="CD23" s="12" t="str">
        <f>IFERROR(VLOOKUP(C23,[2]Sheet1!$F$2:$G$65,2,FALSE)*1,"")</f>
        <v/>
      </c>
      <c r="CE23" s="12"/>
    </row>
    <row r="24" spans="1:83" s="1" customFormat="1" ht="17" customHeight="1">
      <c r="A24" s="15">
        <v>23</v>
      </c>
      <c r="B24" s="15">
        <v>2022202523</v>
      </c>
      <c r="C24" s="15" t="s">
        <v>477</v>
      </c>
      <c r="D24" s="15" t="s">
        <v>457</v>
      </c>
      <c r="E24" s="15">
        <f t="shared" si="0"/>
        <v>30</v>
      </c>
      <c r="F24" s="3">
        <f t="shared" si="1"/>
        <v>8</v>
      </c>
      <c r="G24" s="15"/>
      <c r="H24" s="15">
        <v>4</v>
      </c>
      <c r="I24" s="15"/>
      <c r="J24" s="15"/>
      <c r="K24" s="15"/>
      <c r="L24" s="15"/>
      <c r="M24" s="11"/>
      <c r="N24" s="11"/>
      <c r="O24" s="11"/>
      <c r="P24" s="11"/>
      <c r="Q24" s="11"/>
      <c r="R24" s="11">
        <v>1</v>
      </c>
      <c r="S24" s="11"/>
      <c r="T24" s="11">
        <v>4</v>
      </c>
      <c r="U24" s="11">
        <v>4</v>
      </c>
      <c r="V24" s="11">
        <v>2</v>
      </c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>
        <v>4</v>
      </c>
      <c r="AH24" s="10" t="s">
        <v>24</v>
      </c>
      <c r="AI24" s="11">
        <v>10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>
        <v>1</v>
      </c>
      <c r="AY24" s="11"/>
      <c r="AZ24" s="11"/>
      <c r="BA24" s="11"/>
      <c r="BB24" s="11"/>
      <c r="BC24" s="11"/>
      <c r="BD24" s="11"/>
      <c r="BN24" s="15"/>
      <c r="BP24" s="10" t="s">
        <v>51</v>
      </c>
      <c r="BS24" s="15"/>
      <c r="CA24" s="10" t="s">
        <v>57</v>
      </c>
      <c r="CC24" s="3"/>
      <c r="CD24" s="12" t="str">
        <f>IFERROR(VLOOKUP(C24,[2]Sheet1!$F$2:$G$65,2,FALSE)*1,"")</f>
        <v/>
      </c>
      <c r="CE24" s="12"/>
    </row>
    <row r="25" spans="1:83" s="1" customFormat="1" ht="17" customHeight="1">
      <c r="A25" s="15">
        <v>24</v>
      </c>
      <c r="B25" s="15">
        <v>2022202524</v>
      </c>
      <c r="C25" s="15" t="s">
        <v>478</v>
      </c>
      <c r="D25" s="15" t="s">
        <v>457</v>
      </c>
      <c r="E25" s="15">
        <f t="shared" si="0"/>
        <v>177</v>
      </c>
      <c r="F25" s="3">
        <f t="shared" si="1"/>
        <v>13</v>
      </c>
      <c r="G25" s="15"/>
      <c r="H25" s="15">
        <v>4.5</v>
      </c>
      <c r="I25" s="15">
        <v>6</v>
      </c>
      <c r="J25" s="15"/>
      <c r="K25" s="15"/>
      <c r="L25" s="15">
        <v>6</v>
      </c>
      <c r="M25" s="11">
        <v>6</v>
      </c>
      <c r="N25" s="11"/>
      <c r="O25" s="11"/>
      <c r="P25" s="11"/>
      <c r="Q25" s="11"/>
      <c r="R25" s="11"/>
      <c r="S25" s="11"/>
      <c r="T25" s="11">
        <v>4</v>
      </c>
      <c r="U25" s="11">
        <v>4</v>
      </c>
      <c r="V25" s="11"/>
      <c r="W25" s="11"/>
      <c r="X25" s="11"/>
      <c r="Y25" s="11"/>
      <c r="Z25" s="11"/>
      <c r="AA25" s="11"/>
      <c r="AB25" s="11"/>
      <c r="AC25" s="11"/>
      <c r="AD25" s="11">
        <v>16</v>
      </c>
      <c r="AE25" s="11"/>
      <c r="AF25" s="11"/>
      <c r="AG25" s="11">
        <v>4</v>
      </c>
      <c r="AH25" s="10" t="s">
        <v>24</v>
      </c>
      <c r="AI25" s="11">
        <v>11</v>
      </c>
      <c r="AJ25" s="11"/>
      <c r="AK25" s="11"/>
      <c r="AL25" s="11">
        <v>17</v>
      </c>
      <c r="AM25" s="11"/>
      <c r="AN25" s="11"/>
      <c r="AO25" s="11">
        <v>12.5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>
        <v>84</v>
      </c>
      <c r="BC25" s="11"/>
      <c r="BD25" s="11"/>
      <c r="BJ25" s="1">
        <v>2</v>
      </c>
      <c r="BN25" s="15"/>
      <c r="BP25" s="10" t="s">
        <v>51</v>
      </c>
      <c r="BS25" s="15"/>
      <c r="CA25" s="10" t="s">
        <v>57</v>
      </c>
      <c r="CC25" s="3"/>
      <c r="CD25" s="12" t="str">
        <f>IFERROR(VLOOKUP(C25,[2]Sheet1!$F$2:$G$65,2,FALSE)*1,"")</f>
        <v/>
      </c>
      <c r="CE25" s="12"/>
    </row>
    <row r="26" spans="1:83" s="1" customFormat="1" ht="17" customHeight="1">
      <c r="A26" s="15">
        <v>25</v>
      </c>
      <c r="B26" s="15">
        <v>2022202525</v>
      </c>
      <c r="C26" s="15" t="s">
        <v>479</v>
      </c>
      <c r="D26" s="15" t="s">
        <v>457</v>
      </c>
      <c r="E26" s="15">
        <f t="shared" si="0"/>
        <v>6</v>
      </c>
      <c r="F26" s="3">
        <f t="shared" si="1"/>
        <v>2</v>
      </c>
      <c r="G26" s="15"/>
      <c r="H26" s="15"/>
      <c r="I26" s="15"/>
      <c r="J26" s="15"/>
      <c r="K26" s="15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1">
        <v>2</v>
      </c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>
        <v>4</v>
      </c>
      <c r="AH26" s="10" t="s">
        <v>24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N26" s="15"/>
      <c r="BP26" s="10" t="s">
        <v>51</v>
      </c>
      <c r="BS26" s="15"/>
      <c r="CA26" s="10" t="s">
        <v>57</v>
      </c>
      <c r="CC26" s="3"/>
      <c r="CD26" s="12" t="str">
        <f>IFERROR(VLOOKUP(C26,[2]Sheet1!$F$2:$G$65,2,FALSE)*1,"")</f>
        <v/>
      </c>
      <c r="CE26" s="12"/>
    </row>
  </sheetData>
  <phoneticPr fontId="1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EZ36"/>
  <sheetViews>
    <sheetView workbookViewId="0">
      <pane xSplit="6" ySplit="1" topLeftCell="BZ25" activePane="bottomRight" state="frozen"/>
      <selection pane="topRight"/>
      <selection pane="bottomLeft"/>
      <selection pane="bottomRight" activeCell="CA1" sqref="CA1:CA1048576"/>
    </sheetView>
  </sheetViews>
  <sheetFormatPr baseColWidth="10" defaultColWidth="9.6640625" defaultRowHeight="17"/>
  <cols>
    <col min="1" max="1" width="14.1640625" style="4" customWidth="1"/>
    <col min="2" max="2" width="14.1640625" style="4" hidden="1" customWidth="1"/>
    <col min="3" max="3" width="14.1640625" style="4" customWidth="1"/>
    <col min="4" max="4" width="13.33203125" style="4" customWidth="1"/>
    <col min="5" max="5" width="7.6640625" style="4" customWidth="1"/>
    <col min="6" max="6" width="9.6640625" style="4" customWidth="1"/>
    <col min="7" max="7" width="24.33203125" style="4" customWidth="1"/>
    <col min="8" max="8" width="9.6640625" style="4" hidden="1" customWidth="1"/>
    <col min="9" max="9" width="24.33203125" style="4" customWidth="1"/>
    <col min="10" max="11" width="13.5" style="4" customWidth="1"/>
    <col min="12" max="12" width="12.83203125" style="4" customWidth="1"/>
    <col min="13" max="13" width="7.6640625" style="4" customWidth="1"/>
    <col min="14" max="14" width="13.33203125" style="4" customWidth="1"/>
    <col min="15" max="15" width="13.6640625" style="4" customWidth="1"/>
    <col min="16" max="16" width="11.6640625" style="4" customWidth="1"/>
    <col min="17" max="17" width="12.6640625" style="4" customWidth="1"/>
    <col min="18" max="18" width="12.1640625" style="4" customWidth="1"/>
    <col min="19" max="22" width="7.6640625" style="4" customWidth="1"/>
    <col min="23" max="23" width="10.5" style="4" customWidth="1"/>
    <col min="24" max="24" width="17.1640625" style="4" customWidth="1"/>
    <col min="25" max="25" width="12.5" style="4" customWidth="1"/>
    <col min="26" max="26" width="9.6640625" style="4" customWidth="1"/>
    <col min="27" max="27" width="8.6640625" style="4" customWidth="1"/>
    <col min="28" max="28" width="12.1640625" style="4" customWidth="1"/>
    <col min="29" max="29" width="11.5" style="4" customWidth="1"/>
    <col min="30" max="30" width="20.83203125" style="4" customWidth="1"/>
    <col min="31" max="31" width="11.5" style="4" customWidth="1"/>
    <col min="32" max="32" width="11.33203125" style="4" customWidth="1"/>
    <col min="33" max="33" width="10.83203125" style="4" customWidth="1"/>
    <col min="34" max="34" width="17.83203125" style="4" customWidth="1"/>
    <col min="35" max="35" width="11.5" style="4" customWidth="1"/>
    <col min="36" max="36" width="16.1640625" style="4" customWidth="1"/>
    <col min="37" max="37" width="17.5" style="4" customWidth="1"/>
    <col min="38" max="41" width="9.6640625" style="4" customWidth="1"/>
    <col min="42" max="42" width="12.1640625" style="4" customWidth="1"/>
    <col min="43" max="43" width="9.6640625" style="4" customWidth="1"/>
    <col min="44" max="44" width="11.6640625" style="4" customWidth="1"/>
    <col min="45" max="51" width="9.6640625" style="4" customWidth="1"/>
    <col min="52" max="52" width="23.83203125" style="4" customWidth="1"/>
    <col min="53" max="53" width="9.6640625" style="4" customWidth="1"/>
    <col min="54" max="54" width="8.6640625" style="4" customWidth="1"/>
    <col min="55" max="57" width="9.6640625" style="4" customWidth="1"/>
    <col min="58" max="58" width="19.33203125" style="5" customWidth="1"/>
    <col min="59" max="59" width="0.83203125" style="4" hidden="1" customWidth="1"/>
    <col min="60" max="60" width="1.33203125" style="6" hidden="1" customWidth="1"/>
    <col min="61" max="61" width="1" style="4" hidden="1" customWidth="1"/>
    <col min="62" max="62" width="1.5" style="4" hidden="1" customWidth="1"/>
    <col min="63" max="63" width="0.83203125" style="4" hidden="1" customWidth="1"/>
    <col min="64" max="64" width="14.6640625" style="4" customWidth="1"/>
    <col min="65" max="65" width="1.1640625" style="4" hidden="1" customWidth="1"/>
    <col min="66" max="66" width="0.5" style="4" hidden="1" customWidth="1"/>
    <col min="67" max="67" width="0.83203125" style="4" hidden="1" customWidth="1"/>
    <col min="68" max="70" width="0.5" style="4" hidden="1" customWidth="1"/>
    <col min="71" max="71" width="8.6640625" style="4" customWidth="1"/>
    <col min="72" max="72" width="9.6640625" style="4" customWidth="1"/>
    <col min="73" max="73" width="9.6640625" style="7" customWidth="1"/>
    <col min="74" max="74" width="17.83203125" style="4" customWidth="1"/>
    <col min="75" max="76" width="9.6640625" style="4" customWidth="1"/>
    <col min="77" max="77" width="14.83203125" style="4" customWidth="1"/>
    <col min="78" max="78" width="9.6640625" style="4" customWidth="1"/>
    <col min="79" max="79" width="9.6640625" style="8" customWidth="1"/>
    <col min="80" max="16380" width="9.6640625" style="4" customWidth="1"/>
  </cols>
  <sheetData>
    <row r="1" spans="1:79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42" t="s">
        <v>19</v>
      </c>
      <c r="V1" s="43"/>
      <c r="W1" s="9" t="s">
        <v>20</v>
      </c>
      <c r="X1" s="9" t="s">
        <v>21</v>
      </c>
      <c r="Y1" s="3" t="s">
        <v>22</v>
      </c>
      <c r="Z1" s="1" t="s">
        <v>23</v>
      </c>
      <c r="AA1" s="10" t="s">
        <v>24</v>
      </c>
      <c r="AB1" s="9" t="s">
        <v>25</v>
      </c>
      <c r="AC1" s="9" t="s">
        <v>26</v>
      </c>
      <c r="AD1" s="9" t="s">
        <v>27</v>
      </c>
      <c r="AE1" s="9" t="s">
        <v>28</v>
      </c>
      <c r="AF1" s="9" t="s">
        <v>29</v>
      </c>
      <c r="AG1" s="1" t="s">
        <v>30</v>
      </c>
      <c r="AH1" s="9" t="s">
        <v>31</v>
      </c>
      <c r="AI1" s="9" t="s">
        <v>32</v>
      </c>
      <c r="AJ1" s="9" t="s">
        <v>33</v>
      </c>
      <c r="AK1" s="11" t="s">
        <v>34</v>
      </c>
      <c r="AL1" s="11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1" t="s">
        <v>40</v>
      </c>
      <c r="AR1" s="1" t="s">
        <v>41</v>
      </c>
      <c r="AS1" s="9" t="s">
        <v>42</v>
      </c>
      <c r="AT1" s="9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3" t="s">
        <v>49</v>
      </c>
      <c r="BA1" s="1" t="s">
        <v>50</v>
      </c>
      <c r="BB1" s="10" t="s">
        <v>51</v>
      </c>
      <c r="BC1" s="1" t="s">
        <v>52</v>
      </c>
      <c r="BD1" s="1" t="s">
        <v>53</v>
      </c>
      <c r="BE1" s="1" t="s">
        <v>54</v>
      </c>
      <c r="BF1" s="12" t="s">
        <v>55</v>
      </c>
      <c r="BL1" s="1" t="s">
        <v>56</v>
      </c>
      <c r="BS1" s="10" t="s">
        <v>57</v>
      </c>
      <c r="BT1" s="12" t="s">
        <v>58</v>
      </c>
      <c r="BU1" s="13" t="s">
        <v>59</v>
      </c>
      <c r="BV1" s="14" t="s">
        <v>60</v>
      </c>
      <c r="BW1" s="12" t="s">
        <v>61</v>
      </c>
      <c r="BX1" s="12" t="s">
        <v>62</v>
      </c>
      <c r="BY1" s="1" t="s">
        <v>63</v>
      </c>
      <c r="BZ1" s="12" t="s">
        <v>64</v>
      </c>
      <c r="CA1" s="12" t="s">
        <v>65</v>
      </c>
    </row>
    <row r="2" spans="1:79" s="1" customFormat="1">
      <c r="A2" s="3">
        <v>1</v>
      </c>
      <c r="B2" s="3">
        <v>2022202526</v>
      </c>
      <c r="C2" s="3" t="s">
        <v>66</v>
      </c>
      <c r="D2" s="3" t="s">
        <v>67</v>
      </c>
      <c r="E2" s="15">
        <f>SUM(G2:$XES2)</f>
        <v>55.5</v>
      </c>
      <c r="F2" s="3">
        <f t="shared" ref="F2:F36" si="0">COUNT(G2:EB2)</f>
        <v>8</v>
      </c>
      <c r="G2" s="3"/>
      <c r="I2" s="3"/>
      <c r="J2" s="3"/>
      <c r="K2" s="3"/>
      <c r="L2" s="3"/>
      <c r="M2" s="9">
        <v>4</v>
      </c>
      <c r="N2" s="9"/>
      <c r="O2" s="9"/>
      <c r="P2" s="9"/>
      <c r="Q2" s="9"/>
      <c r="R2" s="9"/>
      <c r="S2" s="9"/>
      <c r="T2" s="9"/>
      <c r="U2" s="42"/>
      <c r="V2" s="43"/>
      <c r="W2" s="9"/>
      <c r="X2" s="9"/>
      <c r="Y2" s="9"/>
      <c r="AA2" s="10" t="s">
        <v>24</v>
      </c>
      <c r="AB2" s="9"/>
      <c r="AC2" s="9">
        <v>4</v>
      </c>
      <c r="AD2" s="9">
        <v>0.5</v>
      </c>
      <c r="AE2" s="9"/>
      <c r="AF2" s="9"/>
      <c r="AG2" s="1">
        <v>33.5</v>
      </c>
      <c r="AI2" s="1">
        <v>4</v>
      </c>
      <c r="AK2" s="11"/>
      <c r="AL2" s="11"/>
      <c r="AM2" s="11"/>
      <c r="AN2" s="11"/>
      <c r="AO2" s="11"/>
      <c r="AP2" s="11"/>
      <c r="AZ2" s="3"/>
      <c r="BB2" s="10" t="s">
        <v>51</v>
      </c>
      <c r="BF2" s="12"/>
      <c r="BS2" s="10" t="s">
        <v>57</v>
      </c>
      <c r="BT2" s="16">
        <v>4</v>
      </c>
      <c r="BU2" s="13"/>
      <c r="BV2" s="12"/>
      <c r="BW2" s="12"/>
      <c r="BX2" s="12">
        <v>5</v>
      </c>
      <c r="BY2" s="1">
        <v>0.5</v>
      </c>
      <c r="BZ2" s="12"/>
      <c r="CA2" s="12"/>
    </row>
    <row r="3" spans="1:79" s="1" customFormat="1">
      <c r="A3" s="3">
        <v>2</v>
      </c>
      <c r="B3" s="3">
        <v>2022202527</v>
      </c>
      <c r="C3" s="3" t="s">
        <v>68</v>
      </c>
      <c r="D3" s="3" t="s">
        <v>67</v>
      </c>
      <c r="E3" s="15">
        <f>SUM(G3:$XES3)</f>
        <v>54.5</v>
      </c>
      <c r="F3" s="3">
        <f t="shared" si="0"/>
        <v>9</v>
      </c>
      <c r="G3" s="3"/>
      <c r="I3" s="3"/>
      <c r="J3" s="3"/>
      <c r="K3" s="3"/>
      <c r="L3" s="3"/>
      <c r="M3" s="9"/>
      <c r="N3" s="9"/>
      <c r="O3" s="9"/>
      <c r="P3" s="9"/>
      <c r="Q3" s="9">
        <v>4</v>
      </c>
      <c r="R3" s="9">
        <v>4</v>
      </c>
      <c r="S3" s="9"/>
      <c r="T3" s="9">
        <v>4</v>
      </c>
      <c r="U3" s="42"/>
      <c r="V3" s="43"/>
      <c r="W3" s="9"/>
      <c r="X3" s="9"/>
      <c r="Y3" s="9"/>
      <c r="Z3" s="1">
        <v>4</v>
      </c>
      <c r="AA3" s="10" t="s">
        <v>24</v>
      </c>
      <c r="AB3" s="9"/>
      <c r="AC3" s="9"/>
      <c r="AD3" s="9"/>
      <c r="AE3" s="9">
        <v>14</v>
      </c>
      <c r="AF3" s="9"/>
      <c r="AK3" s="11"/>
      <c r="AL3" s="11">
        <v>15</v>
      </c>
      <c r="AM3" s="11"/>
      <c r="AN3" s="11"/>
      <c r="AO3" s="11"/>
      <c r="AP3" s="11"/>
      <c r="AZ3" s="3"/>
      <c r="BB3" s="10" t="s">
        <v>51</v>
      </c>
      <c r="BF3" s="12"/>
      <c r="BS3" s="10" t="s">
        <v>57</v>
      </c>
      <c r="BT3" s="16">
        <v>4</v>
      </c>
      <c r="BU3" s="13"/>
      <c r="BV3" s="12">
        <v>5</v>
      </c>
      <c r="BW3" s="12"/>
      <c r="BX3" s="12"/>
      <c r="BY3" s="1">
        <v>0.5</v>
      </c>
      <c r="BZ3" s="12"/>
      <c r="CA3" s="12"/>
    </row>
    <row r="4" spans="1:79" s="2" customFormat="1">
      <c r="A4" s="17">
        <v>3</v>
      </c>
      <c r="B4" s="17">
        <v>2022202528</v>
      </c>
      <c r="C4" s="17" t="s">
        <v>69</v>
      </c>
      <c r="D4" s="17" t="s">
        <v>67</v>
      </c>
      <c r="E4" s="15">
        <f>SUM(G4:$XES4)</f>
        <v>0</v>
      </c>
      <c r="F4" s="3">
        <f t="shared" si="0"/>
        <v>0</v>
      </c>
      <c r="G4" s="17"/>
      <c r="I4" s="17"/>
      <c r="J4" s="17"/>
      <c r="K4" s="17"/>
      <c r="L4" s="17"/>
      <c r="M4" s="18"/>
      <c r="N4" s="18"/>
      <c r="O4" s="18"/>
      <c r="P4" s="18"/>
      <c r="Q4" s="18"/>
      <c r="R4" s="18"/>
      <c r="S4" s="18"/>
      <c r="T4" s="18"/>
      <c r="U4" s="42"/>
      <c r="V4" s="43"/>
      <c r="W4" s="18"/>
      <c r="X4" s="18"/>
      <c r="Y4" s="18"/>
      <c r="AA4" s="10" t="s">
        <v>24</v>
      </c>
      <c r="AB4" s="18"/>
      <c r="AC4" s="18"/>
      <c r="AD4" s="18"/>
      <c r="AE4" s="18"/>
      <c r="AF4" s="18"/>
      <c r="AK4" s="19"/>
      <c r="AL4" s="19"/>
      <c r="AM4" s="19"/>
      <c r="AN4" s="19"/>
      <c r="AO4" s="19"/>
      <c r="AP4" s="19"/>
      <c r="AZ4" s="17"/>
      <c r="BB4" s="10" t="s">
        <v>51</v>
      </c>
      <c r="BD4" s="1"/>
      <c r="BE4" s="1"/>
      <c r="BF4" s="20"/>
      <c r="BH4" s="1"/>
      <c r="BS4" s="10" t="s">
        <v>57</v>
      </c>
      <c r="BT4" s="16"/>
      <c r="BU4" s="13"/>
      <c r="BV4" s="12"/>
      <c r="BW4" s="12"/>
      <c r="BX4" s="12"/>
      <c r="BZ4" s="20"/>
      <c r="CA4" s="20"/>
    </row>
    <row r="5" spans="1:79" s="1" customFormat="1">
      <c r="A5" s="3">
        <v>4</v>
      </c>
      <c r="B5" s="3">
        <v>2022202529</v>
      </c>
      <c r="C5" s="3" t="s">
        <v>70</v>
      </c>
      <c r="D5" s="3" t="s">
        <v>67</v>
      </c>
      <c r="E5" s="15">
        <f>SUM(G5:$XES5)</f>
        <v>69</v>
      </c>
      <c r="F5" s="3">
        <f t="shared" si="0"/>
        <v>5</v>
      </c>
      <c r="G5" s="3"/>
      <c r="I5" s="3"/>
      <c r="J5" s="3"/>
      <c r="K5" s="3"/>
      <c r="L5" s="3"/>
      <c r="M5" s="9"/>
      <c r="N5" s="9"/>
      <c r="O5" s="9"/>
      <c r="P5" s="9"/>
      <c r="Q5" s="9"/>
      <c r="R5" s="9"/>
      <c r="S5" s="9"/>
      <c r="T5" s="9"/>
      <c r="U5" s="42">
        <v>16</v>
      </c>
      <c r="V5" s="43"/>
      <c r="W5" s="9">
        <v>34</v>
      </c>
      <c r="X5" s="9">
        <v>4</v>
      </c>
      <c r="Y5" s="9"/>
      <c r="AA5" s="10" t="s">
        <v>24</v>
      </c>
      <c r="AB5" s="9">
        <v>11</v>
      </c>
      <c r="AC5" s="9"/>
      <c r="AD5" s="9"/>
      <c r="AE5" s="9"/>
      <c r="AF5" s="9"/>
      <c r="AK5" s="11"/>
      <c r="AL5" s="11"/>
      <c r="AM5" s="11"/>
      <c r="AN5" s="11"/>
      <c r="AO5" s="11"/>
      <c r="AP5" s="11"/>
      <c r="AS5" s="1">
        <v>4</v>
      </c>
      <c r="AZ5" s="3"/>
      <c r="BB5" s="10" t="s">
        <v>51</v>
      </c>
      <c r="BF5" s="12"/>
      <c r="BS5" s="10" t="s">
        <v>57</v>
      </c>
      <c r="BT5" s="16"/>
      <c r="BU5" s="13"/>
      <c r="BV5" s="12"/>
      <c r="BW5" s="12"/>
      <c r="BX5" s="12"/>
      <c r="BZ5" s="12"/>
      <c r="CA5" s="12"/>
    </row>
    <row r="6" spans="1:79" s="1" customFormat="1">
      <c r="A6" s="3">
        <v>5</v>
      </c>
      <c r="B6" s="3">
        <v>2022202530</v>
      </c>
      <c r="C6" s="3" t="s">
        <v>71</v>
      </c>
      <c r="D6" s="3" t="s">
        <v>67</v>
      </c>
      <c r="E6" s="15">
        <f>SUM(G6:$XES6)</f>
        <v>54</v>
      </c>
      <c r="F6" s="3">
        <f t="shared" si="0"/>
        <v>9</v>
      </c>
      <c r="G6" s="3"/>
      <c r="I6" s="3"/>
      <c r="J6" s="3">
        <v>6</v>
      </c>
      <c r="K6" s="3"/>
      <c r="L6" s="3"/>
      <c r="M6" s="9"/>
      <c r="N6" s="9">
        <v>4</v>
      </c>
      <c r="O6" s="9"/>
      <c r="P6" s="9"/>
      <c r="Q6" s="9">
        <v>4</v>
      </c>
      <c r="R6" s="9"/>
      <c r="S6" s="9"/>
      <c r="T6" s="9"/>
      <c r="U6" s="42"/>
      <c r="V6" s="43"/>
      <c r="W6" s="9"/>
      <c r="X6" s="9"/>
      <c r="Y6" s="9"/>
      <c r="AA6" s="10" t="s">
        <v>24</v>
      </c>
      <c r="AB6" s="9"/>
      <c r="AC6" s="9"/>
      <c r="AD6" s="9"/>
      <c r="AE6" s="9"/>
      <c r="AF6" s="9"/>
      <c r="AK6" s="11"/>
      <c r="AL6" s="11"/>
      <c r="AM6" s="11"/>
      <c r="AN6" s="11">
        <v>10</v>
      </c>
      <c r="AO6" s="11"/>
      <c r="AP6" s="11"/>
      <c r="AV6" s="1">
        <v>2</v>
      </c>
      <c r="AZ6" s="3"/>
      <c r="BA6" s="1">
        <v>4</v>
      </c>
      <c r="BB6" s="10" t="s">
        <v>51</v>
      </c>
      <c r="BF6" s="12">
        <v>24</v>
      </c>
      <c r="BG6" s="1">
        <v>0</v>
      </c>
      <c r="BH6" s="1">
        <v>0</v>
      </c>
      <c r="BS6" s="10" t="s">
        <v>57</v>
      </c>
      <c r="BT6" s="16"/>
      <c r="BU6" s="13"/>
      <c r="BV6" s="12"/>
      <c r="BW6" s="12"/>
      <c r="BX6" s="12"/>
      <c r="BZ6" s="12"/>
      <c r="CA6" s="12"/>
    </row>
    <row r="7" spans="1:79" s="1" customFormat="1">
      <c r="A7" s="3">
        <v>6</v>
      </c>
      <c r="B7" s="3">
        <v>2022202531</v>
      </c>
      <c r="C7" s="3" t="s">
        <v>72</v>
      </c>
      <c r="D7" s="3" t="s">
        <v>67</v>
      </c>
      <c r="E7" s="15">
        <f>SUM(G7:$XES7)</f>
        <v>92</v>
      </c>
      <c r="F7" s="3">
        <f t="shared" si="0"/>
        <v>10</v>
      </c>
      <c r="G7" s="3"/>
      <c r="I7" s="3">
        <v>7</v>
      </c>
      <c r="J7" s="3"/>
      <c r="K7" s="3"/>
      <c r="L7" s="3"/>
      <c r="M7" s="9"/>
      <c r="N7" s="9"/>
      <c r="O7" s="9"/>
      <c r="P7" s="9"/>
      <c r="Q7" s="9">
        <v>4</v>
      </c>
      <c r="R7" s="9">
        <v>4</v>
      </c>
      <c r="S7" s="9"/>
      <c r="T7" s="9"/>
      <c r="U7" s="42"/>
      <c r="V7" s="43"/>
      <c r="W7" s="9"/>
      <c r="X7" s="9"/>
      <c r="Y7" s="9"/>
      <c r="Z7" s="1">
        <v>4</v>
      </c>
      <c r="AA7" s="10" t="s">
        <v>24</v>
      </c>
      <c r="AB7" s="9">
        <v>12</v>
      </c>
      <c r="AC7" s="9"/>
      <c r="AD7" s="9"/>
      <c r="AE7" s="9">
        <v>13</v>
      </c>
      <c r="AF7" s="9"/>
      <c r="AK7" s="11"/>
      <c r="AL7" s="11">
        <v>15</v>
      </c>
      <c r="AM7" s="11"/>
      <c r="AN7" s="11">
        <v>10</v>
      </c>
      <c r="AO7" s="11"/>
      <c r="AP7" s="11"/>
      <c r="AQ7" s="1">
        <v>7</v>
      </c>
      <c r="AZ7" s="3"/>
      <c r="BB7" s="10" t="s">
        <v>51</v>
      </c>
      <c r="BF7" s="12">
        <v>16</v>
      </c>
      <c r="BS7" s="10" t="s">
        <v>57</v>
      </c>
      <c r="BT7" s="16"/>
      <c r="BU7" s="13"/>
      <c r="BV7" s="12"/>
      <c r="BW7" s="12"/>
      <c r="BX7" s="12"/>
      <c r="BZ7" s="12"/>
      <c r="CA7" s="12"/>
    </row>
    <row r="8" spans="1:79" s="1" customFormat="1">
      <c r="A8" s="3">
        <v>7</v>
      </c>
      <c r="B8" s="3">
        <v>2022202532</v>
      </c>
      <c r="C8" s="3" t="s">
        <v>73</v>
      </c>
      <c r="D8" s="3" t="s">
        <v>67</v>
      </c>
      <c r="E8" s="15">
        <f>SUM(G8:$XES8)</f>
        <v>35</v>
      </c>
      <c r="F8" s="3">
        <f t="shared" si="0"/>
        <v>6</v>
      </c>
      <c r="G8" s="3"/>
      <c r="I8" s="3"/>
      <c r="J8" s="3"/>
      <c r="K8" s="3"/>
      <c r="L8" s="3"/>
      <c r="M8" s="9"/>
      <c r="N8" s="9"/>
      <c r="O8" s="9"/>
      <c r="P8" s="9"/>
      <c r="Q8" s="9"/>
      <c r="R8" s="9"/>
      <c r="S8" s="9">
        <v>2</v>
      </c>
      <c r="T8" s="9"/>
      <c r="U8" s="42">
        <v>16</v>
      </c>
      <c r="V8" s="43"/>
      <c r="W8" s="9"/>
      <c r="X8" s="9"/>
      <c r="Y8" s="9"/>
      <c r="AA8" s="10" t="s">
        <v>24</v>
      </c>
      <c r="AB8" s="9"/>
      <c r="AC8" s="9"/>
      <c r="AD8" s="9"/>
      <c r="AE8" s="9"/>
      <c r="AF8" s="9"/>
      <c r="AK8" s="11"/>
      <c r="AL8" s="11"/>
      <c r="AM8" s="11">
        <v>7</v>
      </c>
      <c r="AN8" s="11"/>
      <c r="AO8" s="11">
        <v>4</v>
      </c>
      <c r="AP8" s="11"/>
      <c r="AV8" s="1">
        <v>2</v>
      </c>
      <c r="AZ8" s="3"/>
      <c r="BA8" s="1">
        <v>4</v>
      </c>
      <c r="BB8" s="10" t="s">
        <v>51</v>
      </c>
      <c r="BF8" s="12"/>
      <c r="BS8" s="10" t="s">
        <v>57</v>
      </c>
      <c r="BT8" s="16"/>
      <c r="BU8" s="13"/>
      <c r="BV8" s="12"/>
      <c r="BW8" s="12"/>
      <c r="BX8" s="12"/>
      <c r="BZ8" s="12"/>
      <c r="CA8" s="12"/>
    </row>
    <row r="9" spans="1:79" s="1" customFormat="1">
      <c r="A9" s="3">
        <v>8</v>
      </c>
      <c r="B9" s="3">
        <v>2022202533</v>
      </c>
      <c r="C9" s="3" t="s">
        <v>74</v>
      </c>
      <c r="D9" s="3" t="s">
        <v>67</v>
      </c>
      <c r="E9" s="15">
        <f>SUM(G9:$XES9)</f>
        <v>21.5</v>
      </c>
      <c r="F9" s="3">
        <f t="shared" si="0"/>
        <v>6</v>
      </c>
      <c r="G9" s="3"/>
      <c r="I9" s="3"/>
      <c r="J9" s="3"/>
      <c r="K9" s="3"/>
      <c r="L9" s="3"/>
      <c r="M9" s="9"/>
      <c r="N9" s="9"/>
      <c r="O9" s="9"/>
      <c r="P9" s="9"/>
      <c r="Q9" s="9"/>
      <c r="R9" s="9"/>
      <c r="S9" s="9"/>
      <c r="T9" s="9"/>
      <c r="U9" s="42"/>
      <c r="V9" s="43"/>
      <c r="W9" s="9"/>
      <c r="X9" s="9"/>
      <c r="Y9" s="9"/>
      <c r="AA9" s="10" t="s">
        <v>24</v>
      </c>
      <c r="AB9" s="9"/>
      <c r="AC9" s="9"/>
      <c r="AD9" s="9"/>
      <c r="AE9" s="9"/>
      <c r="AF9" s="9"/>
      <c r="AK9" s="11"/>
      <c r="AL9" s="11"/>
      <c r="AM9" s="11"/>
      <c r="AN9" s="11"/>
      <c r="AO9" s="11"/>
      <c r="AP9" s="11"/>
      <c r="AZ9" s="3"/>
      <c r="BA9" s="1">
        <v>4</v>
      </c>
      <c r="BB9" s="10" t="s">
        <v>51</v>
      </c>
      <c r="BF9" s="12"/>
      <c r="BS9" s="10" t="s">
        <v>57</v>
      </c>
      <c r="BT9" s="16">
        <v>4</v>
      </c>
      <c r="BU9" s="13">
        <v>3</v>
      </c>
      <c r="BV9" s="12">
        <v>5</v>
      </c>
      <c r="BW9" s="12">
        <v>0.5</v>
      </c>
      <c r="BX9" s="12">
        <v>5</v>
      </c>
      <c r="BZ9" s="12"/>
      <c r="CA9" s="12"/>
    </row>
    <row r="10" spans="1:79" s="1" customFormat="1">
      <c r="A10" s="3">
        <v>9</v>
      </c>
      <c r="B10" s="3">
        <v>2022202534</v>
      </c>
      <c r="C10" s="3" t="s">
        <v>75</v>
      </c>
      <c r="D10" s="3" t="s">
        <v>67</v>
      </c>
      <c r="E10" s="15">
        <f>SUM(G10:$XES10)</f>
        <v>77.5</v>
      </c>
      <c r="F10" s="3">
        <f t="shared" si="0"/>
        <v>7</v>
      </c>
      <c r="G10" s="3">
        <v>53</v>
      </c>
      <c r="H10" s="1">
        <v>0</v>
      </c>
      <c r="I10" s="3"/>
      <c r="J10" s="3"/>
      <c r="K10" s="3"/>
      <c r="L10" s="3"/>
      <c r="M10" s="9"/>
      <c r="N10" s="9"/>
      <c r="O10" s="9"/>
      <c r="P10" s="9"/>
      <c r="Q10" s="9"/>
      <c r="R10" s="9"/>
      <c r="S10" s="9"/>
      <c r="T10" s="9"/>
      <c r="U10" s="42"/>
      <c r="V10" s="43"/>
      <c r="W10" s="9"/>
      <c r="X10" s="9"/>
      <c r="Y10" s="9"/>
      <c r="AA10" s="10" t="s">
        <v>24</v>
      </c>
      <c r="AB10" s="9">
        <v>12</v>
      </c>
      <c r="AC10" s="9"/>
      <c r="AD10" s="9"/>
      <c r="AE10" s="9"/>
      <c r="AF10" s="9"/>
      <c r="AK10" s="11"/>
      <c r="AL10" s="11"/>
      <c r="AM10" s="11"/>
      <c r="AN10" s="11"/>
      <c r="AO10" s="11">
        <v>4</v>
      </c>
      <c r="AP10" s="11"/>
      <c r="AZ10" s="3"/>
      <c r="BB10" s="10" t="s">
        <v>51</v>
      </c>
      <c r="BF10" s="12"/>
      <c r="BS10" s="10" t="s">
        <v>57</v>
      </c>
      <c r="BT10" s="16"/>
      <c r="BU10" s="13">
        <v>3</v>
      </c>
      <c r="BV10" s="12">
        <v>5</v>
      </c>
      <c r="BW10" s="12">
        <v>0.5</v>
      </c>
      <c r="BX10" s="12"/>
      <c r="BZ10" s="12"/>
      <c r="CA10" s="12"/>
    </row>
    <row r="11" spans="1:79" s="1" customFormat="1">
      <c r="A11" s="3">
        <v>10</v>
      </c>
      <c r="B11" s="3">
        <v>2022202535</v>
      </c>
      <c r="C11" s="3" t="s">
        <v>76</v>
      </c>
      <c r="D11" s="3" t="s">
        <v>67</v>
      </c>
      <c r="E11" s="15">
        <f>SUM(G11:$XES11)</f>
        <v>48</v>
      </c>
      <c r="F11" s="3">
        <f t="shared" si="0"/>
        <v>8</v>
      </c>
      <c r="G11" s="3"/>
      <c r="I11" s="3"/>
      <c r="J11" s="3"/>
      <c r="K11" s="3"/>
      <c r="L11" s="3"/>
      <c r="M11" s="9"/>
      <c r="N11" s="9"/>
      <c r="O11" s="9"/>
      <c r="P11" s="9"/>
      <c r="Q11" s="9"/>
      <c r="R11" s="9"/>
      <c r="S11" s="9"/>
      <c r="T11" s="9"/>
      <c r="U11" s="42">
        <v>16</v>
      </c>
      <c r="V11" s="43"/>
      <c r="W11" s="9"/>
      <c r="X11" s="9"/>
      <c r="Y11" s="9"/>
      <c r="AA11" s="10" t="s">
        <v>24</v>
      </c>
      <c r="AB11" s="9"/>
      <c r="AC11" s="9"/>
      <c r="AD11" s="9"/>
      <c r="AE11" s="9"/>
      <c r="AF11" s="9"/>
      <c r="AH11" s="1">
        <v>16</v>
      </c>
      <c r="AK11" s="11"/>
      <c r="AL11" s="11"/>
      <c r="AM11" s="11"/>
      <c r="AN11" s="11"/>
      <c r="AO11" s="11"/>
      <c r="AP11" s="11"/>
      <c r="AS11" s="1">
        <v>4</v>
      </c>
      <c r="AV11" s="1">
        <v>4</v>
      </c>
      <c r="AZ11" s="3"/>
      <c r="BB11" s="10" t="s">
        <v>51</v>
      </c>
      <c r="BE11" s="1">
        <v>4</v>
      </c>
      <c r="BF11" s="12"/>
      <c r="BS11" s="10" t="s">
        <v>57</v>
      </c>
      <c r="BT11" s="16"/>
      <c r="BU11" s="13">
        <v>3</v>
      </c>
      <c r="BV11" s="12"/>
      <c r="BW11" s="12">
        <v>0.5</v>
      </c>
      <c r="BX11" s="12"/>
      <c r="BY11" s="1">
        <v>0.5</v>
      </c>
      <c r="BZ11" s="12"/>
      <c r="CA11" s="12"/>
    </row>
    <row r="12" spans="1:79" s="1" customFormat="1">
      <c r="A12" s="3">
        <v>11</v>
      </c>
      <c r="B12" s="3">
        <v>2022202536</v>
      </c>
      <c r="C12" s="3" t="s">
        <v>77</v>
      </c>
      <c r="D12" s="3" t="s">
        <v>67</v>
      </c>
      <c r="E12" s="15">
        <f>SUM(G12:$XES12)</f>
        <v>1.5</v>
      </c>
      <c r="F12" s="3">
        <f t="shared" si="0"/>
        <v>1</v>
      </c>
      <c r="G12" s="3"/>
      <c r="I12" s="3"/>
      <c r="J12" s="3"/>
      <c r="K12" s="3"/>
      <c r="L12" s="3"/>
      <c r="M12" s="9"/>
      <c r="N12" s="9"/>
      <c r="O12" s="9"/>
      <c r="P12" s="9"/>
      <c r="Q12" s="9"/>
      <c r="R12" s="9"/>
      <c r="S12" s="9"/>
      <c r="T12" s="9"/>
      <c r="U12" s="42"/>
      <c r="V12" s="43"/>
      <c r="W12" s="9"/>
      <c r="X12" s="9"/>
      <c r="Y12" s="9"/>
      <c r="AA12" s="10" t="s">
        <v>24</v>
      </c>
      <c r="AB12" s="9"/>
      <c r="AC12" s="9"/>
      <c r="AD12" s="9"/>
      <c r="AE12" s="9"/>
      <c r="AF12" s="9"/>
      <c r="AK12" s="11"/>
      <c r="AL12" s="11"/>
      <c r="AM12" s="11"/>
      <c r="AN12" s="11"/>
      <c r="AO12" s="11"/>
      <c r="AP12" s="11"/>
      <c r="AZ12" s="3"/>
      <c r="BB12" s="10" t="s">
        <v>51</v>
      </c>
      <c r="BF12" s="12"/>
      <c r="BS12" s="10" t="s">
        <v>57</v>
      </c>
      <c r="BT12" s="16"/>
      <c r="BU12" s="13"/>
      <c r="BV12" s="12"/>
      <c r="BW12" s="12">
        <v>1.5</v>
      </c>
      <c r="BX12" s="12"/>
      <c r="BZ12" s="12"/>
      <c r="CA12" s="12"/>
    </row>
    <row r="13" spans="1:79" s="1" customFormat="1">
      <c r="A13" s="3">
        <v>12</v>
      </c>
      <c r="B13" s="3">
        <v>2022202537</v>
      </c>
      <c r="C13" s="3" t="s">
        <v>78</v>
      </c>
      <c r="D13" s="3" t="s">
        <v>67</v>
      </c>
      <c r="E13" s="15">
        <f>SUM(G13:$XES13)</f>
        <v>68.5</v>
      </c>
      <c r="F13" s="3">
        <f t="shared" si="0"/>
        <v>8</v>
      </c>
      <c r="G13" s="3">
        <v>30</v>
      </c>
      <c r="I13" s="3"/>
      <c r="J13" s="3"/>
      <c r="K13" s="3"/>
      <c r="L13" s="3"/>
      <c r="M13" s="9"/>
      <c r="N13" s="9"/>
      <c r="O13" s="9"/>
      <c r="P13" s="9"/>
      <c r="Q13" s="9">
        <v>4</v>
      </c>
      <c r="R13" s="9"/>
      <c r="S13" s="9">
        <v>2</v>
      </c>
      <c r="T13" s="9"/>
      <c r="U13" s="42"/>
      <c r="V13" s="43"/>
      <c r="W13" s="9"/>
      <c r="X13" s="9"/>
      <c r="Y13" s="9"/>
      <c r="AA13" s="10" t="s">
        <v>24</v>
      </c>
      <c r="AB13" s="9"/>
      <c r="AC13" s="9"/>
      <c r="AD13" s="9"/>
      <c r="AE13" s="9">
        <v>19</v>
      </c>
      <c r="AF13" s="9"/>
      <c r="AK13" s="11"/>
      <c r="AL13" s="11"/>
      <c r="AM13" s="11"/>
      <c r="AN13" s="11"/>
      <c r="AO13" s="11"/>
      <c r="AP13" s="11"/>
      <c r="AZ13" s="3"/>
      <c r="BA13" s="1">
        <v>4</v>
      </c>
      <c r="BB13" s="10" t="s">
        <v>51</v>
      </c>
      <c r="BF13" s="12"/>
      <c r="BS13" s="10" t="s">
        <v>57</v>
      </c>
      <c r="BT13" s="16">
        <v>4</v>
      </c>
      <c r="BU13" s="13"/>
      <c r="BV13" s="12">
        <v>5</v>
      </c>
      <c r="BW13" s="12"/>
      <c r="BX13" s="12"/>
      <c r="BY13" s="1">
        <v>0.5</v>
      </c>
      <c r="BZ13" s="12"/>
      <c r="CA13" s="12"/>
    </row>
    <row r="14" spans="1:79" s="1" customFormat="1">
      <c r="A14" s="3">
        <v>13</v>
      </c>
      <c r="B14" s="3">
        <v>2022202538</v>
      </c>
      <c r="C14" s="3" t="s">
        <v>79</v>
      </c>
      <c r="D14" s="3" t="s">
        <v>67</v>
      </c>
      <c r="E14" s="15">
        <f>SUM(G14:$XES14)</f>
        <v>90</v>
      </c>
      <c r="F14" s="3">
        <f t="shared" si="0"/>
        <v>10</v>
      </c>
      <c r="G14" s="3"/>
      <c r="I14" s="3"/>
      <c r="J14" s="3"/>
      <c r="K14" s="3"/>
      <c r="L14" s="3"/>
      <c r="M14" s="9"/>
      <c r="N14" s="9"/>
      <c r="O14" s="9"/>
      <c r="P14" s="9"/>
      <c r="Q14" s="9">
        <v>4</v>
      </c>
      <c r="R14" s="9"/>
      <c r="S14" s="9">
        <v>2</v>
      </c>
      <c r="T14" s="9">
        <v>4</v>
      </c>
      <c r="U14" s="42">
        <v>16</v>
      </c>
      <c r="V14" s="43"/>
      <c r="W14" s="9">
        <v>7</v>
      </c>
      <c r="X14" s="9"/>
      <c r="Y14" s="9"/>
      <c r="Z14" s="1">
        <v>4</v>
      </c>
      <c r="AA14" s="10" t="s">
        <v>24</v>
      </c>
      <c r="AB14" s="9">
        <v>12</v>
      </c>
      <c r="AC14" s="9"/>
      <c r="AD14" s="9"/>
      <c r="AE14" s="9">
        <v>14</v>
      </c>
      <c r="AF14" s="9"/>
      <c r="AK14" s="11"/>
      <c r="AL14" s="11">
        <v>17</v>
      </c>
      <c r="AM14" s="11"/>
      <c r="AN14" s="11">
        <v>10</v>
      </c>
      <c r="AO14" s="11"/>
      <c r="AP14" s="11"/>
      <c r="AZ14" s="3"/>
      <c r="BB14" s="10" t="s">
        <v>51</v>
      </c>
      <c r="BF14" s="12"/>
      <c r="BS14" s="10" t="s">
        <v>57</v>
      </c>
      <c r="BT14" s="16"/>
      <c r="BU14" s="13"/>
      <c r="BV14" s="12"/>
      <c r="BW14" s="12"/>
      <c r="BX14" s="12"/>
      <c r="BZ14" s="12"/>
      <c r="CA14" s="12"/>
    </row>
    <row r="15" spans="1:79" s="1" customFormat="1">
      <c r="A15" s="3">
        <v>14</v>
      </c>
      <c r="B15" s="3">
        <v>2022202539</v>
      </c>
      <c r="C15" s="3" t="s">
        <v>80</v>
      </c>
      <c r="D15" s="3" t="s">
        <v>67</v>
      </c>
      <c r="E15" s="15">
        <f>SUM(G15:$XES15)</f>
        <v>43.5</v>
      </c>
      <c r="F15" s="3">
        <f t="shared" si="0"/>
        <v>7</v>
      </c>
      <c r="G15" s="3"/>
      <c r="I15" s="3"/>
      <c r="J15" s="3"/>
      <c r="K15" s="3"/>
      <c r="L15" s="3"/>
      <c r="M15" s="9"/>
      <c r="N15" s="9"/>
      <c r="O15" s="9"/>
      <c r="P15" s="9"/>
      <c r="Q15" s="9">
        <v>4</v>
      </c>
      <c r="R15" s="9"/>
      <c r="S15" s="9">
        <v>2</v>
      </c>
      <c r="T15" s="9"/>
      <c r="U15" s="42">
        <v>16</v>
      </c>
      <c r="V15" s="43"/>
      <c r="W15" s="9"/>
      <c r="X15" s="9"/>
      <c r="Y15" s="9"/>
      <c r="AA15" s="10" t="s">
        <v>24</v>
      </c>
      <c r="AB15" s="9"/>
      <c r="AC15" s="9"/>
      <c r="AD15" s="9"/>
      <c r="AE15" s="9"/>
      <c r="AF15" s="9"/>
      <c r="AH15" s="1">
        <v>16</v>
      </c>
      <c r="AK15" s="11"/>
      <c r="AL15" s="11"/>
      <c r="AM15" s="11"/>
      <c r="AN15" s="11"/>
      <c r="AO15" s="11"/>
      <c r="AP15" s="11"/>
      <c r="AZ15" s="3"/>
      <c r="BB15" s="10" t="s">
        <v>51</v>
      </c>
      <c r="BF15" s="12"/>
      <c r="BS15" s="10" t="s">
        <v>57</v>
      </c>
      <c r="BT15" s="16"/>
      <c r="BU15" s="13">
        <v>3</v>
      </c>
      <c r="BV15" s="12"/>
      <c r="BW15" s="12">
        <v>0.5</v>
      </c>
      <c r="BX15" s="12"/>
      <c r="BZ15" s="12"/>
      <c r="CA15" s="12">
        <v>2</v>
      </c>
    </row>
    <row r="16" spans="1:79" s="1" customFormat="1">
      <c r="A16" s="3">
        <v>15</v>
      </c>
      <c r="B16" s="3">
        <v>2022202540</v>
      </c>
      <c r="C16" s="3" t="s">
        <v>81</v>
      </c>
      <c r="D16" s="3" t="s">
        <v>67</v>
      </c>
      <c r="E16" s="15">
        <f>SUM(G16:$XES16)</f>
        <v>0</v>
      </c>
      <c r="F16" s="3">
        <f t="shared" si="0"/>
        <v>0</v>
      </c>
      <c r="G16" s="3"/>
      <c r="I16" s="3"/>
      <c r="J16" s="3"/>
      <c r="K16" s="3"/>
      <c r="L16" s="3"/>
      <c r="M16" s="9"/>
      <c r="N16" s="9"/>
      <c r="O16" s="9"/>
      <c r="P16" s="9"/>
      <c r="Q16" s="9"/>
      <c r="R16" s="9"/>
      <c r="S16" s="9"/>
      <c r="T16" s="9"/>
      <c r="U16" s="42"/>
      <c r="V16" s="43"/>
      <c r="W16" s="9"/>
      <c r="X16" s="9"/>
      <c r="Y16" s="9"/>
      <c r="AA16" s="10" t="s">
        <v>24</v>
      </c>
      <c r="AB16" s="9"/>
      <c r="AC16" s="9"/>
      <c r="AD16" s="9"/>
      <c r="AE16" s="9"/>
      <c r="AF16" s="9"/>
      <c r="AK16" s="11"/>
      <c r="AL16" s="11"/>
      <c r="AM16" s="11"/>
      <c r="AN16" s="11"/>
      <c r="AO16" s="11"/>
      <c r="AP16" s="11"/>
      <c r="AZ16" s="3"/>
      <c r="BB16" s="10" t="s">
        <v>51</v>
      </c>
      <c r="BF16" s="12"/>
      <c r="BS16" s="10" t="s">
        <v>57</v>
      </c>
      <c r="BT16" s="16"/>
      <c r="BU16" s="13"/>
      <c r="BV16" s="12"/>
      <c r="BW16" s="12"/>
      <c r="BX16" s="12"/>
      <c r="BZ16" s="12"/>
      <c r="CA16" s="12"/>
    </row>
    <row r="17" spans="1:79" s="1" customFormat="1">
      <c r="A17" s="3">
        <v>16</v>
      </c>
      <c r="B17" s="3">
        <v>2022202541</v>
      </c>
      <c r="C17" s="3" t="s">
        <v>82</v>
      </c>
      <c r="D17" s="3" t="s">
        <v>67</v>
      </c>
      <c r="E17" s="15">
        <f>SUM(G17:$XES17)</f>
        <v>53</v>
      </c>
      <c r="F17" s="3">
        <f t="shared" si="0"/>
        <v>5</v>
      </c>
      <c r="G17" s="3">
        <v>40</v>
      </c>
      <c r="I17" s="3"/>
      <c r="J17" s="3"/>
      <c r="K17" s="3"/>
      <c r="L17" s="3"/>
      <c r="M17" s="9"/>
      <c r="N17" s="9"/>
      <c r="O17" s="9"/>
      <c r="P17" s="9"/>
      <c r="Q17" s="9">
        <v>4</v>
      </c>
      <c r="R17" s="9"/>
      <c r="S17" s="9">
        <v>2</v>
      </c>
      <c r="T17" s="9"/>
      <c r="U17" s="42"/>
      <c r="V17" s="43"/>
      <c r="W17" s="9"/>
      <c r="X17" s="9"/>
      <c r="Y17" s="9"/>
      <c r="AA17" s="10" t="s">
        <v>24</v>
      </c>
      <c r="AB17" s="9"/>
      <c r="AC17" s="9"/>
      <c r="AD17" s="9"/>
      <c r="AE17" s="9"/>
      <c r="AF17" s="9"/>
      <c r="AK17" s="11"/>
      <c r="AL17" s="11"/>
      <c r="AM17" s="11"/>
      <c r="AN17" s="11"/>
      <c r="AO17" s="11"/>
      <c r="AP17" s="11"/>
      <c r="AV17" s="1">
        <v>2</v>
      </c>
      <c r="AZ17" s="3"/>
      <c r="BB17" s="10" t="s">
        <v>51</v>
      </c>
      <c r="BF17" s="12"/>
      <c r="BS17" s="10" t="s">
        <v>57</v>
      </c>
      <c r="BT17" s="16"/>
      <c r="BU17" s="13"/>
      <c r="BV17" s="12"/>
      <c r="BW17" s="12"/>
      <c r="BX17" s="12">
        <v>5</v>
      </c>
      <c r="BZ17" s="12"/>
      <c r="CA17" s="12"/>
    </row>
    <row r="18" spans="1:79" s="1" customFormat="1">
      <c r="A18" s="3">
        <v>17</v>
      </c>
      <c r="B18" s="3">
        <v>2022202542</v>
      </c>
      <c r="C18" s="3" t="s">
        <v>83</v>
      </c>
      <c r="D18" s="3" t="s">
        <v>67</v>
      </c>
      <c r="E18" s="15">
        <f>SUM(G18:$XES18)</f>
        <v>49.5</v>
      </c>
      <c r="F18" s="3">
        <f t="shared" si="0"/>
        <v>8</v>
      </c>
      <c r="G18" s="3"/>
      <c r="I18" s="3"/>
      <c r="J18" s="3"/>
      <c r="K18" s="3"/>
      <c r="L18" s="3"/>
      <c r="M18" s="9"/>
      <c r="N18" s="9"/>
      <c r="O18" s="9"/>
      <c r="P18" s="9"/>
      <c r="Q18" s="9">
        <v>4</v>
      </c>
      <c r="R18" s="9"/>
      <c r="S18" s="9"/>
      <c r="T18" s="9"/>
      <c r="U18" s="42">
        <v>16</v>
      </c>
      <c r="V18" s="43"/>
      <c r="W18" s="9"/>
      <c r="X18" s="9"/>
      <c r="Y18" s="9"/>
      <c r="AA18" s="10" t="s">
        <v>24</v>
      </c>
      <c r="AB18" s="9"/>
      <c r="AC18" s="9"/>
      <c r="AD18" s="9"/>
      <c r="AE18" s="9"/>
      <c r="AF18" s="9"/>
      <c r="AH18" s="1">
        <v>16</v>
      </c>
      <c r="AK18" s="11"/>
      <c r="AL18" s="11"/>
      <c r="AM18" s="11"/>
      <c r="AN18" s="11"/>
      <c r="AO18" s="11"/>
      <c r="AP18" s="11"/>
      <c r="AZ18" s="3"/>
      <c r="BB18" s="10" t="s">
        <v>51</v>
      </c>
      <c r="BF18" s="12"/>
      <c r="BS18" s="10" t="s">
        <v>57</v>
      </c>
      <c r="BT18" s="16"/>
      <c r="BU18" s="13"/>
      <c r="BV18" s="12">
        <v>5</v>
      </c>
      <c r="BW18" s="12">
        <v>0.5</v>
      </c>
      <c r="BX18" s="12">
        <v>5</v>
      </c>
      <c r="BZ18" s="12">
        <v>1</v>
      </c>
      <c r="CA18" s="12">
        <v>2</v>
      </c>
    </row>
    <row r="19" spans="1:79" s="1" customFormat="1">
      <c r="A19" s="3">
        <v>18</v>
      </c>
      <c r="B19" s="3">
        <v>2022202543</v>
      </c>
      <c r="C19" s="3" t="s">
        <v>84</v>
      </c>
      <c r="D19" s="3" t="s">
        <v>67</v>
      </c>
      <c r="E19" s="15">
        <f>SUM(G19:$XES19)</f>
        <v>34</v>
      </c>
      <c r="F19" s="3">
        <f t="shared" si="0"/>
        <v>5</v>
      </c>
      <c r="G19" s="3"/>
      <c r="I19" s="3"/>
      <c r="J19" s="3"/>
      <c r="K19" s="3"/>
      <c r="L19" s="3"/>
      <c r="M19" s="9"/>
      <c r="N19" s="9"/>
      <c r="O19" s="9"/>
      <c r="P19" s="9"/>
      <c r="Q19" s="9"/>
      <c r="R19" s="9"/>
      <c r="S19" s="9"/>
      <c r="T19" s="9"/>
      <c r="U19" s="42">
        <v>16</v>
      </c>
      <c r="V19" s="43"/>
      <c r="W19" s="9"/>
      <c r="X19" s="9"/>
      <c r="Y19" s="9"/>
      <c r="AA19" s="10" t="s">
        <v>24</v>
      </c>
      <c r="AB19" s="9"/>
      <c r="AC19" s="9"/>
      <c r="AD19" s="9"/>
      <c r="AE19" s="9"/>
      <c r="AF19" s="9"/>
      <c r="AK19" s="11"/>
      <c r="AL19" s="11"/>
      <c r="AM19" s="11"/>
      <c r="AN19" s="11"/>
      <c r="AO19" s="11"/>
      <c r="AP19" s="11"/>
      <c r="AV19" s="1">
        <v>2</v>
      </c>
      <c r="AZ19" s="3"/>
      <c r="BA19" s="1">
        <v>4</v>
      </c>
      <c r="BB19" s="10" t="s">
        <v>51</v>
      </c>
      <c r="BF19" s="12"/>
      <c r="BS19" s="10" t="s">
        <v>57</v>
      </c>
      <c r="BT19" s="16"/>
      <c r="BU19" s="13"/>
      <c r="BV19" s="12"/>
      <c r="BW19" s="12"/>
      <c r="BX19" s="12"/>
      <c r="BZ19" s="12">
        <v>2</v>
      </c>
      <c r="CA19" s="12">
        <v>10</v>
      </c>
    </row>
    <row r="20" spans="1:79" s="1" customFormat="1">
      <c r="A20" s="3">
        <v>19</v>
      </c>
      <c r="B20" s="3">
        <v>2022202544</v>
      </c>
      <c r="C20" s="3" t="s">
        <v>85</v>
      </c>
      <c r="D20" s="3" t="s">
        <v>67</v>
      </c>
      <c r="E20" s="15">
        <f>SUM(G20:$XES20)</f>
        <v>51</v>
      </c>
      <c r="F20" s="3">
        <f t="shared" si="0"/>
        <v>8</v>
      </c>
      <c r="G20" s="3"/>
      <c r="I20" s="3"/>
      <c r="J20" s="3"/>
      <c r="K20" s="3"/>
      <c r="L20" s="3"/>
      <c r="M20" s="9"/>
      <c r="N20" s="9"/>
      <c r="O20" s="9"/>
      <c r="P20" s="9"/>
      <c r="Q20" s="9">
        <v>4</v>
      </c>
      <c r="R20" s="9">
        <v>4</v>
      </c>
      <c r="S20" s="9"/>
      <c r="T20" s="9"/>
      <c r="U20" s="42">
        <v>16</v>
      </c>
      <c r="V20" s="43"/>
      <c r="W20" s="9"/>
      <c r="X20" s="9">
        <v>4</v>
      </c>
      <c r="Y20" s="9"/>
      <c r="AA20" s="10" t="s">
        <v>24</v>
      </c>
      <c r="AB20" s="9"/>
      <c r="AC20" s="9"/>
      <c r="AD20" s="9"/>
      <c r="AE20" s="9"/>
      <c r="AF20" s="9"/>
      <c r="AH20" s="1">
        <v>16</v>
      </c>
      <c r="AK20" s="11"/>
      <c r="AL20" s="11"/>
      <c r="AM20" s="11"/>
      <c r="AN20" s="11"/>
      <c r="AO20" s="11"/>
      <c r="AP20" s="11"/>
      <c r="AV20" s="1">
        <v>2</v>
      </c>
      <c r="AZ20" s="3"/>
      <c r="BB20" s="10" t="s">
        <v>51</v>
      </c>
      <c r="BE20" s="1">
        <v>2</v>
      </c>
      <c r="BF20" s="12"/>
      <c r="BS20" s="10" t="s">
        <v>57</v>
      </c>
      <c r="BT20" s="16"/>
      <c r="BU20" s="13">
        <v>3</v>
      </c>
      <c r="BV20" s="12"/>
      <c r="BW20" s="12"/>
      <c r="BX20" s="12"/>
      <c r="BZ20" s="12"/>
      <c r="CA20" s="12"/>
    </row>
    <row r="21" spans="1:79" s="1" customFormat="1">
      <c r="A21" s="3">
        <v>20</v>
      </c>
      <c r="B21" s="3">
        <v>2022202545</v>
      </c>
      <c r="C21" s="3" t="s">
        <v>86</v>
      </c>
      <c r="D21" s="3" t="s">
        <v>67</v>
      </c>
      <c r="E21" s="15">
        <f>SUM(G21:$XES21)</f>
        <v>610.5</v>
      </c>
      <c r="F21" s="3">
        <f t="shared" si="0"/>
        <v>35</v>
      </c>
      <c r="G21" s="3">
        <v>63</v>
      </c>
      <c r="I21" s="3">
        <v>8</v>
      </c>
      <c r="J21" s="3">
        <v>6</v>
      </c>
      <c r="K21" s="3"/>
      <c r="L21" s="3">
        <v>7</v>
      </c>
      <c r="M21" s="9">
        <v>6</v>
      </c>
      <c r="N21" s="9">
        <v>4</v>
      </c>
      <c r="O21" s="9">
        <v>3</v>
      </c>
      <c r="P21" s="9"/>
      <c r="Q21" s="9">
        <v>4</v>
      </c>
      <c r="R21" s="9">
        <v>4</v>
      </c>
      <c r="S21" s="21">
        <v>4</v>
      </c>
      <c r="T21" s="9">
        <v>9</v>
      </c>
      <c r="U21" s="42">
        <v>16</v>
      </c>
      <c r="V21" s="43"/>
      <c r="W21" s="9">
        <v>18</v>
      </c>
      <c r="X21" s="9"/>
      <c r="Y21" s="9"/>
      <c r="AA21" s="10" t="s">
        <v>24</v>
      </c>
      <c r="AB21" s="9"/>
      <c r="AC21" s="9">
        <v>4</v>
      </c>
      <c r="AD21" s="9">
        <v>0.5</v>
      </c>
      <c r="AE21" s="9">
        <v>11</v>
      </c>
      <c r="AF21" s="9"/>
      <c r="AG21" s="1">
        <v>20</v>
      </c>
      <c r="AK21" s="11">
        <v>20</v>
      </c>
      <c r="AL21" s="11">
        <v>9</v>
      </c>
      <c r="AM21" s="11"/>
      <c r="AN21" s="11"/>
      <c r="AO21" s="11"/>
      <c r="AP21" s="11"/>
      <c r="AQ21" s="1">
        <v>7</v>
      </c>
      <c r="AR21" s="1">
        <v>4</v>
      </c>
      <c r="AS21" s="1">
        <v>4</v>
      </c>
      <c r="AV21" s="1">
        <v>6</v>
      </c>
      <c r="AW21" s="1">
        <v>15</v>
      </c>
      <c r="AX21" s="1">
        <v>4</v>
      </c>
      <c r="AZ21" s="3">
        <v>60</v>
      </c>
      <c r="BB21" s="10" t="s">
        <v>51</v>
      </c>
      <c r="BC21" s="1">
        <v>4</v>
      </c>
      <c r="BD21" s="1">
        <v>4</v>
      </c>
      <c r="BE21" s="1">
        <v>2</v>
      </c>
      <c r="BF21" s="12">
        <v>284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S21" s="10" t="s">
        <v>57</v>
      </c>
      <c r="BT21" s="16"/>
      <c r="BU21" s="13"/>
      <c r="BV21" s="12"/>
      <c r="BW21" s="12"/>
      <c r="BX21" s="12"/>
      <c r="BZ21" s="12"/>
      <c r="CA21" s="12"/>
    </row>
    <row r="22" spans="1:79" s="1" customFormat="1">
      <c r="A22" s="3">
        <v>21</v>
      </c>
      <c r="B22" s="3">
        <v>2022202546</v>
      </c>
      <c r="C22" s="3" t="s">
        <v>87</v>
      </c>
      <c r="D22" s="3" t="s">
        <v>67</v>
      </c>
      <c r="E22" s="15">
        <f>SUM(G22:$XES22)</f>
        <v>14.5</v>
      </c>
      <c r="F22" s="3">
        <f t="shared" si="0"/>
        <v>5</v>
      </c>
      <c r="G22" s="3"/>
      <c r="I22" s="3"/>
      <c r="J22" s="3"/>
      <c r="K22" s="3"/>
      <c r="L22" s="3"/>
      <c r="M22" s="9"/>
      <c r="N22" s="9"/>
      <c r="O22" s="9"/>
      <c r="P22" s="9"/>
      <c r="Q22" s="9"/>
      <c r="R22" s="9"/>
      <c r="S22" s="9"/>
      <c r="T22" s="9"/>
      <c r="U22" s="42"/>
      <c r="V22" s="43"/>
      <c r="W22" s="9"/>
      <c r="X22" s="9"/>
      <c r="Y22" s="9"/>
      <c r="AA22" s="10" t="s">
        <v>24</v>
      </c>
      <c r="AB22" s="9"/>
      <c r="AC22" s="9"/>
      <c r="AD22" s="9"/>
      <c r="AE22" s="9"/>
      <c r="AF22" s="9"/>
      <c r="AK22" s="11"/>
      <c r="AL22" s="11"/>
      <c r="AM22" s="11"/>
      <c r="AN22" s="11"/>
      <c r="AO22" s="11"/>
      <c r="AP22" s="11"/>
      <c r="AZ22" s="3"/>
      <c r="BB22" s="10" t="s">
        <v>51</v>
      </c>
      <c r="BF22" s="12"/>
      <c r="BS22" s="10" t="s">
        <v>57</v>
      </c>
      <c r="BT22" s="16"/>
      <c r="BU22" s="13"/>
      <c r="BV22" s="12">
        <v>5</v>
      </c>
      <c r="BW22" s="12">
        <v>2</v>
      </c>
      <c r="BX22" s="12">
        <v>5</v>
      </c>
      <c r="BY22" s="1">
        <v>0.5</v>
      </c>
      <c r="BZ22" s="12"/>
      <c r="CA22" s="12">
        <v>2</v>
      </c>
    </row>
    <row r="23" spans="1:79" s="1" customFormat="1">
      <c r="A23" s="3">
        <v>22</v>
      </c>
      <c r="B23" s="3">
        <v>2022202547</v>
      </c>
      <c r="C23" s="3" t="s">
        <v>88</v>
      </c>
      <c r="D23" s="3" t="s">
        <v>67</v>
      </c>
      <c r="E23" s="15">
        <f>SUM(G23:$XES23)</f>
        <v>107.5</v>
      </c>
      <c r="F23" s="3">
        <f t="shared" si="0"/>
        <v>7</v>
      </c>
      <c r="G23" s="3"/>
      <c r="I23" s="3"/>
      <c r="J23" s="3"/>
      <c r="K23" s="3"/>
      <c r="L23" s="3"/>
      <c r="M23" s="9"/>
      <c r="N23" s="9"/>
      <c r="O23" s="9"/>
      <c r="P23" s="9"/>
      <c r="Q23" s="9"/>
      <c r="R23" s="9"/>
      <c r="S23" s="9"/>
      <c r="T23" s="9"/>
      <c r="U23" s="42">
        <v>16</v>
      </c>
      <c r="V23" s="43"/>
      <c r="W23" s="9"/>
      <c r="X23" s="9"/>
      <c r="Y23" s="9"/>
      <c r="AA23" s="10" t="s">
        <v>24</v>
      </c>
      <c r="AB23" s="9"/>
      <c r="AC23" s="9"/>
      <c r="AD23" s="9"/>
      <c r="AE23" s="9"/>
      <c r="AF23" s="9"/>
      <c r="AZ23" s="3"/>
      <c r="BA23" s="1">
        <v>4</v>
      </c>
      <c r="BB23" s="10" t="s">
        <v>51</v>
      </c>
      <c r="BE23" s="1">
        <v>2</v>
      </c>
      <c r="BF23" s="12">
        <v>76</v>
      </c>
      <c r="BS23" s="10" t="s">
        <v>57</v>
      </c>
      <c r="BT23" s="16"/>
      <c r="BU23" s="13"/>
      <c r="BV23" s="12"/>
      <c r="BW23" s="12">
        <v>0.5</v>
      </c>
      <c r="BX23" s="12">
        <v>5</v>
      </c>
      <c r="BZ23" s="12"/>
      <c r="CA23" s="12">
        <v>4</v>
      </c>
    </row>
    <row r="24" spans="1:79" s="1" customFormat="1">
      <c r="A24" s="3">
        <v>23</v>
      </c>
      <c r="B24" s="3">
        <v>2022202548</v>
      </c>
      <c r="C24" s="3" t="s">
        <v>89</v>
      </c>
      <c r="D24" s="3" t="s">
        <v>67</v>
      </c>
      <c r="E24" s="15">
        <f>SUM(G24:$XES24)</f>
        <v>106.5</v>
      </c>
      <c r="F24" s="3">
        <f t="shared" si="0"/>
        <v>13</v>
      </c>
      <c r="G24" s="3">
        <v>6</v>
      </c>
      <c r="I24" s="3">
        <v>4</v>
      </c>
      <c r="J24" s="3"/>
      <c r="K24" s="3"/>
      <c r="L24" s="3"/>
      <c r="M24" s="9">
        <v>7</v>
      </c>
      <c r="N24" s="9"/>
      <c r="O24" s="9"/>
      <c r="P24" s="9"/>
      <c r="Q24" s="9">
        <v>4</v>
      </c>
      <c r="R24" s="9">
        <v>4</v>
      </c>
      <c r="S24" s="9">
        <v>2</v>
      </c>
      <c r="T24" s="9">
        <v>2</v>
      </c>
      <c r="U24" s="42">
        <v>16</v>
      </c>
      <c r="V24" s="43"/>
      <c r="W24" s="9"/>
      <c r="X24" s="9">
        <v>4</v>
      </c>
      <c r="Y24" s="9"/>
      <c r="AA24" s="10" t="s">
        <v>24</v>
      </c>
      <c r="AB24" s="11">
        <v>7</v>
      </c>
      <c r="AC24" s="9"/>
      <c r="AD24" s="9"/>
      <c r="AE24" s="9"/>
      <c r="AF24" s="9"/>
      <c r="AH24" s="1">
        <v>16</v>
      </c>
      <c r="AZ24" s="3"/>
      <c r="BB24" s="10" t="s">
        <v>51</v>
      </c>
      <c r="BC24" s="1">
        <v>30.5</v>
      </c>
      <c r="BF24" s="12"/>
      <c r="BS24" s="10" t="s">
        <v>57</v>
      </c>
      <c r="BT24" s="16">
        <v>4</v>
      </c>
      <c r="BU24" s="13"/>
      <c r="BV24" s="12"/>
      <c r="BW24" s="12"/>
      <c r="BX24" s="12"/>
      <c r="BZ24" s="12"/>
      <c r="CA24" s="12"/>
    </row>
    <row r="25" spans="1:79" s="1" customFormat="1">
      <c r="A25" s="3">
        <v>24</v>
      </c>
      <c r="B25" s="3">
        <v>2022202549</v>
      </c>
      <c r="C25" s="3" t="s">
        <v>90</v>
      </c>
      <c r="D25" s="3" t="s">
        <v>67</v>
      </c>
      <c r="E25" s="15">
        <f>SUM(G25:$XES25)</f>
        <v>23</v>
      </c>
      <c r="F25" s="3">
        <f t="shared" si="0"/>
        <v>7</v>
      </c>
      <c r="G25" s="3"/>
      <c r="I25" s="3"/>
      <c r="J25" s="3"/>
      <c r="K25" s="3"/>
      <c r="L25" s="3"/>
      <c r="M25" s="9"/>
      <c r="N25" s="9"/>
      <c r="O25" s="9"/>
      <c r="P25" s="9"/>
      <c r="Q25" s="9">
        <v>4</v>
      </c>
      <c r="R25" s="9"/>
      <c r="S25" s="9"/>
      <c r="T25" s="9"/>
      <c r="U25" s="42"/>
      <c r="V25" s="43"/>
      <c r="W25" s="9"/>
      <c r="X25" s="9"/>
      <c r="Y25" s="9"/>
      <c r="AA25" s="10" t="s">
        <v>24</v>
      </c>
      <c r="AB25" s="9"/>
      <c r="AC25" s="9"/>
      <c r="AD25" s="9"/>
      <c r="AE25" s="9"/>
      <c r="AF25" s="9"/>
      <c r="AV25" s="1">
        <v>2</v>
      </c>
      <c r="AZ25" s="3"/>
      <c r="BA25" s="1">
        <v>4</v>
      </c>
      <c r="BB25" s="10" t="s">
        <v>51</v>
      </c>
      <c r="BE25" s="1">
        <v>2</v>
      </c>
      <c r="BF25" s="12"/>
      <c r="BS25" s="10" t="s">
        <v>57</v>
      </c>
      <c r="BT25" s="16">
        <v>4</v>
      </c>
      <c r="BU25" s="13"/>
      <c r="BV25" s="12">
        <v>5</v>
      </c>
      <c r="BW25" s="12">
        <v>2</v>
      </c>
      <c r="BX25" s="12"/>
      <c r="BZ25" s="12"/>
      <c r="CA25" s="12"/>
    </row>
    <row r="26" spans="1:79" s="1" customFormat="1">
      <c r="A26" s="3">
        <v>25</v>
      </c>
      <c r="B26" s="3">
        <v>2022202550</v>
      </c>
      <c r="C26" s="3" t="s">
        <v>91</v>
      </c>
      <c r="D26" s="3" t="s">
        <v>67</v>
      </c>
      <c r="E26" s="15">
        <f>SUM(G26:$XES26)</f>
        <v>69.5</v>
      </c>
      <c r="F26" s="3">
        <f t="shared" si="0"/>
        <v>10</v>
      </c>
      <c r="G26" s="3"/>
      <c r="I26" s="3">
        <v>4.5</v>
      </c>
      <c r="J26" s="3">
        <v>6</v>
      </c>
      <c r="K26" s="3">
        <v>6</v>
      </c>
      <c r="L26" s="3">
        <v>7</v>
      </c>
      <c r="M26" s="9">
        <v>6</v>
      </c>
      <c r="N26" s="9"/>
      <c r="O26" s="9"/>
      <c r="P26" s="9"/>
      <c r="Q26" s="9">
        <v>4</v>
      </c>
      <c r="R26" s="9"/>
      <c r="S26" s="9"/>
      <c r="T26" s="9"/>
      <c r="U26" s="42"/>
      <c r="V26" s="43"/>
      <c r="W26" s="9"/>
      <c r="X26" s="9"/>
      <c r="Y26" s="9"/>
      <c r="AA26" s="10" t="s">
        <v>24</v>
      </c>
      <c r="AB26" s="9">
        <v>12</v>
      </c>
      <c r="AC26" s="9"/>
      <c r="AD26" s="9"/>
      <c r="AE26" s="9"/>
      <c r="AF26" s="9"/>
      <c r="AL26" s="1">
        <v>6</v>
      </c>
      <c r="AN26" s="1">
        <v>10</v>
      </c>
      <c r="AQ26" s="1">
        <v>8</v>
      </c>
      <c r="AZ26" s="3"/>
      <c r="BB26" s="10" t="s">
        <v>51</v>
      </c>
      <c r="BF26" s="12"/>
      <c r="BS26" s="10" t="s">
        <v>57</v>
      </c>
      <c r="BT26" s="16"/>
      <c r="BU26" s="13"/>
      <c r="BV26" s="12"/>
      <c r="BW26" s="12"/>
      <c r="BX26" s="12"/>
      <c r="BZ26" s="12"/>
      <c r="CA26" s="12"/>
    </row>
    <row r="27" spans="1:79" s="1" customFormat="1">
      <c r="A27" s="3">
        <v>26</v>
      </c>
      <c r="B27" s="3">
        <v>2022202551</v>
      </c>
      <c r="C27" s="3" t="s">
        <v>92</v>
      </c>
      <c r="D27" s="3" t="s">
        <v>67</v>
      </c>
      <c r="E27" s="15">
        <f>SUM(G27:$XES27)</f>
        <v>8</v>
      </c>
      <c r="F27" s="3">
        <f t="shared" si="0"/>
        <v>1</v>
      </c>
      <c r="G27" s="3"/>
      <c r="I27" s="3"/>
      <c r="J27" s="3"/>
      <c r="K27" s="3"/>
      <c r="L27" s="3"/>
      <c r="M27" s="9"/>
      <c r="N27" s="9"/>
      <c r="O27" s="9"/>
      <c r="P27" s="9"/>
      <c r="Q27" s="9"/>
      <c r="R27" s="9"/>
      <c r="S27" s="9"/>
      <c r="T27" s="9"/>
      <c r="U27" s="42">
        <v>8</v>
      </c>
      <c r="V27" s="43"/>
      <c r="W27" s="9"/>
      <c r="X27" s="9"/>
      <c r="Y27" s="9"/>
      <c r="AA27" s="10" t="s">
        <v>24</v>
      </c>
      <c r="AB27" s="9"/>
      <c r="AC27" s="9"/>
      <c r="AD27" s="9"/>
      <c r="AE27" s="9"/>
      <c r="AF27" s="9"/>
      <c r="AZ27" s="3"/>
      <c r="BB27" s="10" t="s">
        <v>51</v>
      </c>
      <c r="BF27" s="12"/>
      <c r="BH27" s="12"/>
      <c r="BS27" s="10" t="s">
        <v>57</v>
      </c>
      <c r="BT27" s="16"/>
      <c r="BU27" s="13"/>
      <c r="BV27" s="12"/>
      <c r="BW27" s="12"/>
      <c r="BX27" s="12"/>
      <c r="BZ27" s="12"/>
      <c r="CA27" s="12"/>
    </row>
    <row r="28" spans="1:79" s="1" customFormat="1">
      <c r="A28" s="3">
        <v>27</v>
      </c>
      <c r="B28" s="3">
        <v>2022202552</v>
      </c>
      <c r="C28" s="3" t="s">
        <v>93</v>
      </c>
      <c r="D28" s="3" t="s">
        <v>67</v>
      </c>
      <c r="E28" s="15">
        <f>SUM(G28:$XES28)</f>
        <v>37.5</v>
      </c>
      <c r="F28" s="3">
        <f t="shared" si="0"/>
        <v>8</v>
      </c>
      <c r="G28" s="3"/>
      <c r="I28" s="3"/>
      <c r="J28" s="3"/>
      <c r="K28" s="3"/>
      <c r="L28" s="3"/>
      <c r="M28" s="9"/>
      <c r="N28" s="9"/>
      <c r="O28" s="9"/>
      <c r="P28" s="9"/>
      <c r="Q28" s="9">
        <v>4</v>
      </c>
      <c r="R28" s="9"/>
      <c r="S28" s="9">
        <v>2</v>
      </c>
      <c r="T28" s="9"/>
      <c r="U28" s="42">
        <v>16</v>
      </c>
      <c r="V28" s="43"/>
      <c r="W28" s="9"/>
      <c r="X28" s="9"/>
      <c r="Y28" s="9"/>
      <c r="AA28" s="10" t="s">
        <v>24</v>
      </c>
      <c r="AB28" s="9"/>
      <c r="AC28" s="9"/>
      <c r="AD28" s="9">
        <v>2.5</v>
      </c>
      <c r="AE28" s="9"/>
      <c r="AF28" s="9"/>
      <c r="AR28" s="1">
        <v>4</v>
      </c>
      <c r="AZ28" s="3"/>
      <c r="BA28" s="1">
        <v>4</v>
      </c>
      <c r="BB28" s="10" t="s">
        <v>51</v>
      </c>
      <c r="BF28" s="12"/>
      <c r="BH28" s="12"/>
      <c r="BS28" s="10" t="s">
        <v>57</v>
      </c>
      <c r="BT28" s="16"/>
      <c r="BU28" s="13"/>
      <c r="BV28" s="12"/>
      <c r="BW28" s="12">
        <v>1</v>
      </c>
      <c r="BX28" s="12"/>
      <c r="BZ28" s="12"/>
      <c r="CA28" s="12">
        <v>4</v>
      </c>
    </row>
    <row r="29" spans="1:79" s="1" customFormat="1">
      <c r="A29" s="3">
        <v>28</v>
      </c>
      <c r="B29" s="3">
        <v>2022202553</v>
      </c>
      <c r="C29" s="3" t="s">
        <v>94</v>
      </c>
      <c r="D29" s="3" t="s">
        <v>67</v>
      </c>
      <c r="E29" s="15">
        <f>SUM(G29:$XES29)</f>
        <v>116</v>
      </c>
      <c r="F29" s="3">
        <f t="shared" si="0"/>
        <v>10</v>
      </c>
      <c r="G29" s="3"/>
      <c r="I29" s="3"/>
      <c r="J29" s="3"/>
      <c r="K29" s="3">
        <v>6</v>
      </c>
      <c r="L29" s="3">
        <v>7</v>
      </c>
      <c r="M29" s="9"/>
      <c r="N29" s="9"/>
      <c r="O29" s="9"/>
      <c r="P29" s="9"/>
      <c r="Q29" s="9">
        <v>4</v>
      </c>
      <c r="R29" s="9">
        <v>4</v>
      </c>
      <c r="S29" s="9">
        <v>2</v>
      </c>
      <c r="T29" s="9">
        <v>13</v>
      </c>
      <c r="U29" s="42">
        <v>16</v>
      </c>
      <c r="V29" s="43"/>
      <c r="W29" s="9">
        <v>26</v>
      </c>
      <c r="X29" s="9"/>
      <c r="Y29" s="9"/>
      <c r="AA29" s="10" t="s">
        <v>24</v>
      </c>
      <c r="AB29" s="9"/>
      <c r="AC29" s="9"/>
      <c r="AD29" s="9"/>
      <c r="AE29" s="9">
        <v>22</v>
      </c>
      <c r="AF29" s="9"/>
      <c r="AH29" s="1">
        <v>16</v>
      </c>
      <c r="AZ29" s="3"/>
      <c r="BB29" s="10" t="s">
        <v>51</v>
      </c>
      <c r="BF29" s="12"/>
      <c r="BH29" s="12"/>
      <c r="BS29" s="10" t="s">
        <v>57</v>
      </c>
      <c r="BT29" s="16"/>
      <c r="BU29" s="13"/>
      <c r="BV29" s="12"/>
      <c r="BW29" s="12"/>
      <c r="BX29" s="12"/>
      <c r="BZ29" s="12"/>
      <c r="CA29" s="12"/>
    </row>
    <row r="30" spans="1:79" s="1" customFormat="1">
      <c r="A30" s="3">
        <v>29</v>
      </c>
      <c r="B30" s="3">
        <v>2022202554</v>
      </c>
      <c r="C30" s="3" t="s">
        <v>95</v>
      </c>
      <c r="D30" s="3" t="s">
        <v>67</v>
      </c>
      <c r="E30" s="15">
        <f>SUM(G30:$XES30)</f>
        <v>192</v>
      </c>
      <c r="F30" s="3">
        <f t="shared" si="0"/>
        <v>12</v>
      </c>
      <c r="G30" s="3">
        <v>6</v>
      </c>
      <c r="I30" s="3"/>
      <c r="J30" s="3"/>
      <c r="K30" s="3"/>
      <c r="L30" s="3">
        <v>6</v>
      </c>
      <c r="M30" s="9"/>
      <c r="N30" s="9"/>
      <c r="O30" s="9"/>
      <c r="P30" s="9">
        <v>92</v>
      </c>
      <c r="Q30" s="9">
        <v>4</v>
      </c>
      <c r="R30" s="9">
        <v>4</v>
      </c>
      <c r="S30" s="9"/>
      <c r="T30" s="9"/>
      <c r="U30" s="42">
        <v>16</v>
      </c>
      <c r="V30" s="43"/>
      <c r="W30" s="9"/>
      <c r="X30" s="9">
        <v>4</v>
      </c>
      <c r="Y30" s="9">
        <v>4</v>
      </c>
      <c r="AA30" s="10" t="s">
        <v>24</v>
      </c>
      <c r="AB30" s="9"/>
      <c r="AC30" s="9"/>
      <c r="AD30" s="9"/>
      <c r="AE30" s="9"/>
      <c r="AF30" s="9"/>
      <c r="AJ30" s="1">
        <v>2</v>
      </c>
      <c r="AN30" s="1">
        <v>10</v>
      </c>
      <c r="AV30" s="1">
        <v>2</v>
      </c>
      <c r="AY30" s="1">
        <v>42</v>
      </c>
      <c r="AZ30" s="3"/>
      <c r="BB30" s="10" t="s">
        <v>51</v>
      </c>
      <c r="BF30" s="12"/>
      <c r="BH30" s="12"/>
      <c r="BS30" s="10" t="s">
        <v>57</v>
      </c>
      <c r="BT30" s="16"/>
      <c r="BU30" s="13"/>
      <c r="BV30" s="12"/>
      <c r="BW30" s="12"/>
      <c r="BX30" s="12"/>
      <c r="BZ30" s="12"/>
      <c r="CA30" s="12"/>
    </row>
    <row r="31" spans="1:79" s="1" customFormat="1">
      <c r="A31" s="3">
        <v>30</v>
      </c>
      <c r="B31" s="3">
        <v>2022202555</v>
      </c>
      <c r="C31" s="3" t="s">
        <v>96</v>
      </c>
      <c r="D31" s="3" t="s">
        <v>67</v>
      </c>
      <c r="E31" s="15">
        <f>SUM(G31:$XES31)</f>
        <v>72.5</v>
      </c>
      <c r="F31" s="3">
        <f t="shared" si="0"/>
        <v>9</v>
      </c>
      <c r="G31" s="3"/>
      <c r="I31" s="3"/>
      <c r="J31" s="3"/>
      <c r="K31" s="3"/>
      <c r="L31" s="3"/>
      <c r="M31" s="9"/>
      <c r="N31" s="9"/>
      <c r="O31" s="9"/>
      <c r="P31" s="9"/>
      <c r="Q31" s="9">
        <v>4</v>
      </c>
      <c r="R31" s="9"/>
      <c r="S31" s="9">
        <v>4</v>
      </c>
      <c r="T31" s="9"/>
      <c r="U31" s="42"/>
      <c r="V31" s="43"/>
      <c r="W31" s="9"/>
      <c r="X31" s="9"/>
      <c r="Y31" s="9"/>
      <c r="Z31" s="1">
        <v>4</v>
      </c>
      <c r="AA31" s="10" t="s">
        <v>24</v>
      </c>
      <c r="AB31" s="9">
        <v>7</v>
      </c>
      <c r="AC31" s="9"/>
      <c r="AD31" s="9">
        <v>0.5</v>
      </c>
      <c r="AE31" s="9"/>
      <c r="AF31" s="9">
        <v>24</v>
      </c>
      <c r="AK31" s="1">
        <v>20</v>
      </c>
      <c r="AV31" s="1">
        <v>6</v>
      </c>
      <c r="AZ31" s="3"/>
      <c r="BB31" s="10" t="s">
        <v>51</v>
      </c>
      <c r="BF31" s="12"/>
      <c r="BH31" s="12"/>
      <c r="BS31" s="10" t="s">
        <v>57</v>
      </c>
      <c r="BT31" s="16"/>
      <c r="BU31" s="13">
        <v>3</v>
      </c>
      <c r="BV31" s="12"/>
      <c r="BW31" s="12"/>
      <c r="BX31" s="12"/>
      <c r="BZ31" s="12"/>
      <c r="CA31" s="12"/>
    </row>
    <row r="32" spans="1:79" s="1" customFormat="1">
      <c r="A32" s="3">
        <v>31</v>
      </c>
      <c r="B32" s="3">
        <v>2022202869</v>
      </c>
      <c r="C32" s="3" t="s">
        <v>97</v>
      </c>
      <c r="D32" s="3" t="s">
        <v>67</v>
      </c>
      <c r="E32" s="15">
        <f>SUM(G32:$XES32)</f>
        <v>22</v>
      </c>
      <c r="F32" s="3">
        <f t="shared" si="0"/>
        <v>6</v>
      </c>
      <c r="G32" s="3"/>
      <c r="I32" s="3"/>
      <c r="J32" s="3"/>
      <c r="K32" s="3"/>
      <c r="L32" s="3"/>
      <c r="M32" s="9"/>
      <c r="N32" s="9"/>
      <c r="O32" s="9"/>
      <c r="P32" s="9"/>
      <c r="Q32" s="9"/>
      <c r="R32" s="9"/>
      <c r="S32" s="9"/>
      <c r="T32" s="9"/>
      <c r="U32" s="42"/>
      <c r="V32" s="43"/>
      <c r="W32" s="9"/>
      <c r="X32" s="9"/>
      <c r="Y32" s="9"/>
      <c r="AA32" s="10" t="s">
        <v>24</v>
      </c>
      <c r="AB32" s="9"/>
      <c r="AC32" s="9"/>
      <c r="AD32" s="9"/>
      <c r="AE32" s="9"/>
      <c r="AF32" s="9"/>
      <c r="AZ32" s="3"/>
      <c r="BB32" s="10" t="s">
        <v>51</v>
      </c>
      <c r="BF32" s="12"/>
      <c r="BH32" s="12"/>
      <c r="BS32" s="10" t="s">
        <v>57</v>
      </c>
      <c r="BT32" s="16"/>
      <c r="BU32" s="13"/>
      <c r="BV32" s="12">
        <v>5</v>
      </c>
      <c r="BW32" s="12">
        <v>2</v>
      </c>
      <c r="BX32" s="12">
        <v>5</v>
      </c>
      <c r="BY32" s="1">
        <v>1</v>
      </c>
      <c r="BZ32" s="12">
        <v>5</v>
      </c>
      <c r="CA32" s="12">
        <v>4</v>
      </c>
    </row>
    <row r="33" spans="1:79" s="1" customFormat="1">
      <c r="A33" s="3">
        <v>32</v>
      </c>
      <c r="B33" s="3">
        <v>2022202870</v>
      </c>
      <c r="C33" s="3" t="s">
        <v>98</v>
      </c>
      <c r="D33" s="3" t="s">
        <v>67</v>
      </c>
      <c r="E33" s="15">
        <f>SUM(G33:$XES33)</f>
        <v>9</v>
      </c>
      <c r="F33" s="3">
        <f t="shared" si="0"/>
        <v>2</v>
      </c>
      <c r="G33" s="3"/>
      <c r="I33" s="3"/>
      <c r="J33" s="3"/>
      <c r="K33" s="3"/>
      <c r="L33" s="3"/>
      <c r="M33" s="9"/>
      <c r="N33" s="9"/>
      <c r="O33" s="9"/>
      <c r="P33" s="9"/>
      <c r="Q33" s="9"/>
      <c r="R33" s="9"/>
      <c r="S33" s="9"/>
      <c r="T33" s="9"/>
      <c r="U33" s="42"/>
      <c r="V33" s="43"/>
      <c r="W33" s="9"/>
      <c r="X33" s="9"/>
      <c r="Y33" s="9"/>
      <c r="AA33" s="10" t="s">
        <v>24</v>
      </c>
      <c r="AB33" s="9"/>
      <c r="AC33" s="9"/>
      <c r="AD33" s="9"/>
      <c r="AE33" s="9"/>
      <c r="AF33" s="9"/>
      <c r="AZ33" s="3">
        <v>4</v>
      </c>
      <c r="BB33" s="10" t="s">
        <v>51</v>
      </c>
      <c r="BF33" s="12"/>
      <c r="BH33" s="12"/>
      <c r="BS33" s="10" t="s">
        <v>57</v>
      </c>
      <c r="BT33" s="16"/>
      <c r="BU33" s="13"/>
      <c r="BV33" s="12"/>
      <c r="BW33" s="12"/>
      <c r="BX33" s="12">
        <v>5</v>
      </c>
      <c r="BZ33" s="12"/>
      <c r="CA33" s="12"/>
    </row>
    <row r="34" spans="1:79" s="3" customFormat="1">
      <c r="A34" s="3">
        <v>33</v>
      </c>
      <c r="B34" s="3">
        <v>2021202830</v>
      </c>
      <c r="C34" s="3" t="s">
        <v>99</v>
      </c>
      <c r="D34" s="3" t="s">
        <v>67</v>
      </c>
      <c r="E34" s="3">
        <f>SUM(G34:$XES34)</f>
        <v>60</v>
      </c>
      <c r="F34" s="3">
        <f t="shared" si="0"/>
        <v>7</v>
      </c>
      <c r="AA34" s="10" t="s">
        <v>24</v>
      </c>
      <c r="BB34" s="10" t="s">
        <v>51</v>
      </c>
      <c r="BH34" s="12"/>
      <c r="BL34" s="3">
        <v>60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0" t="s">
        <v>57</v>
      </c>
      <c r="BT34" s="16"/>
      <c r="BU34" s="13"/>
      <c r="BV34" s="12"/>
      <c r="BW34" s="12"/>
      <c r="BX34" s="12"/>
    </row>
    <row r="35" spans="1:79" s="3" customFormat="1">
      <c r="A35" s="3">
        <v>34</v>
      </c>
      <c r="B35" s="3">
        <v>2021202833</v>
      </c>
      <c r="C35" s="3" t="s">
        <v>100</v>
      </c>
      <c r="D35" s="3" t="s">
        <v>67</v>
      </c>
      <c r="E35" s="3">
        <f>SUM(G35:$XES35)</f>
        <v>29</v>
      </c>
      <c r="F35" s="3">
        <f t="shared" si="0"/>
        <v>7</v>
      </c>
      <c r="AA35" s="10" t="s">
        <v>24</v>
      </c>
      <c r="BB35" s="10" t="s">
        <v>51</v>
      </c>
      <c r="BH35" s="12"/>
      <c r="BL35" s="3">
        <v>25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S35" s="10" t="s">
        <v>57</v>
      </c>
      <c r="BT35" s="16">
        <v>4</v>
      </c>
      <c r="BU35" s="13"/>
      <c r="BV35" s="12"/>
      <c r="BW35" s="12"/>
      <c r="BX35" s="12"/>
    </row>
    <row r="36" spans="1:79" s="3" customFormat="1">
      <c r="A36" s="3">
        <v>35</v>
      </c>
      <c r="B36" s="3">
        <v>2021202839</v>
      </c>
      <c r="C36" s="3" t="s">
        <v>101</v>
      </c>
      <c r="D36" s="3" t="s">
        <v>67</v>
      </c>
      <c r="E36" s="3">
        <f>SUM(G36:$XES36)</f>
        <v>39</v>
      </c>
      <c r="F36" s="3">
        <f t="shared" si="0"/>
        <v>7</v>
      </c>
      <c r="AA36" s="10" t="s">
        <v>24</v>
      </c>
      <c r="BB36" s="10" t="s">
        <v>51</v>
      </c>
      <c r="BF36" s="3">
        <v>16</v>
      </c>
      <c r="BH36" s="12"/>
      <c r="BL36" s="3">
        <v>23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S36" s="10" t="s">
        <v>57</v>
      </c>
      <c r="BT36" s="16"/>
      <c r="BU36" s="13"/>
      <c r="BV36" s="12"/>
      <c r="BW36" s="12"/>
      <c r="BX36" s="12"/>
    </row>
  </sheetData>
  <mergeCells count="33">
    <mergeCell ref="U1:V1"/>
    <mergeCell ref="U23:V23"/>
    <mergeCell ref="U14:V14"/>
    <mergeCell ref="U10:V10"/>
    <mergeCell ref="U19:V19"/>
    <mergeCell ref="U4:V4"/>
    <mergeCell ref="U33:V33"/>
    <mergeCell ref="U28:V28"/>
    <mergeCell ref="U24:V24"/>
    <mergeCell ref="U18:V18"/>
    <mergeCell ref="U8:V8"/>
    <mergeCell ref="U29:V29"/>
    <mergeCell ref="U20:V20"/>
    <mergeCell ref="U26:V26"/>
    <mergeCell ref="U32:V32"/>
    <mergeCell ref="U13:V13"/>
    <mergeCell ref="U7:V7"/>
    <mergeCell ref="U12:V12"/>
    <mergeCell ref="U3:V3"/>
    <mergeCell ref="U21:V21"/>
    <mergeCell ref="U5:V5"/>
    <mergeCell ref="U2:V2"/>
    <mergeCell ref="U17:V17"/>
    <mergeCell ref="U11:V11"/>
    <mergeCell ref="U25:V25"/>
    <mergeCell ref="U16:V16"/>
    <mergeCell ref="U31:V31"/>
    <mergeCell ref="U22:V22"/>
    <mergeCell ref="U9:V9"/>
    <mergeCell ref="U15:V15"/>
    <mergeCell ref="U6:V6"/>
    <mergeCell ref="U30:V30"/>
    <mergeCell ref="U27:V27"/>
  </mergeCells>
  <phoneticPr fontId="13" type="noConversion"/>
  <pageMargins left="0.75" right="0.75" top="1" bottom="1" header="0.5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法语班</vt:lpstr>
      <vt:lpstr>国管班</vt:lpstr>
      <vt:lpstr>传播学</vt:lpstr>
      <vt:lpstr>金融1班</vt:lpstr>
      <vt:lpstr>金融2班</vt:lpstr>
      <vt:lpstr>金融3班</vt:lpstr>
      <vt:lpstr>人管班</vt:lpstr>
      <vt:lpstr>数学班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tangjingyi</dc:creator>
  <cp:lastModifiedBy>Marius Li</cp:lastModifiedBy>
  <cp:revision>0</cp:revision>
  <dcterms:created xsi:type="dcterms:W3CDTF">2024-05-26T06:12:00Z</dcterms:created>
  <dcterms:modified xsi:type="dcterms:W3CDTF">2026-04-04T02:50:39Z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0B591AB8F34D4F139E2864F083F9D1C9_13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