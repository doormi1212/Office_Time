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oormi/Desktop/"/>
    </mc:Choice>
  </mc:AlternateContent>
  <xr:revisionPtr revIDLastSave="0" documentId="13_ncr:1_{CDF17C33-0C8C-654D-A311-953B65836BC0}" xr6:coauthVersionLast="47" xr6:coauthVersionMax="47" xr10:uidLastSave="{00000000-0000-0000-0000-000000000000}"/>
  <bookViews>
    <workbookView xWindow="0" yWindow="660" windowWidth="20620" windowHeight="17180" xr2:uid="{00000000-000D-0000-FFFF-FFFF00000000}"/>
  </bookViews>
  <sheets>
    <sheet name="传播学" sheetId="2" r:id="rId1"/>
    <sheet name="数学" sheetId="3" r:id="rId2"/>
    <sheet name="法语" sheetId="4" r:id="rId3"/>
    <sheet name="国管" sheetId="5" r:id="rId4"/>
    <sheet name="人管" sheetId="6" r:id="rId5"/>
    <sheet name="金融1班" sheetId="7" r:id="rId6"/>
    <sheet name="金融2班" sheetId="8" r:id="rId7"/>
    <sheet name="金融3班" sheetId="9" r:id="rId8"/>
  </sheets>
  <definedNames>
    <definedName name="Color">法语!$BN$13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9" l="1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G60" i="7"/>
  <c r="G59" i="7"/>
  <c r="G58" i="7"/>
  <c r="G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40" i="3"/>
  <c r="G39" i="3"/>
  <c r="G38" i="3"/>
  <c r="G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4" i="2"/>
  <c r="F4" i="2"/>
  <c r="G3" i="2"/>
  <c r="F3" i="2"/>
  <c r="G2" i="2"/>
  <c r="F2" i="2"/>
  <c r="G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</calcChain>
</file>

<file path=xl/sharedStrings.xml><?xml version="1.0" encoding="utf-8"?>
<sst xmlns="http://schemas.openxmlformats.org/spreadsheetml/2006/main" count="3926" uniqueCount="450">
  <si>
    <t>学号</t>
  </si>
  <si>
    <t>姓名</t>
  </si>
  <si>
    <t>性别</t>
  </si>
  <si>
    <t>录取专业</t>
  </si>
  <si>
    <t>班级</t>
  </si>
  <si>
    <t>总时长</t>
  </si>
  <si>
    <t>项数</t>
  </si>
  <si>
    <t>2023.9-2024.7校外志愿</t>
  </si>
  <si>
    <t>“儿童留乡，人苏守情”</t>
  </si>
  <si>
    <t>中法文化论坛</t>
  </si>
  <si>
    <t>噢啦旧物义卖</t>
  </si>
  <si>
    <t>摄影社活动</t>
  </si>
  <si>
    <t>阿坝线上支教</t>
  </si>
  <si>
    <t>2023-2024一二九合唱</t>
  </si>
  <si>
    <t>24文萃留学生入住志愿者</t>
  </si>
  <si>
    <t>军训服装捐赠</t>
  </si>
  <si>
    <t>寒假支教</t>
  </si>
  <si>
    <t>2024捐步植树</t>
  </si>
  <si>
    <t>2024寒假支教项目</t>
  </si>
  <si>
    <t>2024数字马拉松</t>
  </si>
  <si>
    <t>2024万人健步走</t>
  </si>
  <si>
    <t>2024学位授予仪式</t>
  </si>
  <si>
    <t>文缘宿舍装饰大赛</t>
  </si>
  <si>
    <t>羽毛球赛场务</t>
  </si>
  <si>
    <t>2024春季蓝天救援</t>
  </si>
  <si>
    <t>拙政园7.0</t>
  </si>
  <si>
    <t>2024暑期支教</t>
  </si>
  <si>
    <t>2024五月夜跑</t>
  </si>
  <si>
    <t>23-24学长来了+寒假宣讲</t>
  </si>
  <si>
    <t>健美操比赛</t>
  </si>
  <si>
    <t>2024寒假社会实践</t>
  </si>
  <si>
    <t>秋季运动会</t>
  </si>
  <si>
    <t>暑期校内志愿</t>
  </si>
  <si>
    <t>第三届法语活动节</t>
  </si>
  <si>
    <t>青年对话会</t>
  </si>
  <si>
    <t>学生组织</t>
  </si>
  <si>
    <t>学生组织留任</t>
  </si>
  <si>
    <t>大一班干部</t>
  </si>
  <si>
    <t>话剧团演出</t>
  </si>
  <si>
    <t>大中协同育人</t>
  </si>
  <si>
    <t>春季学期支教</t>
  </si>
  <si>
    <t>24暑期招生</t>
  </si>
  <si>
    <t>23-24学年</t>
  </si>
  <si>
    <t>24迎新</t>
  </si>
  <si>
    <t>拙政园9.0</t>
  </si>
  <si>
    <t>2024秋季蓝天救援</t>
  </si>
  <si>
    <t>环太湖马拉松</t>
  </si>
  <si>
    <t>24中欧文化论坛</t>
  </si>
  <si>
    <t>24秋模联志愿者</t>
  </si>
  <si>
    <t>善聚义卖</t>
  </si>
  <si>
    <t>博物馆里的大思政课</t>
  </si>
  <si>
    <t>图书馆</t>
  </si>
  <si>
    <t>25寒假支教</t>
  </si>
  <si>
    <t>人大组歌</t>
  </si>
  <si>
    <t>诗词活动</t>
  </si>
  <si>
    <t>捐步植树</t>
  </si>
  <si>
    <t>25寒假宣讲</t>
  </si>
  <si>
    <t>24秋阿坝支教</t>
  </si>
  <si>
    <t>口述史资料整理</t>
  </si>
  <si>
    <t>拙政园11.0</t>
  </si>
  <si>
    <t>五月夜跑签到</t>
  </si>
  <si>
    <t>五月夜跑</t>
  </si>
  <si>
    <t>5.25捐物</t>
  </si>
  <si>
    <t>拙政园6.2</t>
  </si>
  <si>
    <t>24-25朋辈学业咨询</t>
  </si>
  <si>
    <t>2024.8-2025.6校外志愿</t>
  </si>
  <si>
    <t>大二学生组织参与</t>
  </si>
  <si>
    <t>大二班委</t>
  </si>
  <si>
    <t>大二其他学生工作</t>
  </si>
  <si>
    <t>25暑期支教</t>
  </si>
  <si>
    <t>2025.7-2025.8校外志愿</t>
  </si>
  <si>
    <t>25暑期招生</t>
  </si>
  <si>
    <t>24-25学年</t>
  </si>
  <si>
    <t>25-26学年校外志愿</t>
  </si>
  <si>
    <t>一分钟支教</t>
  </si>
  <si>
    <t>植树捐步</t>
  </si>
  <si>
    <t>汤景诒</t>
  </si>
  <si>
    <t>女</t>
  </si>
  <si>
    <t>传播学</t>
  </si>
  <si>
    <t>传播</t>
  </si>
  <si>
    <t/>
  </si>
  <si>
    <t>王瑞霖</t>
  </si>
  <si>
    <t>男</t>
  </si>
  <si>
    <t>刘源</t>
  </si>
  <si>
    <t>王子悦</t>
  </si>
  <si>
    <t>见24传播</t>
  </si>
  <si>
    <t>毛雨欣</t>
  </si>
  <si>
    <t>杜叶欣</t>
  </si>
  <si>
    <t>王佳忆</t>
  </si>
  <si>
    <t>顾天雯</t>
  </si>
  <si>
    <t>王嘉怡</t>
  </si>
  <si>
    <t>周卓颖</t>
  </si>
  <si>
    <t>胡益铭</t>
  </si>
  <si>
    <t>王予祺</t>
  </si>
  <si>
    <t>尹一卓</t>
  </si>
  <si>
    <t>李昊</t>
  </si>
  <si>
    <t>李宛桐</t>
  </si>
  <si>
    <t>林卓尔</t>
  </si>
  <si>
    <t>王子木</t>
  </si>
  <si>
    <t>孙一鸣</t>
  </si>
  <si>
    <t>杨玟瑫</t>
  </si>
  <si>
    <t>吕其潼</t>
  </si>
  <si>
    <t>郝亦瑶</t>
  </si>
  <si>
    <t>马荣熹</t>
  </si>
  <si>
    <t>崔宇萱</t>
  </si>
  <si>
    <t>郭悦心</t>
  </si>
  <si>
    <t>韩雨书</t>
  </si>
  <si>
    <t>周一爽</t>
  </si>
  <si>
    <t>法语</t>
  </si>
  <si>
    <t>见法语</t>
  </si>
  <si>
    <t>阿坝支教</t>
  </si>
  <si>
    <t>军训服捐赠</t>
  </si>
  <si>
    <t>临时搬桌椅整理教室</t>
  </si>
  <si>
    <t>春季运动会</t>
  </si>
  <si>
    <t>苏博文创设计</t>
  </si>
  <si>
    <t>拙政园8.0</t>
  </si>
  <si>
    <t>朋辈辅导员</t>
  </si>
  <si>
    <t>24开学典礼</t>
  </si>
  <si>
    <t>25寒假宣讲+“学长来了”</t>
  </si>
  <si>
    <t>24-25秋季学期摄影协会</t>
  </si>
  <si>
    <t>摄影协会春季学期</t>
  </si>
  <si>
    <t>周雨洋</t>
  </si>
  <si>
    <t>数学与应用数学</t>
  </si>
  <si>
    <t>数学</t>
  </si>
  <si>
    <t>黄立为</t>
  </si>
  <si>
    <t>陈飞同</t>
  </si>
  <si>
    <t>杨心怡</t>
  </si>
  <si>
    <t>朱又玄</t>
  </si>
  <si>
    <t>姜沅昊</t>
  </si>
  <si>
    <t>王闻仪</t>
  </si>
  <si>
    <t>郑君豪</t>
  </si>
  <si>
    <t>姜昕彤</t>
  </si>
  <si>
    <t>邱淼</t>
  </si>
  <si>
    <t>李炯逸</t>
  </si>
  <si>
    <t>胡卓清</t>
  </si>
  <si>
    <t>郭雨扬</t>
  </si>
  <si>
    <t>陈学儒</t>
  </si>
  <si>
    <t>钱思睿</t>
  </si>
  <si>
    <t>王博宸</t>
  </si>
  <si>
    <t>李国仕</t>
  </si>
  <si>
    <t>肖南</t>
  </si>
  <si>
    <t>方新正</t>
  </si>
  <si>
    <t>王泓皓</t>
  </si>
  <si>
    <t>刘姝琦</t>
  </si>
  <si>
    <t>尹梓迪</t>
  </si>
  <si>
    <t>涂云翔</t>
  </si>
  <si>
    <t>尚昊雨</t>
  </si>
  <si>
    <t>谢之坚</t>
  </si>
  <si>
    <t>徐晓渔.</t>
  </si>
  <si>
    <t>周凌宇</t>
  </si>
  <si>
    <t>蒋晟</t>
  </si>
  <si>
    <t>俞诗琦</t>
  </si>
  <si>
    <t>李峙均</t>
  </si>
  <si>
    <t>赵靖泽</t>
  </si>
  <si>
    <t>刘睿仑</t>
  </si>
  <si>
    <t>孙邦旗</t>
  </si>
  <si>
    <t>周圣迪</t>
  </si>
  <si>
    <t>刘一纬</t>
  </si>
  <si>
    <t>陈文淇</t>
  </si>
  <si>
    <t>金融学</t>
  </si>
  <si>
    <t>见金三</t>
  </si>
  <si>
    <t>程玄钊</t>
  </si>
  <si>
    <t>见金一</t>
  </si>
  <si>
    <t>刘心怡</t>
  </si>
  <si>
    <t>国民经济管理</t>
  </si>
  <si>
    <t>见国管</t>
  </si>
  <si>
    <t>黄为升</t>
  </si>
  <si>
    <t>见金二</t>
  </si>
  <si>
    <t>世界汉学大会</t>
  </si>
  <si>
    <t>2024线上支教项目</t>
  </si>
  <si>
    <t>模联仁溯</t>
  </si>
  <si>
    <t>拙政园活动</t>
  </si>
  <si>
    <t>青协之声 2.0</t>
  </si>
  <si>
    <t>24新生运动会</t>
  </si>
  <si>
    <t>慧湖之夜</t>
  </si>
  <si>
    <t>学位授予仪式</t>
  </si>
  <si>
    <t>暑期招生</t>
  </si>
  <si>
    <t>李雪琳</t>
  </si>
  <si>
    <t>刘泽嘉</t>
  </si>
  <si>
    <t>史嘉薇</t>
  </si>
  <si>
    <t>许乐颜</t>
  </si>
  <si>
    <t>赵俊硕</t>
  </si>
  <si>
    <t>吴迪</t>
  </si>
  <si>
    <t>蒋咸康</t>
  </si>
  <si>
    <t>秦艺嘉</t>
  </si>
  <si>
    <t>刘海若</t>
  </si>
  <si>
    <t>叶芷荧</t>
  </si>
  <si>
    <t>陈思宇</t>
  </si>
  <si>
    <t>孙羽露</t>
  </si>
  <si>
    <t>于斯童</t>
  </si>
  <si>
    <t>赵星赫</t>
  </si>
  <si>
    <t>陆可欣</t>
  </si>
  <si>
    <t>付宇轩</t>
  </si>
  <si>
    <t>庹静怡</t>
  </si>
  <si>
    <t>王译晗</t>
  </si>
  <si>
    <t>王瞰瞰</t>
  </si>
  <si>
    <t>徐楚棣</t>
  </si>
  <si>
    <t>任芮莹</t>
  </si>
  <si>
    <t>陈佳琪</t>
  </si>
  <si>
    <t>吕良基</t>
  </si>
  <si>
    <t>金融</t>
  </si>
  <si>
    <t>王琳语</t>
  </si>
  <si>
    <t>杨羽</t>
  </si>
  <si>
    <t>查悠悠</t>
  </si>
  <si>
    <t>展伊扬</t>
  </si>
  <si>
    <t>卫子茜</t>
  </si>
  <si>
    <t>陈振灵</t>
  </si>
  <si>
    <t>李奕桥</t>
  </si>
  <si>
    <t>沈奕阳</t>
  </si>
  <si>
    <t>徐佳域</t>
  </si>
  <si>
    <t>李念琳</t>
  </si>
  <si>
    <t>鉏盛童</t>
  </si>
  <si>
    <t>23新生迎新</t>
  </si>
  <si>
    <t>24-25朋辈心理辅导员</t>
  </si>
  <si>
    <t>学位授予</t>
  </si>
  <si>
    <t>毕业典礼暖场</t>
  </si>
  <si>
    <t>25寒假千村百巷</t>
  </si>
  <si>
    <t>王鸿绪</t>
  </si>
  <si>
    <t>国管</t>
  </si>
  <si>
    <t>陈子晗</t>
  </si>
  <si>
    <t>洪湛</t>
  </si>
  <si>
    <t>郑嘉航</t>
  </si>
  <si>
    <t>于钟琪</t>
  </si>
  <si>
    <t>丁思尹</t>
  </si>
  <si>
    <t>刘润泽</t>
  </si>
  <si>
    <t>周和</t>
  </si>
  <si>
    <t>闫皓湉</t>
  </si>
  <si>
    <t>蒲淏轩</t>
  </si>
  <si>
    <t>俞越海</t>
  </si>
  <si>
    <t>罗锦程</t>
  </si>
  <si>
    <t>余文妍</t>
  </si>
  <si>
    <t>孙一鹏</t>
  </si>
  <si>
    <t>上官子轩</t>
  </si>
  <si>
    <t>张宇轩</t>
  </si>
  <si>
    <t>刘姝妤</t>
  </si>
  <si>
    <t>龙婧之</t>
  </si>
  <si>
    <t>曲展</t>
  </si>
  <si>
    <t>牛菁菁</t>
  </si>
  <si>
    <t>田一润</t>
  </si>
  <si>
    <t>颜诗雯</t>
  </si>
  <si>
    <t>潘笑涵</t>
  </si>
  <si>
    <t>陈子庚</t>
  </si>
  <si>
    <t>旧物捐赠</t>
  </si>
  <si>
    <t>2024蓝天救援</t>
  </si>
  <si>
    <t>同心石榴籽</t>
  </si>
  <si>
    <t>25春季运动会</t>
  </si>
  <si>
    <t>罗煜涵</t>
  </si>
  <si>
    <t>人力资源管理</t>
  </si>
  <si>
    <t>人管</t>
  </si>
  <si>
    <t>李天翔</t>
  </si>
  <si>
    <t>邓茗文</t>
  </si>
  <si>
    <t>姚亦非</t>
  </si>
  <si>
    <t>林书涵</t>
  </si>
  <si>
    <t>崔斯然</t>
  </si>
  <si>
    <t>李倩楠</t>
  </si>
  <si>
    <t>关尹清</t>
  </si>
  <si>
    <t>钟天宇</t>
  </si>
  <si>
    <t>余子瑛</t>
  </si>
  <si>
    <t>尧昀鑫</t>
  </si>
  <si>
    <t>陈煜</t>
  </si>
  <si>
    <t>孙莎莎</t>
  </si>
  <si>
    <t>陈嘉羽</t>
  </si>
  <si>
    <t>金嘉玲</t>
  </si>
  <si>
    <t>尹天博</t>
  </si>
  <si>
    <t>陈潇</t>
  </si>
  <si>
    <t>范泽祺</t>
  </si>
  <si>
    <t>宋宇</t>
  </si>
  <si>
    <t>武祚臣</t>
  </si>
  <si>
    <t>张桂荣</t>
  </si>
  <si>
    <t>张高圆</t>
  </si>
  <si>
    <t>王周怡</t>
  </si>
  <si>
    <t>何景怡</t>
  </si>
  <si>
    <t>刘若伊</t>
  </si>
  <si>
    <t>2023.9-2024.7校外志愿时长</t>
  </si>
  <si>
    <t>23-24千人百村</t>
  </si>
  <si>
    <t>大江大河</t>
  </si>
  <si>
    <t>李元凝</t>
  </si>
  <si>
    <t>金融一班</t>
  </si>
  <si>
    <t>孙霁扬</t>
  </si>
  <si>
    <t>战兰</t>
  </si>
  <si>
    <t>江南</t>
  </si>
  <si>
    <t>田若琳</t>
  </si>
  <si>
    <t>王艺淘</t>
  </si>
  <si>
    <t>田益源</t>
  </si>
  <si>
    <t>闫北辰</t>
  </si>
  <si>
    <t>贺泽旋</t>
  </si>
  <si>
    <t>霍奕</t>
  </si>
  <si>
    <t>李依旭</t>
  </si>
  <si>
    <t>谢卓航</t>
  </si>
  <si>
    <t>庄佳怡</t>
  </si>
  <si>
    <t>孙艺嘉</t>
  </si>
  <si>
    <t>刘爱媛</t>
  </si>
  <si>
    <t>于小棠</t>
  </si>
  <si>
    <t>王苒名</t>
  </si>
  <si>
    <t>马延吉</t>
  </si>
  <si>
    <t>倪赫泽</t>
  </si>
  <si>
    <t>华清云</t>
  </si>
  <si>
    <t>赵奕琦</t>
  </si>
  <si>
    <t>任姝霖</t>
  </si>
  <si>
    <t>王奕雯</t>
  </si>
  <si>
    <t>周奕</t>
  </si>
  <si>
    <t>莫舒青</t>
  </si>
  <si>
    <t>王昕怡</t>
  </si>
  <si>
    <t>尤瑛婷</t>
  </si>
  <si>
    <t>13</t>
  </si>
  <si>
    <t>马敬博</t>
  </si>
  <si>
    <t>梁弈博</t>
  </si>
  <si>
    <t>沈佳明</t>
  </si>
  <si>
    <t>马锦豪</t>
  </si>
  <si>
    <t>龙心扬</t>
  </si>
  <si>
    <t>见24金二</t>
  </si>
  <si>
    <t>张雪琴</t>
  </si>
  <si>
    <t>见24金一</t>
  </si>
  <si>
    <t>陈怡琳</t>
  </si>
  <si>
    <t>陈俊铭</t>
  </si>
  <si>
    <t>孙欣畅</t>
  </si>
  <si>
    <t>廖昕</t>
  </si>
  <si>
    <t>朱一搏</t>
  </si>
  <si>
    <t>曹凯尧</t>
  </si>
  <si>
    <t>李明翰</t>
  </si>
  <si>
    <t>王诗涵</t>
  </si>
  <si>
    <t>李君羡</t>
  </si>
  <si>
    <t>连好</t>
  </si>
  <si>
    <t>赵俊喆</t>
  </si>
  <si>
    <t>银旌翔</t>
  </si>
  <si>
    <t>谢鹏辉</t>
  </si>
  <si>
    <t>谭沐蓉</t>
  </si>
  <si>
    <t>汪家羽</t>
  </si>
  <si>
    <t>刘子琪</t>
  </si>
  <si>
    <t>蒋宇浩</t>
  </si>
  <si>
    <t>何思语</t>
  </si>
  <si>
    <t>李沁园</t>
  </si>
  <si>
    <t>刘雨熹</t>
  </si>
  <si>
    <t>王馨瑶</t>
  </si>
  <si>
    <t>见人管</t>
  </si>
  <si>
    <t>拙政园</t>
  </si>
  <si>
    <t>23-24千人百巷</t>
  </si>
  <si>
    <t>25健美操比赛</t>
  </si>
  <si>
    <t>邱天</t>
  </si>
  <si>
    <t>金融二班</t>
  </si>
  <si>
    <t>易峻禾</t>
  </si>
  <si>
    <t>郑棣文</t>
  </si>
  <si>
    <t>夏梓嫣</t>
  </si>
  <si>
    <t>吴佩霖</t>
  </si>
  <si>
    <t>张新楠</t>
  </si>
  <si>
    <t>余佳佳</t>
  </si>
  <si>
    <t>高文博</t>
  </si>
  <si>
    <t>安思远</t>
  </si>
  <si>
    <t>任天淇</t>
  </si>
  <si>
    <t>贾子元</t>
  </si>
  <si>
    <t>朱绍旭</t>
  </si>
  <si>
    <t>侯彦旭</t>
  </si>
  <si>
    <t>王熙惠</t>
  </si>
  <si>
    <t>李尚美</t>
  </si>
  <si>
    <t>姜妍朱</t>
  </si>
  <si>
    <t>李怡霆</t>
  </si>
  <si>
    <t>马正时</t>
  </si>
  <si>
    <t>吕思蕊</t>
  </si>
  <si>
    <t>张煜晗</t>
  </si>
  <si>
    <t>陆晨恺</t>
  </si>
  <si>
    <t>滕沈涵</t>
  </si>
  <si>
    <t>薛昕宜</t>
  </si>
  <si>
    <t>张茜蓓</t>
  </si>
  <si>
    <t>翁清蔓</t>
  </si>
  <si>
    <t>刘桐</t>
  </si>
  <si>
    <t>洪可歆</t>
  </si>
  <si>
    <t>张若尘</t>
  </si>
  <si>
    <t>刘卓凡</t>
  </si>
  <si>
    <t>陆思源</t>
  </si>
  <si>
    <t>徐郭秋语</t>
  </si>
  <si>
    <t>张舒雅</t>
  </si>
  <si>
    <t>曹斯嘉</t>
  </si>
  <si>
    <t>杜汉武</t>
  </si>
  <si>
    <t>王睿康</t>
  </si>
  <si>
    <t>翟子健</t>
  </si>
  <si>
    <t>周雨齐</t>
  </si>
  <si>
    <t>管彤羽</t>
  </si>
  <si>
    <t>辜雅雯</t>
  </si>
  <si>
    <t>王宣琛</t>
  </si>
  <si>
    <t>王馨叶</t>
  </si>
  <si>
    <t>张宝文</t>
  </si>
  <si>
    <t>夏梓良</t>
  </si>
  <si>
    <t>殷毓梁</t>
  </si>
  <si>
    <t>焦晟展</t>
  </si>
  <si>
    <t>林渝</t>
  </si>
  <si>
    <t>周丹妮</t>
  </si>
  <si>
    <t>孙近</t>
  </si>
  <si>
    <t>杨雨欣</t>
  </si>
  <si>
    <t>周世佳</t>
  </si>
  <si>
    <t>蔡林琪</t>
  </si>
  <si>
    <t>冯科诚</t>
  </si>
  <si>
    <t>夏一熔</t>
  </si>
  <si>
    <t>见传播</t>
  </si>
  <si>
    <t>世界汉学大赛</t>
  </si>
  <si>
    <t>千村百巷</t>
  </si>
  <si>
    <t>25-26寒假本部线上志愿</t>
  </si>
  <si>
    <t>李韫圻</t>
  </si>
  <si>
    <t>金融三班</t>
  </si>
  <si>
    <t>杨家润</t>
  </si>
  <si>
    <t>韩天韵</t>
  </si>
  <si>
    <t>刘轩颖</t>
  </si>
  <si>
    <t>曹煜佳</t>
  </si>
  <si>
    <t>许展阳</t>
  </si>
  <si>
    <t>马利锋</t>
  </si>
  <si>
    <t>王昱璁</t>
  </si>
  <si>
    <t>孙艾择</t>
  </si>
  <si>
    <t>李惠腾</t>
  </si>
  <si>
    <t>吕秉松</t>
  </si>
  <si>
    <t>王曦田</t>
  </si>
  <si>
    <t>周昱心</t>
  </si>
  <si>
    <t>曹曦文</t>
  </si>
  <si>
    <t>王佳怡</t>
  </si>
  <si>
    <t>孙明子</t>
  </si>
  <si>
    <t>胡乐仪</t>
  </si>
  <si>
    <t>孙政直</t>
  </si>
  <si>
    <t>孙誉航</t>
  </si>
  <si>
    <t>刘思哲</t>
  </si>
  <si>
    <t>冀晨希</t>
  </si>
  <si>
    <t>王煜</t>
  </si>
  <si>
    <t>朱重阳</t>
  </si>
  <si>
    <t>蔡涛</t>
  </si>
  <si>
    <t>赵思淼</t>
  </si>
  <si>
    <t>徐正昕</t>
  </si>
  <si>
    <t>朱康恺</t>
  </si>
  <si>
    <t>张天宇</t>
  </si>
  <si>
    <t>王若鱼</t>
  </si>
  <si>
    <t>林子衿</t>
  </si>
  <si>
    <t>伍乙豪</t>
  </si>
  <si>
    <t>张朔</t>
  </si>
  <si>
    <t>张思圆</t>
  </si>
  <si>
    <t>陈垚鑫</t>
  </si>
  <si>
    <t>赖庆涛</t>
  </si>
  <si>
    <t>甘露</t>
  </si>
  <si>
    <t>牟雨童</t>
  </si>
  <si>
    <t>袁航</t>
  </si>
  <si>
    <t>王梓墨</t>
  </si>
  <si>
    <t>牛皓田</t>
  </si>
  <si>
    <t>望超壹</t>
  </si>
  <si>
    <t>何奕霖</t>
  </si>
  <si>
    <t>杨可</t>
  </si>
  <si>
    <t>王畅帆</t>
  </si>
  <si>
    <t>罗妍茜</t>
  </si>
  <si>
    <t>赵婉竹</t>
  </si>
  <si>
    <t>李骐宏</t>
  </si>
  <si>
    <t>王婧人</t>
  </si>
  <si>
    <t>唐毓菡</t>
  </si>
  <si>
    <t>苟露葭</t>
  </si>
  <si>
    <t>李果芮</t>
  </si>
  <si>
    <t>索悦盈</t>
  </si>
  <si>
    <t>李怡彤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</si>
</sst>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微软雅黑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6"/>
  <sheetViews>
    <sheetView tabSelected="1" zoomScale="80" zoomScaleNormal="80" workbookViewId="0">
      <pane xSplit="7" ySplit="1" topLeftCell="CB2" activePane="bottomRight" state="frozen"/>
      <selection pane="topRight"/>
      <selection pane="bottomLeft"/>
      <selection pane="bottomRight" activeCell="CG9" sqref="CG9"/>
    </sheetView>
  </sheetViews>
  <sheetFormatPr baseColWidth="10" defaultColWidth="9.6640625" defaultRowHeight="17"/>
  <cols>
    <col min="1" max="1" width="12.6640625" style="4" hidden="1" customWidth="1"/>
    <col min="2" max="2" width="10.6640625" style="4" customWidth="1"/>
    <col min="3" max="3" width="10.5" style="4" customWidth="1"/>
    <col min="4" max="4" width="17.33203125" style="4" customWidth="1"/>
    <col min="5" max="6" width="7.83203125" style="4"/>
    <col min="7" max="7" width="9.6640625" style="4"/>
    <col min="8" max="8" width="18.33203125" style="4" customWidth="1"/>
    <col min="9" max="9" width="20" style="4" customWidth="1"/>
    <col min="10" max="11" width="11.5" style="4" customWidth="1"/>
    <col min="12" max="12" width="9.6640625" style="4" customWidth="1"/>
    <col min="13" max="13" width="11.5" style="4" customWidth="1"/>
    <col min="14" max="14" width="17.5" style="4" customWidth="1"/>
    <col min="15" max="15" width="18.5" style="4" customWidth="1"/>
    <col min="16" max="16" width="11" style="4" customWidth="1"/>
    <col min="17" max="17" width="7.33203125" style="4"/>
    <col min="18" max="18" width="11.5" style="4" customWidth="1"/>
    <col min="19" max="19" width="16" style="4" customWidth="1"/>
    <col min="20" max="21" width="13.33203125" style="4" customWidth="1"/>
    <col min="22" max="22" width="16.6640625" style="4" customWidth="1"/>
    <col min="23" max="23" width="14.5" style="4" customWidth="1"/>
    <col min="24" max="24" width="11.33203125" style="4" customWidth="1"/>
    <col min="25" max="25" width="10.33203125" style="4" customWidth="1"/>
    <col min="26" max="26" width="7.83203125" style="4"/>
    <col min="27" max="27" width="10.33203125" style="4" customWidth="1"/>
    <col min="28" max="28" width="10.5" style="4" customWidth="1"/>
    <col min="29" max="29" width="20" style="4" customWidth="1"/>
    <col min="30" max="30" width="9.6640625" style="4"/>
    <col min="31" max="31" width="14.5" style="4" customWidth="1"/>
    <col min="32" max="33" width="10.5" style="4" customWidth="1"/>
    <col min="34" max="36" width="9.6640625" style="4"/>
    <col min="37" max="37" width="10.6640625" style="4" customWidth="1"/>
    <col min="38" max="43" width="9.6640625" style="4"/>
    <col min="44" max="44" width="8.6640625" style="4" customWidth="1"/>
    <col min="45" max="46" width="9.6640625" style="4"/>
    <col min="47" max="47" width="14.6640625" style="4" customWidth="1"/>
    <col min="48" max="48" width="11.33203125" style="4" customWidth="1"/>
    <col min="49" max="50" width="13" style="4" customWidth="1"/>
    <col min="51" max="51" width="7.83203125" style="4" customWidth="1"/>
    <col min="52" max="52" width="16.83203125" style="4" customWidth="1"/>
    <col min="53" max="58" width="9.6640625" style="4"/>
    <col min="59" max="59" width="11.1640625" style="4" customWidth="1"/>
    <col min="60" max="60" width="13.1640625" style="4" customWidth="1"/>
    <col min="61" max="61" width="9.6640625" style="4"/>
    <col min="62" max="63" width="13.33203125" style="4" customWidth="1"/>
    <col min="64" max="66" width="9.6640625" style="4"/>
    <col min="67" max="67" width="21.5" style="4" customWidth="1"/>
    <col min="68" max="68" width="1.5" hidden="1" customWidth="1"/>
    <col min="69" max="69" width="1.6640625" style="4" hidden="1" customWidth="1"/>
    <col min="70" max="70" width="15" style="4" customWidth="1"/>
    <col min="71" max="71" width="9.6640625" style="4"/>
    <col min="72" max="72" width="14" style="4" customWidth="1"/>
    <col min="73" max="73" width="9.6640625" style="4"/>
    <col min="74" max="74" width="26.5" style="4" customWidth="1"/>
    <col min="75" max="75" width="1.33203125" style="4" hidden="1" customWidth="1"/>
    <col min="76" max="76" width="1.1640625" style="4" hidden="1" customWidth="1"/>
    <col min="77" max="77" width="1" style="4" hidden="1" customWidth="1"/>
    <col min="78" max="78" width="9.6640625" style="4"/>
    <col min="79" max="79" width="8.6640625" style="4" customWidth="1"/>
    <col min="80" max="80" width="19.33203125" style="4" customWidth="1"/>
    <col min="81" max="16384" width="9.6640625" style="4"/>
  </cols>
  <sheetData>
    <row r="1" spans="1:83" s="1" customFormat="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1" t="s">
        <v>8</v>
      </c>
      <c r="J1" s="7" t="s">
        <v>9</v>
      </c>
      <c r="K1" s="1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11</v>
      </c>
      <c r="AO1" s="1" t="s">
        <v>39</v>
      </c>
      <c r="AP1" s="1" t="s">
        <v>40</v>
      </c>
      <c r="AQ1" s="1" t="s">
        <v>41</v>
      </c>
      <c r="AR1" s="9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10" t="s">
        <v>57</v>
      </c>
      <c r="BH1" s="1" t="s">
        <v>58</v>
      </c>
      <c r="BI1" s="1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" t="s">
        <v>64</v>
      </c>
      <c r="BO1" s="7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Z1" s="1" t="s">
        <v>71</v>
      </c>
      <c r="CA1" s="9" t="s">
        <v>72</v>
      </c>
      <c r="CB1" s="1" t="s">
        <v>73</v>
      </c>
      <c r="CC1" s="2" t="s">
        <v>74</v>
      </c>
      <c r="CD1" s="1" t="s">
        <v>75</v>
      </c>
    </row>
    <row r="2" spans="1:83" s="2" customFormat="1" ht="16" customHeight="1">
      <c r="A2" s="2">
        <v>2023202480</v>
      </c>
      <c r="B2" s="13" t="s">
        <v>76</v>
      </c>
      <c r="C2" s="2" t="s">
        <v>77</v>
      </c>
      <c r="D2" s="2" t="s">
        <v>78</v>
      </c>
      <c r="E2" s="2" t="s">
        <v>79</v>
      </c>
      <c r="F2" s="1">
        <f>SUM(H2:$XEU2)</f>
        <v>70</v>
      </c>
      <c r="G2" s="10">
        <f>COUNT(H2:$XFC2)</f>
        <v>11</v>
      </c>
      <c r="H2" s="1"/>
      <c r="I2" s="1">
        <v>0.5</v>
      </c>
      <c r="J2" s="1"/>
      <c r="K2" s="1"/>
      <c r="L2" s="1"/>
      <c r="M2" s="1"/>
      <c r="N2" s="1"/>
      <c r="O2" s="1"/>
      <c r="P2" s="2">
        <v>0.5</v>
      </c>
      <c r="Q2" s="1"/>
      <c r="R2" s="1"/>
      <c r="S2" s="1"/>
      <c r="T2" s="1">
        <v>10</v>
      </c>
      <c r="U2" s="1"/>
      <c r="V2" s="1"/>
      <c r="W2" s="1">
        <v>12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>
        <v>4</v>
      </c>
      <c r="AQ2" s="2">
        <v>17</v>
      </c>
      <c r="AR2" s="9" t="s">
        <v>42</v>
      </c>
      <c r="BJ2" s="10" t="s">
        <v>80</v>
      </c>
      <c r="BK2" s="10" t="s">
        <v>80</v>
      </c>
      <c r="BL2" s="10">
        <v>2</v>
      </c>
      <c r="BO2" s="1"/>
      <c r="BR2" s="2" t="s">
        <v>80</v>
      </c>
      <c r="BS2" s="2" t="s">
        <v>80</v>
      </c>
      <c r="BV2" s="2">
        <v>24</v>
      </c>
      <c r="BW2" s="2">
        <v>0</v>
      </c>
      <c r="BX2" s="2">
        <v>0</v>
      </c>
      <c r="BY2" s="2">
        <v>0</v>
      </c>
      <c r="CA2" s="9" t="s">
        <v>72</v>
      </c>
    </row>
    <row r="3" spans="1:83" s="2" customFormat="1" ht="16" customHeight="1">
      <c r="A3" s="2">
        <v>2023202494</v>
      </c>
      <c r="B3" s="2" t="s">
        <v>81</v>
      </c>
      <c r="C3" s="2" t="s">
        <v>82</v>
      </c>
      <c r="D3" s="2" t="s">
        <v>78</v>
      </c>
      <c r="E3" s="2" t="s">
        <v>79</v>
      </c>
      <c r="F3" s="1">
        <f>SUM(H3:$XEU3)</f>
        <v>181</v>
      </c>
      <c r="G3" s="10">
        <f>COUNT(H3:$XFC3)</f>
        <v>20</v>
      </c>
      <c r="H3" s="1"/>
      <c r="I3" s="1"/>
      <c r="J3" s="1"/>
      <c r="K3" s="1"/>
      <c r="L3" s="1"/>
      <c r="M3" s="1"/>
      <c r="N3" s="1"/>
      <c r="O3" s="1"/>
      <c r="P3" s="2">
        <v>0.5</v>
      </c>
      <c r="Q3" s="1"/>
      <c r="R3" s="1"/>
      <c r="S3" s="1"/>
      <c r="T3" s="1">
        <v>10</v>
      </c>
      <c r="U3" s="1">
        <v>7</v>
      </c>
      <c r="V3" s="1"/>
      <c r="W3" s="1">
        <v>12</v>
      </c>
      <c r="X3" s="1"/>
      <c r="Y3" s="1">
        <v>3</v>
      </c>
      <c r="Z3" s="1"/>
      <c r="AA3" s="1"/>
      <c r="AB3" s="1"/>
      <c r="AC3" s="1">
        <v>4</v>
      </c>
      <c r="AD3" s="1"/>
      <c r="AE3" s="1">
        <v>4</v>
      </c>
      <c r="AF3" s="1"/>
      <c r="AG3" s="1"/>
      <c r="AH3" s="1">
        <v>2.5</v>
      </c>
      <c r="AI3" s="1"/>
      <c r="AJ3" s="2">
        <v>4</v>
      </c>
      <c r="AK3" s="2">
        <v>4</v>
      </c>
      <c r="AL3" s="2">
        <v>4</v>
      </c>
      <c r="AQ3" s="2">
        <v>80</v>
      </c>
      <c r="AR3" s="9" t="s">
        <v>42</v>
      </c>
      <c r="AS3" s="2">
        <v>11</v>
      </c>
      <c r="AT3" s="2">
        <v>4</v>
      </c>
      <c r="AV3" s="2">
        <v>9</v>
      </c>
      <c r="BF3" s="2">
        <v>6</v>
      </c>
      <c r="BJ3" s="10" t="s">
        <v>80</v>
      </c>
      <c r="BK3" s="10" t="s">
        <v>80</v>
      </c>
      <c r="BL3" s="10" t="s">
        <v>80</v>
      </c>
      <c r="BO3" s="1">
        <v>4</v>
      </c>
      <c r="BR3" s="2">
        <v>4</v>
      </c>
      <c r="BS3" s="2">
        <v>4</v>
      </c>
      <c r="BT3" s="2">
        <v>4</v>
      </c>
      <c r="CA3" s="9" t="s">
        <v>72</v>
      </c>
    </row>
    <row r="4" spans="1:83" s="2" customFormat="1" ht="16" customHeight="1">
      <c r="A4" s="2">
        <v>2023202488</v>
      </c>
      <c r="B4" s="2" t="s">
        <v>83</v>
      </c>
      <c r="C4" s="2" t="s">
        <v>82</v>
      </c>
      <c r="D4" s="2" t="s">
        <v>78</v>
      </c>
      <c r="E4" s="2" t="s">
        <v>79</v>
      </c>
      <c r="F4" s="1">
        <f>SUM(H4:$XEU4)</f>
        <v>254</v>
      </c>
      <c r="G4" s="10">
        <f>COUNT(H4:$XFC4)</f>
        <v>16</v>
      </c>
      <c r="H4" s="1"/>
      <c r="I4" s="1"/>
      <c r="J4" s="1">
        <v>16</v>
      </c>
      <c r="K4" s="1"/>
      <c r="L4" s="1"/>
      <c r="M4" s="1"/>
      <c r="N4" s="1"/>
      <c r="O4" s="1"/>
      <c r="P4" s="2">
        <v>0.5</v>
      </c>
      <c r="Q4" s="1"/>
      <c r="R4" s="1"/>
      <c r="S4" s="1"/>
      <c r="T4" s="1">
        <v>10</v>
      </c>
      <c r="U4" s="1"/>
      <c r="V4" s="1">
        <v>5</v>
      </c>
      <c r="W4" s="1">
        <v>12</v>
      </c>
      <c r="X4" s="1">
        <v>6</v>
      </c>
      <c r="Y4" s="1">
        <v>3</v>
      </c>
      <c r="Z4" s="1">
        <v>8</v>
      </c>
      <c r="AA4" s="1"/>
      <c r="AB4" s="1">
        <v>3</v>
      </c>
      <c r="AC4" s="1"/>
      <c r="AD4" s="1"/>
      <c r="AE4" s="1"/>
      <c r="AF4" s="1"/>
      <c r="AG4" s="1"/>
      <c r="AH4" s="1">
        <v>2.5</v>
      </c>
      <c r="AI4" s="1"/>
      <c r="AO4" s="2">
        <v>4</v>
      </c>
      <c r="AQ4" s="2">
        <v>156</v>
      </c>
      <c r="AR4" s="9" t="s">
        <v>42</v>
      </c>
      <c r="AS4" s="2">
        <v>12</v>
      </c>
      <c r="AT4" s="2">
        <v>4</v>
      </c>
      <c r="AU4" s="2">
        <v>3</v>
      </c>
      <c r="AV4" s="2">
        <v>9</v>
      </c>
      <c r="BJ4" s="10" t="s">
        <v>80</v>
      </c>
      <c r="BK4" s="10" t="s">
        <v>80</v>
      </c>
      <c r="BL4" s="10" t="s">
        <v>80</v>
      </c>
      <c r="BO4" s="1"/>
      <c r="BR4" s="2" t="s">
        <v>80</v>
      </c>
      <c r="BS4" s="2" t="s">
        <v>80</v>
      </c>
      <c r="CA4" s="9" t="s">
        <v>72</v>
      </c>
    </row>
    <row r="5" spans="1:83" s="3" customFormat="1" ht="16" customHeight="1">
      <c r="A5" s="3">
        <v>2023202491</v>
      </c>
      <c r="B5" s="38" t="s">
        <v>84</v>
      </c>
      <c r="C5" s="3" t="s">
        <v>77</v>
      </c>
      <c r="D5" s="3" t="s">
        <v>78</v>
      </c>
      <c r="E5" s="3" t="s">
        <v>79</v>
      </c>
      <c r="F5" s="11" t="s">
        <v>85</v>
      </c>
      <c r="G5" s="11" t="s">
        <v>85</v>
      </c>
      <c r="H5" s="11"/>
      <c r="I5" s="11"/>
      <c r="J5" s="11"/>
      <c r="K5" s="11">
        <v>0.5</v>
      </c>
      <c r="L5" s="11"/>
      <c r="M5" s="11"/>
      <c r="N5" s="11">
        <v>16</v>
      </c>
      <c r="O5" s="11"/>
      <c r="P5" s="3">
        <v>0.5</v>
      </c>
      <c r="Q5" s="11"/>
      <c r="R5" s="11">
        <v>4</v>
      </c>
      <c r="S5" s="11">
        <v>20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L5" s="3">
        <v>2</v>
      </c>
      <c r="AR5" s="12" t="s">
        <v>42</v>
      </c>
      <c r="BJ5" s="12" t="s">
        <v>80</v>
      </c>
      <c r="BK5" s="12" t="s">
        <v>80</v>
      </c>
      <c r="BL5" s="12"/>
      <c r="BO5" s="11"/>
      <c r="BR5" s="3" t="s">
        <v>80</v>
      </c>
      <c r="BS5" s="3" t="s">
        <v>80</v>
      </c>
      <c r="CA5" s="12" t="s">
        <v>72</v>
      </c>
      <c r="CE5" s="2"/>
    </row>
    <row r="6" spans="1:83" s="2" customFormat="1" ht="16" customHeight="1">
      <c r="A6" s="2">
        <v>2023202483</v>
      </c>
      <c r="B6" s="2" t="s">
        <v>86</v>
      </c>
      <c r="C6" s="2" t="s">
        <v>77</v>
      </c>
      <c r="D6" s="2" t="s">
        <v>78</v>
      </c>
      <c r="E6" s="2" t="s">
        <v>79</v>
      </c>
      <c r="F6" s="1">
        <f>SUM(H6:$XEU6)</f>
        <v>0</v>
      </c>
      <c r="G6" s="10">
        <f>COUNT(H6:$XFC6)</f>
        <v>0</v>
      </c>
      <c r="H6" s="1"/>
      <c r="I6" s="1"/>
      <c r="J6" s="1"/>
      <c r="K6" s="1"/>
      <c r="L6" s="1"/>
      <c r="M6" s="1"/>
      <c r="N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R6" s="9" t="s">
        <v>42</v>
      </c>
      <c r="BJ6" s="10" t="s">
        <v>80</v>
      </c>
      <c r="BK6" s="10" t="s">
        <v>80</v>
      </c>
      <c r="BL6" s="10" t="s">
        <v>80</v>
      </c>
      <c r="BO6" s="1"/>
      <c r="BR6" s="2" t="s">
        <v>80</v>
      </c>
      <c r="BS6" s="2" t="s">
        <v>80</v>
      </c>
      <c r="CA6" s="9" t="s">
        <v>72</v>
      </c>
    </row>
    <row r="7" spans="1:83" s="2" customFormat="1" ht="16" customHeight="1">
      <c r="A7" s="2">
        <v>2023202495</v>
      </c>
      <c r="B7" s="2" t="s">
        <v>87</v>
      </c>
      <c r="C7" s="2" t="s">
        <v>77</v>
      </c>
      <c r="D7" s="2" t="s">
        <v>78</v>
      </c>
      <c r="E7" s="2" t="s">
        <v>79</v>
      </c>
      <c r="F7" s="1">
        <f>SUM(H7:$XEU7)</f>
        <v>13</v>
      </c>
      <c r="G7" s="10">
        <f>COUNT(H7:$XFC7)</f>
        <v>4</v>
      </c>
      <c r="H7" s="1"/>
      <c r="I7" s="1"/>
      <c r="J7" s="1"/>
      <c r="K7" s="1"/>
      <c r="L7" s="1"/>
      <c r="M7" s="1">
        <v>3</v>
      </c>
      <c r="N7" s="1"/>
      <c r="O7" s="1">
        <v>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">
        <v>4</v>
      </c>
      <c r="AL7" s="2">
        <v>2</v>
      </c>
      <c r="AR7" s="9" t="s">
        <v>42</v>
      </c>
      <c r="BJ7" s="10" t="s">
        <v>80</v>
      </c>
      <c r="BK7" s="10" t="s">
        <v>80</v>
      </c>
      <c r="BL7" s="10" t="s">
        <v>80</v>
      </c>
      <c r="BO7" s="1"/>
      <c r="BR7" s="2" t="s">
        <v>80</v>
      </c>
      <c r="BS7" s="2" t="s">
        <v>80</v>
      </c>
      <c r="CA7" s="9" t="s">
        <v>72</v>
      </c>
    </row>
    <row r="8" spans="1:83" s="2" customFormat="1" ht="16" customHeight="1">
      <c r="A8" s="2">
        <v>2023202479</v>
      </c>
      <c r="B8" s="2" t="s">
        <v>88</v>
      </c>
      <c r="C8" s="2" t="s">
        <v>77</v>
      </c>
      <c r="D8" s="2" t="s">
        <v>78</v>
      </c>
      <c r="E8" s="2" t="s">
        <v>79</v>
      </c>
      <c r="F8" s="1">
        <f>SUM(H8:$XEU8)</f>
        <v>47.5</v>
      </c>
      <c r="G8" s="10">
        <f>COUNT(H8:$XFC8)</f>
        <v>8</v>
      </c>
      <c r="H8" s="1"/>
      <c r="I8" s="1"/>
      <c r="J8" s="1"/>
      <c r="K8" s="1"/>
      <c r="L8" s="1">
        <v>2</v>
      </c>
      <c r="M8" s="1"/>
      <c r="N8" s="1"/>
      <c r="O8" s="1"/>
      <c r="P8" s="2">
        <v>0.5</v>
      </c>
      <c r="Q8" s="1"/>
      <c r="R8" s="1"/>
      <c r="S8" s="1"/>
      <c r="T8" s="1"/>
      <c r="U8" s="1"/>
      <c r="V8" s="1"/>
      <c r="W8" s="1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">
        <v>4</v>
      </c>
      <c r="AK8" s="2">
        <v>4</v>
      </c>
      <c r="AN8" s="2">
        <v>6</v>
      </c>
      <c r="AR8" s="9" t="s">
        <v>42</v>
      </c>
      <c r="BJ8" s="10" t="s">
        <v>80</v>
      </c>
      <c r="BK8" s="10" t="s">
        <v>80</v>
      </c>
      <c r="BL8" s="10" t="s">
        <v>80</v>
      </c>
      <c r="BO8" s="1">
        <v>19</v>
      </c>
      <c r="BP8" s="2">
        <v>0</v>
      </c>
      <c r="BR8" s="2" t="s">
        <v>80</v>
      </c>
      <c r="BS8" s="2" t="s">
        <v>80</v>
      </c>
      <c r="CA8" s="9" t="s">
        <v>72</v>
      </c>
    </row>
    <row r="9" spans="1:83" s="2" customFormat="1" ht="16" customHeight="1">
      <c r="A9" s="2">
        <v>2023202481</v>
      </c>
      <c r="B9" s="2" t="s">
        <v>89</v>
      </c>
      <c r="C9" s="2" t="s">
        <v>77</v>
      </c>
      <c r="D9" s="2" t="s">
        <v>78</v>
      </c>
      <c r="E9" s="2" t="s">
        <v>79</v>
      </c>
      <c r="F9" s="1">
        <f>SUM(H9:$XEU9)</f>
        <v>0.5</v>
      </c>
      <c r="G9" s="10">
        <f>COUNT(H9:$XFC9)</f>
        <v>1</v>
      </c>
      <c r="H9" s="1"/>
      <c r="I9" s="1"/>
      <c r="J9" s="1"/>
      <c r="K9" s="1"/>
      <c r="L9" s="1"/>
      <c r="M9" s="1"/>
      <c r="N9" s="1"/>
      <c r="O9" s="1"/>
      <c r="P9" s="2">
        <v>0.5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R9" s="9" t="s">
        <v>42</v>
      </c>
      <c r="BJ9" s="10" t="s">
        <v>80</v>
      </c>
      <c r="BK9" s="10" t="s">
        <v>80</v>
      </c>
      <c r="BL9" s="10" t="s">
        <v>80</v>
      </c>
      <c r="BO9" s="1"/>
      <c r="BR9" s="2" t="s">
        <v>80</v>
      </c>
      <c r="BS9" s="2" t="s">
        <v>80</v>
      </c>
      <c r="CA9" s="9" t="s">
        <v>72</v>
      </c>
    </row>
    <row r="10" spans="1:83" s="2" customFormat="1" ht="16" customHeight="1">
      <c r="A10" s="2">
        <v>2023202489</v>
      </c>
      <c r="B10" s="2" t="s">
        <v>90</v>
      </c>
      <c r="C10" s="2" t="s">
        <v>77</v>
      </c>
      <c r="D10" s="2" t="s">
        <v>78</v>
      </c>
      <c r="E10" s="2" t="s">
        <v>79</v>
      </c>
      <c r="F10" s="1">
        <f>SUM(H10:$XEU10)</f>
        <v>37.5</v>
      </c>
      <c r="G10" s="10">
        <f>COUNT(H10:$XFC10)</f>
        <v>7</v>
      </c>
      <c r="H10" s="1"/>
      <c r="I10" s="1">
        <v>1</v>
      </c>
      <c r="J10" s="1"/>
      <c r="K10" s="1"/>
      <c r="L10" s="1"/>
      <c r="M10" s="1"/>
      <c r="N10" s="1"/>
      <c r="O10" s="1"/>
      <c r="P10" s="2">
        <v>0.5</v>
      </c>
      <c r="Q10" s="1"/>
      <c r="R10" s="1"/>
      <c r="S10" s="1">
        <v>20</v>
      </c>
      <c r="T10" s="1"/>
      <c r="U10" s="1"/>
      <c r="V10" s="1"/>
      <c r="W10" s="1"/>
      <c r="X10" s="1"/>
      <c r="Y10" s="1"/>
      <c r="Z10" s="1"/>
      <c r="AA10" s="1"/>
      <c r="AB10" s="1">
        <v>4</v>
      </c>
      <c r="AC10" s="1"/>
      <c r="AD10" s="1"/>
      <c r="AE10" s="1"/>
      <c r="AF10" s="1"/>
      <c r="AG10" s="1"/>
      <c r="AH10" s="1"/>
      <c r="AI10" s="1"/>
      <c r="AJ10" s="2">
        <v>4</v>
      </c>
      <c r="AK10" s="2">
        <v>4</v>
      </c>
      <c r="AR10" s="9" t="s">
        <v>42</v>
      </c>
      <c r="BJ10" s="10" t="s">
        <v>80</v>
      </c>
      <c r="BK10" s="10" t="s">
        <v>80</v>
      </c>
      <c r="BL10" s="10" t="s">
        <v>80</v>
      </c>
      <c r="BO10" s="1"/>
      <c r="BR10" s="2">
        <v>4</v>
      </c>
      <c r="BS10" s="2" t="s">
        <v>80</v>
      </c>
      <c r="CA10" s="9" t="s">
        <v>72</v>
      </c>
    </row>
    <row r="11" spans="1:83" s="2" customFormat="1" ht="16" customHeight="1">
      <c r="A11" s="2">
        <v>2023202484</v>
      </c>
      <c r="B11" s="2" t="s">
        <v>91</v>
      </c>
      <c r="C11" s="2" t="s">
        <v>77</v>
      </c>
      <c r="D11" s="2" t="s">
        <v>78</v>
      </c>
      <c r="E11" s="2" t="s">
        <v>79</v>
      </c>
      <c r="F11" s="1">
        <f>SUM(H11:$XEU11)</f>
        <v>140.5</v>
      </c>
      <c r="G11" s="10">
        <f>COUNT(H11:$XFC11)</f>
        <v>21</v>
      </c>
      <c r="H11" s="1"/>
      <c r="I11" s="1">
        <v>1</v>
      </c>
      <c r="J11" s="1"/>
      <c r="K11" s="1">
        <v>2</v>
      </c>
      <c r="L11" s="1"/>
      <c r="M11" s="1">
        <v>17.5</v>
      </c>
      <c r="N11" s="1"/>
      <c r="O11" s="1"/>
      <c r="P11" s="2">
        <v>3.5</v>
      </c>
      <c r="Q11" s="1">
        <v>20</v>
      </c>
      <c r="R11" s="1">
        <v>8</v>
      </c>
      <c r="S11" s="1"/>
      <c r="T11" s="1"/>
      <c r="U11" s="1"/>
      <c r="V11" s="1"/>
      <c r="W11" s="1"/>
      <c r="X11" s="1"/>
      <c r="Y11" s="1">
        <v>5</v>
      </c>
      <c r="Z11" s="1"/>
      <c r="AA11" s="1"/>
      <c r="AB11" s="1">
        <v>3</v>
      </c>
      <c r="AC11" s="1">
        <v>4</v>
      </c>
      <c r="AD11" s="1"/>
      <c r="AE11" s="1">
        <v>4</v>
      </c>
      <c r="AF11" s="1"/>
      <c r="AG11" s="1"/>
      <c r="AH11" s="1"/>
      <c r="AI11" s="1"/>
      <c r="AJ11" s="2">
        <v>4</v>
      </c>
      <c r="AK11" s="2">
        <v>4</v>
      </c>
      <c r="AL11" s="2">
        <v>4</v>
      </c>
      <c r="AM11" s="2">
        <v>12</v>
      </c>
      <c r="AN11" s="2">
        <v>2</v>
      </c>
      <c r="AP11" s="2">
        <v>12.5</v>
      </c>
      <c r="AR11" s="9" t="s">
        <v>42</v>
      </c>
      <c r="AS11" s="2">
        <v>12</v>
      </c>
      <c r="BD11" s="2">
        <v>8</v>
      </c>
      <c r="BE11" s="2">
        <v>6</v>
      </c>
      <c r="BJ11" s="10" t="s">
        <v>80</v>
      </c>
      <c r="BK11" s="10" t="s">
        <v>80</v>
      </c>
      <c r="BL11" s="10" t="s">
        <v>80</v>
      </c>
      <c r="BO11" s="1"/>
      <c r="BR11" s="2">
        <v>4</v>
      </c>
      <c r="BS11" s="2">
        <v>4</v>
      </c>
      <c r="CA11" s="9" t="s">
        <v>72</v>
      </c>
    </row>
    <row r="12" spans="1:83" s="2" customFormat="1" ht="16" customHeight="1">
      <c r="A12" s="2">
        <v>2023202490</v>
      </c>
      <c r="B12" s="2" t="s">
        <v>92</v>
      </c>
      <c r="C12" s="2" t="s">
        <v>82</v>
      </c>
      <c r="D12" s="2" t="s">
        <v>78</v>
      </c>
      <c r="E12" s="2" t="s">
        <v>79</v>
      </c>
      <c r="F12" s="1">
        <f>SUM(H12:$XEU12)</f>
        <v>67.5</v>
      </c>
      <c r="G12" s="10">
        <f>COUNT(H12:$XFC12)</f>
        <v>9</v>
      </c>
      <c r="H12" s="1"/>
      <c r="I12" s="1">
        <v>1.5</v>
      </c>
      <c r="J12" s="1"/>
      <c r="K12" s="1"/>
      <c r="L12" s="1"/>
      <c r="M12" s="1"/>
      <c r="N12" s="1"/>
      <c r="O12" s="1"/>
      <c r="P12" s="2">
        <v>0.5</v>
      </c>
      <c r="Q12" s="1"/>
      <c r="R12" s="1"/>
      <c r="S12" s="1"/>
      <c r="T12" s="1"/>
      <c r="U12" s="1"/>
      <c r="V12" s="1"/>
      <c r="W12" s="1">
        <v>12</v>
      </c>
      <c r="X12" s="1"/>
      <c r="Y12" s="1"/>
      <c r="Z12" s="1"/>
      <c r="AA12" s="1"/>
      <c r="AB12" s="1">
        <v>5</v>
      </c>
      <c r="AC12" s="1"/>
      <c r="AD12" s="1"/>
      <c r="AE12" s="1"/>
      <c r="AF12" s="1"/>
      <c r="AG12" s="1"/>
      <c r="AH12" s="1"/>
      <c r="AI12" s="1"/>
      <c r="AL12" s="2">
        <v>2</v>
      </c>
      <c r="AR12" s="9" t="s">
        <v>42</v>
      </c>
      <c r="BF12" s="2">
        <v>6</v>
      </c>
      <c r="BG12" s="2">
        <v>34.5</v>
      </c>
      <c r="BJ12" s="10" t="s">
        <v>80</v>
      </c>
      <c r="BK12" s="10" t="s">
        <v>80</v>
      </c>
      <c r="BL12" s="10" t="s">
        <v>80</v>
      </c>
      <c r="BM12" s="2">
        <v>4</v>
      </c>
      <c r="BO12" s="1">
        <v>2</v>
      </c>
      <c r="BR12" s="2" t="s">
        <v>80</v>
      </c>
      <c r="BS12" s="2" t="s">
        <v>80</v>
      </c>
      <c r="CA12" s="9" t="s">
        <v>72</v>
      </c>
    </row>
    <row r="13" spans="1:83" s="2" customFormat="1" ht="16" customHeight="1">
      <c r="A13" s="2">
        <v>2023202486</v>
      </c>
      <c r="B13" s="2" t="s">
        <v>93</v>
      </c>
      <c r="C13" s="2" t="s">
        <v>77</v>
      </c>
      <c r="D13" s="2" t="s">
        <v>78</v>
      </c>
      <c r="E13" s="2" t="s">
        <v>79</v>
      </c>
      <c r="F13" s="1">
        <f>SUM(H13:$XEU13)</f>
        <v>182</v>
      </c>
      <c r="G13" s="10">
        <f>COUNT(H13:$XFC13)</f>
        <v>20</v>
      </c>
      <c r="H13" s="1"/>
      <c r="I13" s="1"/>
      <c r="J13" s="1"/>
      <c r="K13" s="1"/>
      <c r="L13" s="1"/>
      <c r="M13" s="1"/>
      <c r="N13" s="1"/>
      <c r="O13" s="1"/>
      <c r="P13" s="2">
        <v>0.5</v>
      </c>
      <c r="Q13" s="1"/>
      <c r="R13" s="1">
        <v>4</v>
      </c>
      <c r="S13" s="1">
        <v>24.5</v>
      </c>
      <c r="T13" s="1"/>
      <c r="U13" s="1"/>
      <c r="V13" s="1"/>
      <c r="W13" s="1"/>
      <c r="X13" s="1"/>
      <c r="Y13" s="1">
        <v>3</v>
      </c>
      <c r="Z13" s="1"/>
      <c r="AA13" s="1"/>
      <c r="AB13" s="1">
        <v>5</v>
      </c>
      <c r="AC13" s="1">
        <v>4</v>
      </c>
      <c r="AD13" s="1"/>
      <c r="AE13" s="1"/>
      <c r="AF13" s="1"/>
      <c r="AG13" s="1"/>
      <c r="AH13" s="1"/>
      <c r="AI13" s="1"/>
      <c r="AJ13" s="2">
        <v>4</v>
      </c>
      <c r="AR13" s="9" t="s">
        <v>42</v>
      </c>
      <c r="AS13" s="2">
        <v>10</v>
      </c>
      <c r="AY13" s="2">
        <v>1.5</v>
      </c>
      <c r="BD13" s="2">
        <v>4</v>
      </c>
      <c r="BE13" s="2">
        <v>5</v>
      </c>
      <c r="BI13" s="2">
        <v>4</v>
      </c>
      <c r="BJ13" s="10" t="s">
        <v>80</v>
      </c>
      <c r="BK13" s="10" t="s">
        <v>80</v>
      </c>
      <c r="BL13" s="10" t="s">
        <v>80</v>
      </c>
      <c r="BN13" s="2">
        <v>1.5</v>
      </c>
      <c r="BO13" s="1">
        <v>21</v>
      </c>
      <c r="BP13" s="2">
        <v>0</v>
      </c>
      <c r="BQ13" s="2">
        <v>0</v>
      </c>
      <c r="BR13" s="2">
        <v>4</v>
      </c>
      <c r="BS13" s="2" t="s">
        <v>80</v>
      </c>
      <c r="BT13" s="2">
        <v>1.5</v>
      </c>
      <c r="BU13" s="2">
        <v>72</v>
      </c>
      <c r="CA13" s="9" t="s">
        <v>72</v>
      </c>
      <c r="CB13" s="2">
        <v>12.5</v>
      </c>
    </row>
    <row r="14" spans="1:83" s="2" customFormat="1" ht="16" customHeight="1">
      <c r="A14" s="2">
        <v>2023202496</v>
      </c>
      <c r="B14" s="2" t="s">
        <v>94</v>
      </c>
      <c r="C14" s="2" t="s">
        <v>77</v>
      </c>
      <c r="D14" s="2" t="s">
        <v>78</v>
      </c>
      <c r="E14" s="2" t="s">
        <v>79</v>
      </c>
      <c r="F14" s="1">
        <f>SUM(H14:$XEU14)</f>
        <v>29.5</v>
      </c>
      <c r="G14" s="10">
        <f>COUNT(H14:$XFC14)</f>
        <v>10</v>
      </c>
      <c r="H14" s="1"/>
      <c r="I14" s="1">
        <v>0.5</v>
      </c>
      <c r="J14" s="1"/>
      <c r="K14" s="1"/>
      <c r="L14" s="1"/>
      <c r="M14" s="1"/>
      <c r="N14" s="1"/>
      <c r="O14" s="1"/>
      <c r="P14" s="2">
        <v>0.5</v>
      </c>
      <c r="Q14" s="1"/>
      <c r="R14" s="1"/>
      <c r="S14" s="1"/>
      <c r="T14" s="1"/>
      <c r="U14" s="1"/>
      <c r="V14" s="1"/>
      <c r="W14" s="1"/>
      <c r="X14" s="1"/>
      <c r="Y14" s="1"/>
      <c r="Z14" s="1">
        <v>4</v>
      </c>
      <c r="AA14" s="1"/>
      <c r="AB14" s="1"/>
      <c r="AC14" s="1"/>
      <c r="AD14" s="1"/>
      <c r="AE14" s="1">
        <v>4</v>
      </c>
      <c r="AF14" s="1"/>
      <c r="AG14" s="1"/>
      <c r="AH14" s="1"/>
      <c r="AI14" s="1"/>
      <c r="AJ14" s="2">
        <v>4</v>
      </c>
      <c r="AR14" s="9" t="s">
        <v>42</v>
      </c>
      <c r="AU14" s="2">
        <v>3</v>
      </c>
      <c r="AW14" s="2">
        <v>2</v>
      </c>
      <c r="BD14" s="2">
        <v>4</v>
      </c>
      <c r="BJ14" s="10" t="s">
        <v>80</v>
      </c>
      <c r="BK14" s="10" t="s">
        <v>80</v>
      </c>
      <c r="BL14" s="10">
        <v>1.5</v>
      </c>
      <c r="BO14" s="1"/>
      <c r="BR14" s="2" t="s">
        <v>80</v>
      </c>
      <c r="BS14" s="2" t="s">
        <v>80</v>
      </c>
      <c r="CA14" s="9" t="s">
        <v>72</v>
      </c>
      <c r="CD14" s="2">
        <v>6</v>
      </c>
    </row>
    <row r="15" spans="1:83" s="2" customFormat="1" ht="16" customHeight="1">
      <c r="A15" s="2">
        <v>2023202485</v>
      </c>
      <c r="B15" s="2" t="s">
        <v>95</v>
      </c>
      <c r="C15" s="2" t="s">
        <v>82</v>
      </c>
      <c r="D15" s="2" t="s">
        <v>78</v>
      </c>
      <c r="E15" s="2" t="s">
        <v>79</v>
      </c>
      <c r="F15" s="1">
        <f>SUM(H15:$XEU15)</f>
        <v>15.5</v>
      </c>
      <c r="G15" s="10">
        <f>COUNT(H15:$XFC15)</f>
        <v>3</v>
      </c>
      <c r="H15" s="1"/>
      <c r="I15" s="1"/>
      <c r="J15" s="1"/>
      <c r="K15" s="1"/>
      <c r="L15" s="1"/>
      <c r="M15" s="1"/>
      <c r="N15" s="1"/>
      <c r="O15" s="1"/>
      <c r="P15" s="2">
        <v>0.5</v>
      </c>
      <c r="Q15" s="1"/>
      <c r="R15" s="1"/>
      <c r="S15" s="1"/>
      <c r="T15" s="1"/>
      <c r="U15" s="1"/>
      <c r="V15" s="1"/>
      <c r="W15" s="1">
        <v>12</v>
      </c>
      <c r="X15" s="1"/>
      <c r="Y15" s="1"/>
      <c r="Z15" s="1"/>
      <c r="AA15" s="1"/>
      <c r="AB15" s="1">
        <v>3</v>
      </c>
      <c r="AC15" s="1"/>
      <c r="AD15" s="1"/>
      <c r="AE15" s="1"/>
      <c r="AF15" s="1"/>
      <c r="AG15" s="1"/>
      <c r="AH15" s="1"/>
      <c r="AI15" s="1"/>
      <c r="AR15" s="9" t="s">
        <v>42</v>
      </c>
      <c r="BJ15" s="10" t="s">
        <v>80</v>
      </c>
      <c r="BK15" s="10" t="s">
        <v>80</v>
      </c>
      <c r="BL15" s="10" t="s">
        <v>80</v>
      </c>
      <c r="BO15" s="1"/>
      <c r="BR15" s="2" t="s">
        <v>80</v>
      </c>
      <c r="BS15" s="2" t="s">
        <v>80</v>
      </c>
      <c r="CA15" s="9" t="s">
        <v>72</v>
      </c>
    </row>
    <row r="16" spans="1:83" s="2" customFormat="1" ht="16" customHeight="1">
      <c r="A16" s="2">
        <v>2023202478</v>
      </c>
      <c r="B16" s="2" t="s">
        <v>96</v>
      </c>
      <c r="C16" s="2" t="s">
        <v>77</v>
      </c>
      <c r="D16" s="2" t="s">
        <v>78</v>
      </c>
      <c r="E16" s="2" t="s">
        <v>79</v>
      </c>
      <c r="F16" s="1">
        <f>SUM(H16:$XEU16)</f>
        <v>214.25</v>
      </c>
      <c r="G16" s="10">
        <f>COUNT(H16:$XFC16)</f>
        <v>25</v>
      </c>
      <c r="H16" s="1"/>
      <c r="I16" s="1">
        <v>1</v>
      </c>
      <c r="J16" s="1"/>
      <c r="K16" s="1"/>
      <c r="L16" s="1"/>
      <c r="M16" s="1"/>
      <c r="N16" s="1"/>
      <c r="O16" s="1">
        <v>4</v>
      </c>
      <c r="Q16" s="1"/>
      <c r="R16" s="1">
        <v>8</v>
      </c>
      <c r="S16" s="1"/>
      <c r="T16" s="1"/>
      <c r="U16" s="1"/>
      <c r="V16" s="1"/>
      <c r="W16" s="1">
        <v>12</v>
      </c>
      <c r="X16" s="1"/>
      <c r="Y16" s="1"/>
      <c r="Z16" s="1"/>
      <c r="AA16" s="1"/>
      <c r="AB16" s="1">
        <v>3</v>
      </c>
      <c r="AC16" s="1"/>
      <c r="AD16" s="1"/>
      <c r="AE16" s="1">
        <v>4</v>
      </c>
      <c r="AF16" s="1"/>
      <c r="AG16" s="1"/>
      <c r="AH16" s="1">
        <v>2.5</v>
      </c>
      <c r="AI16" s="1"/>
      <c r="AJ16" s="2">
        <v>4</v>
      </c>
      <c r="AK16" s="2">
        <v>4</v>
      </c>
      <c r="AL16" s="2">
        <v>4</v>
      </c>
      <c r="AR16" s="9" t="s">
        <v>42</v>
      </c>
      <c r="AV16" s="2">
        <v>18</v>
      </c>
      <c r="AW16" s="2">
        <v>11</v>
      </c>
      <c r="AX16" s="2">
        <v>10</v>
      </c>
      <c r="AY16" s="2">
        <v>1.75</v>
      </c>
      <c r="BA16" s="2">
        <v>4</v>
      </c>
      <c r="BB16" s="2">
        <v>25</v>
      </c>
      <c r="BD16" s="2">
        <v>4</v>
      </c>
      <c r="BE16" s="2">
        <v>5</v>
      </c>
      <c r="BJ16" s="10">
        <v>3</v>
      </c>
      <c r="BK16" s="10" t="s">
        <v>80</v>
      </c>
      <c r="BL16" s="10">
        <v>2</v>
      </c>
      <c r="BO16" s="1">
        <v>72</v>
      </c>
      <c r="BP16" s="2">
        <v>0</v>
      </c>
      <c r="BR16" s="2">
        <v>4</v>
      </c>
      <c r="BS16" s="2">
        <v>4</v>
      </c>
      <c r="CA16" s="9" t="s">
        <v>72</v>
      </c>
      <c r="CD16" s="2">
        <v>4</v>
      </c>
    </row>
    <row r="17" spans="1:83" s="2" customFormat="1" ht="16" customHeight="1">
      <c r="A17" s="2">
        <v>2023202487</v>
      </c>
      <c r="B17" s="2" t="s">
        <v>97</v>
      </c>
      <c r="C17" s="2" t="s">
        <v>82</v>
      </c>
      <c r="D17" s="2" t="s">
        <v>78</v>
      </c>
      <c r="E17" s="2" t="s">
        <v>79</v>
      </c>
      <c r="F17" s="1">
        <f>SUM(H17:$XEU17)</f>
        <v>95.5</v>
      </c>
      <c r="G17" s="10">
        <f>COUNT(H17:$XFC17)</f>
        <v>4</v>
      </c>
      <c r="H17" s="1"/>
      <c r="I17" s="1"/>
      <c r="J17" s="1"/>
      <c r="K17" s="1"/>
      <c r="L17" s="1"/>
      <c r="M17" s="1"/>
      <c r="N17" s="1"/>
      <c r="O17" s="1"/>
      <c r="P17" s="2">
        <v>0.5</v>
      </c>
      <c r="Q17" s="1"/>
      <c r="R17" s="1"/>
      <c r="S17" s="1"/>
      <c r="T17" s="1"/>
      <c r="U17" s="1"/>
      <c r="V17" s="1"/>
      <c r="W17" s="1">
        <v>12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Q17" s="2">
        <v>48</v>
      </c>
      <c r="AR17" s="9" t="s">
        <v>42</v>
      </c>
      <c r="BJ17" s="10" t="s">
        <v>80</v>
      </c>
      <c r="BK17" s="10" t="s">
        <v>80</v>
      </c>
      <c r="BL17" s="10" t="s">
        <v>80</v>
      </c>
      <c r="BO17" s="1"/>
      <c r="BR17" s="2" t="s">
        <v>80</v>
      </c>
      <c r="BS17" s="2" t="s">
        <v>80</v>
      </c>
      <c r="CA17" s="9" t="s">
        <v>72</v>
      </c>
      <c r="CB17" s="2">
        <v>35</v>
      </c>
    </row>
    <row r="18" spans="1:83" s="2" customFormat="1" ht="16" customHeight="1">
      <c r="A18" s="2">
        <v>2023202475</v>
      </c>
      <c r="B18" s="2" t="s">
        <v>98</v>
      </c>
      <c r="C18" s="2" t="s">
        <v>77</v>
      </c>
      <c r="D18" s="2" t="s">
        <v>78</v>
      </c>
      <c r="E18" s="2" t="s">
        <v>79</v>
      </c>
      <c r="F18" s="1">
        <f>SUM(H18:$XEU18)</f>
        <v>22</v>
      </c>
      <c r="G18" s="10">
        <f>COUNT(H18:$XFC18)</f>
        <v>5</v>
      </c>
      <c r="H18" s="1"/>
      <c r="I18" s="1">
        <v>0.5</v>
      </c>
      <c r="J18" s="1"/>
      <c r="K18" s="1"/>
      <c r="L18" s="1"/>
      <c r="M18" s="1">
        <v>15</v>
      </c>
      <c r="N18" s="1"/>
      <c r="O18" s="1"/>
      <c r="P18" s="2">
        <v>0.5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2">
        <v>4</v>
      </c>
      <c r="AL18" s="2">
        <v>2</v>
      </c>
      <c r="AR18" s="9" t="s">
        <v>42</v>
      </c>
      <c r="BJ18" s="10" t="s">
        <v>80</v>
      </c>
      <c r="BK18" s="10" t="s">
        <v>80</v>
      </c>
      <c r="BL18" s="10" t="s">
        <v>80</v>
      </c>
      <c r="BO18" s="1"/>
      <c r="BR18" s="2" t="s">
        <v>80</v>
      </c>
      <c r="BS18" s="2" t="s">
        <v>80</v>
      </c>
      <c r="CA18" s="9" t="s">
        <v>72</v>
      </c>
    </row>
    <row r="19" spans="1:83" s="2" customFormat="1" ht="16" customHeight="1">
      <c r="A19" s="2">
        <v>2023202497</v>
      </c>
      <c r="B19" s="2" t="s">
        <v>99</v>
      </c>
      <c r="C19" s="2" t="s">
        <v>82</v>
      </c>
      <c r="D19" s="2" t="s">
        <v>78</v>
      </c>
      <c r="E19" s="2" t="s">
        <v>79</v>
      </c>
      <c r="F19" s="1">
        <f>SUM(H19:$XEU19)</f>
        <v>201</v>
      </c>
      <c r="G19" s="10">
        <f>COUNT(H19:$XFC19)</f>
        <v>11</v>
      </c>
      <c r="H19" s="1">
        <v>32</v>
      </c>
      <c r="I19" s="1"/>
      <c r="J19" s="1"/>
      <c r="K19" s="1"/>
      <c r="L19" s="1"/>
      <c r="M19" s="1"/>
      <c r="N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>
        <v>3</v>
      </c>
      <c r="AC19" s="1">
        <v>4</v>
      </c>
      <c r="AD19" s="1"/>
      <c r="AE19" s="1">
        <v>4</v>
      </c>
      <c r="AF19" s="1"/>
      <c r="AG19" s="1"/>
      <c r="AH19" s="1"/>
      <c r="AI19" s="1"/>
      <c r="AJ19" s="2">
        <v>4</v>
      </c>
      <c r="AK19" s="2">
        <v>4</v>
      </c>
      <c r="AQ19" s="2">
        <v>32</v>
      </c>
      <c r="AR19" s="9" t="s">
        <v>42</v>
      </c>
      <c r="AS19" s="2">
        <v>9</v>
      </c>
      <c r="AW19" s="2">
        <v>6</v>
      </c>
      <c r="BJ19" s="10" t="s">
        <v>80</v>
      </c>
      <c r="BK19" s="10" t="s">
        <v>80</v>
      </c>
      <c r="BL19" s="10" t="s">
        <v>80</v>
      </c>
      <c r="BO19" s="1">
        <v>99</v>
      </c>
      <c r="BR19" s="2">
        <v>4</v>
      </c>
      <c r="BS19" s="2" t="s">
        <v>80</v>
      </c>
      <c r="CA19" s="9" t="s">
        <v>72</v>
      </c>
    </row>
    <row r="20" spans="1:83" s="2" customFormat="1" ht="16" customHeight="1">
      <c r="A20" s="2">
        <v>2023202492</v>
      </c>
      <c r="B20" s="2" t="s">
        <v>100</v>
      </c>
      <c r="C20" s="2" t="s">
        <v>82</v>
      </c>
      <c r="D20" s="2" t="s">
        <v>78</v>
      </c>
      <c r="E20" s="2" t="s">
        <v>79</v>
      </c>
      <c r="F20" s="1">
        <f>SUM(H20:$XEU20)</f>
        <v>240</v>
      </c>
      <c r="G20" s="10">
        <f>COUNT(H20:$XFC20)</f>
        <v>15</v>
      </c>
      <c r="H20" s="1"/>
      <c r="I20" s="1"/>
      <c r="J20" s="1">
        <v>11</v>
      </c>
      <c r="K20" s="1"/>
      <c r="L20" s="1"/>
      <c r="M20" s="1"/>
      <c r="N20" s="1"/>
      <c r="O20" s="1">
        <v>4</v>
      </c>
      <c r="P20" s="2">
        <v>0.5</v>
      </c>
      <c r="Q20" s="1"/>
      <c r="R20" s="1"/>
      <c r="S20" s="1"/>
      <c r="T20" s="1"/>
      <c r="U20" s="1"/>
      <c r="V20" s="1"/>
      <c r="W20" s="1"/>
      <c r="X20" s="1"/>
      <c r="Y20" s="1"/>
      <c r="Z20" s="1">
        <v>4</v>
      </c>
      <c r="AA20" s="1"/>
      <c r="AB20" s="1"/>
      <c r="AC20" s="1"/>
      <c r="AD20" s="1"/>
      <c r="AE20" s="1">
        <v>4</v>
      </c>
      <c r="AF20" s="1">
        <v>4</v>
      </c>
      <c r="AG20" s="1">
        <v>4</v>
      </c>
      <c r="AH20" s="1"/>
      <c r="AI20" s="1"/>
      <c r="AJ20" s="2">
        <v>4</v>
      </c>
      <c r="AO20" s="2">
        <v>22</v>
      </c>
      <c r="AQ20" s="2">
        <v>150</v>
      </c>
      <c r="AR20" s="9" t="s">
        <v>42</v>
      </c>
      <c r="AZ20" s="2">
        <v>10</v>
      </c>
      <c r="BH20" s="2">
        <v>9</v>
      </c>
      <c r="BJ20" s="10" t="s">
        <v>80</v>
      </c>
      <c r="BK20" s="10" t="s">
        <v>80</v>
      </c>
      <c r="BL20" s="10" t="s">
        <v>80</v>
      </c>
      <c r="BO20" s="1">
        <v>6</v>
      </c>
      <c r="BR20" s="2">
        <v>4</v>
      </c>
      <c r="BS20" s="2" t="s">
        <v>80</v>
      </c>
      <c r="CA20" s="9" t="s">
        <v>72</v>
      </c>
      <c r="CC20" s="2">
        <v>3.5</v>
      </c>
    </row>
    <row r="21" spans="1:83" s="2" customFormat="1" ht="16" customHeight="1">
      <c r="A21" s="2">
        <v>2023202482</v>
      </c>
      <c r="B21" s="2" t="s">
        <v>101</v>
      </c>
      <c r="C21" s="2" t="s">
        <v>77</v>
      </c>
      <c r="D21" s="2" t="s">
        <v>78</v>
      </c>
      <c r="E21" s="2" t="s">
        <v>79</v>
      </c>
      <c r="F21" s="1">
        <f>SUM(H21:$XEU21)</f>
        <v>133.5</v>
      </c>
      <c r="G21" s="10">
        <f>COUNT(H21:$XFC21)</f>
        <v>17</v>
      </c>
      <c r="H21" s="1"/>
      <c r="I21" s="1"/>
      <c r="J21" s="1"/>
      <c r="K21" s="1">
        <v>2</v>
      </c>
      <c r="L21" s="1"/>
      <c r="M21" s="1"/>
      <c r="N21" s="1"/>
      <c r="O21" s="1"/>
      <c r="P21" s="2">
        <v>0.5</v>
      </c>
      <c r="Q21" s="1"/>
      <c r="R21" s="1">
        <v>5</v>
      </c>
      <c r="S21" s="1"/>
      <c r="T21" s="1"/>
      <c r="U21" s="1"/>
      <c r="V21" s="1"/>
      <c r="W21" s="1"/>
      <c r="X21" s="1"/>
      <c r="Y21" s="1">
        <v>4</v>
      </c>
      <c r="Z21" s="1"/>
      <c r="AA21" s="1"/>
      <c r="AB21" s="1">
        <v>4</v>
      </c>
      <c r="AC21" s="1">
        <v>4</v>
      </c>
      <c r="AD21" s="1"/>
      <c r="AE21" s="1">
        <v>4</v>
      </c>
      <c r="AF21" s="1"/>
      <c r="AG21" s="1"/>
      <c r="AH21" s="1"/>
      <c r="AI21" s="1"/>
      <c r="AJ21" s="2">
        <v>4</v>
      </c>
      <c r="AK21" s="2">
        <v>4</v>
      </c>
      <c r="AL21" s="2">
        <v>2</v>
      </c>
      <c r="AR21" s="9" t="s">
        <v>42</v>
      </c>
      <c r="BD21" s="2">
        <v>4</v>
      </c>
      <c r="BJ21" s="10" t="s">
        <v>80</v>
      </c>
      <c r="BK21" s="10" t="s">
        <v>80</v>
      </c>
      <c r="BL21" s="10" t="s">
        <v>80</v>
      </c>
      <c r="BO21" s="1">
        <v>9</v>
      </c>
      <c r="BP21" s="2">
        <v>0</v>
      </c>
      <c r="BR21" s="2">
        <v>4</v>
      </c>
      <c r="BS21" s="2">
        <v>2</v>
      </c>
      <c r="BU21" s="2">
        <v>72</v>
      </c>
      <c r="CA21" s="9" t="s">
        <v>72</v>
      </c>
      <c r="CB21" s="2">
        <v>9</v>
      </c>
    </row>
    <row r="22" spans="1:83" s="2" customFormat="1" ht="16" customHeight="1">
      <c r="A22" s="2">
        <v>2023202477</v>
      </c>
      <c r="B22" s="2" t="s">
        <v>102</v>
      </c>
      <c r="C22" s="2" t="s">
        <v>77</v>
      </c>
      <c r="D22" s="2" t="s">
        <v>78</v>
      </c>
      <c r="E22" s="2" t="s">
        <v>79</v>
      </c>
      <c r="F22" s="1">
        <f>SUM(H22:$XEU22)</f>
        <v>0</v>
      </c>
      <c r="G22" s="10">
        <f>COUNT(H22:$XFC22)</f>
        <v>0</v>
      </c>
      <c r="H22" s="1"/>
      <c r="I22" s="1"/>
      <c r="J22" s="1"/>
      <c r="K22" s="1"/>
      <c r="L22" s="1"/>
      <c r="M22" s="1"/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R22" s="9" t="s">
        <v>42</v>
      </c>
      <c r="BJ22" s="10" t="s">
        <v>80</v>
      </c>
      <c r="BK22" s="10" t="s">
        <v>80</v>
      </c>
      <c r="BL22" s="10" t="s">
        <v>80</v>
      </c>
      <c r="BO22" s="1"/>
      <c r="BR22" s="2" t="s">
        <v>80</v>
      </c>
      <c r="BS22" s="2" t="s">
        <v>80</v>
      </c>
      <c r="CA22" s="9" t="s">
        <v>72</v>
      </c>
    </row>
    <row r="23" spans="1:83" s="2" customFormat="1" ht="16" customHeight="1">
      <c r="A23" s="2">
        <v>2023202474</v>
      </c>
      <c r="B23" s="2" t="s">
        <v>103</v>
      </c>
      <c r="C23" s="2" t="s">
        <v>77</v>
      </c>
      <c r="D23" s="2" t="s">
        <v>78</v>
      </c>
      <c r="E23" s="2" t="s">
        <v>79</v>
      </c>
      <c r="F23" s="1">
        <f>SUM(H23:$XEU23)</f>
        <v>105</v>
      </c>
      <c r="G23" s="10">
        <f>COUNT(H23:$XFC23)</f>
        <v>15</v>
      </c>
      <c r="H23" s="1">
        <v>10</v>
      </c>
      <c r="I23" s="1">
        <v>1.5</v>
      </c>
      <c r="J23" s="1"/>
      <c r="K23" s="1"/>
      <c r="L23" s="1"/>
      <c r="M23" s="1">
        <v>15</v>
      </c>
      <c r="N23" s="1">
        <v>16</v>
      </c>
      <c r="O23" s="1"/>
      <c r="P23" s="2">
        <v>0.5</v>
      </c>
      <c r="Q23" s="1"/>
      <c r="R23" s="1"/>
      <c r="S23" s="1"/>
      <c r="T23" s="1"/>
      <c r="U23" s="1"/>
      <c r="V23" s="1"/>
      <c r="W23" s="1">
        <v>12</v>
      </c>
      <c r="X23" s="1"/>
      <c r="Y23" s="1"/>
      <c r="Z23" s="1"/>
      <c r="AA23" s="1"/>
      <c r="AB23" s="1">
        <v>3</v>
      </c>
      <c r="AC23" s="1">
        <v>4</v>
      </c>
      <c r="AD23" s="1"/>
      <c r="AE23" s="1"/>
      <c r="AF23" s="1"/>
      <c r="AG23" s="1"/>
      <c r="AH23" s="1"/>
      <c r="AI23" s="1"/>
      <c r="AJ23" s="2">
        <v>4</v>
      </c>
      <c r="AK23" s="2">
        <v>4</v>
      </c>
      <c r="AL23" s="2">
        <v>2</v>
      </c>
      <c r="AR23" s="9" t="s">
        <v>42</v>
      </c>
      <c r="AS23" s="2">
        <v>6</v>
      </c>
      <c r="BJ23" s="10" t="s">
        <v>80</v>
      </c>
      <c r="BK23" s="10" t="s">
        <v>80</v>
      </c>
      <c r="BL23" s="10" t="s">
        <v>80</v>
      </c>
      <c r="BO23" s="1">
        <v>21</v>
      </c>
      <c r="BR23" s="2">
        <v>4</v>
      </c>
      <c r="BS23" s="2">
        <v>2</v>
      </c>
      <c r="CA23" s="9" t="s">
        <v>72</v>
      </c>
    </row>
    <row r="24" spans="1:83" s="2" customFormat="1" ht="16" customHeight="1">
      <c r="A24" s="2">
        <v>2023202473</v>
      </c>
      <c r="B24" s="2" t="s">
        <v>104</v>
      </c>
      <c r="C24" s="2" t="s">
        <v>77</v>
      </c>
      <c r="D24" s="2" t="s">
        <v>78</v>
      </c>
      <c r="E24" s="2" t="s">
        <v>79</v>
      </c>
      <c r="F24" s="1">
        <f>SUM(H24:$XEU24)</f>
        <v>24.5</v>
      </c>
      <c r="G24" s="10">
        <f>COUNT(H24:$XFC24)</f>
        <v>4</v>
      </c>
      <c r="H24" s="1"/>
      <c r="I24" s="1"/>
      <c r="J24" s="1"/>
      <c r="K24" s="1"/>
      <c r="L24" s="1"/>
      <c r="M24" s="1"/>
      <c r="N24" s="1"/>
      <c r="O24" s="1"/>
      <c r="P24" s="2">
        <v>0.5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">
        <v>4</v>
      </c>
      <c r="AK24" s="2">
        <v>4</v>
      </c>
      <c r="AR24" s="9" t="s">
        <v>42</v>
      </c>
      <c r="BC24" s="2">
        <v>16</v>
      </c>
      <c r="BJ24" s="10" t="s">
        <v>80</v>
      </c>
      <c r="BK24" s="10" t="s">
        <v>80</v>
      </c>
      <c r="BL24" s="10" t="s">
        <v>80</v>
      </c>
      <c r="BO24" s="1"/>
      <c r="BR24" s="2" t="s">
        <v>80</v>
      </c>
      <c r="BS24" s="2" t="s">
        <v>80</v>
      </c>
      <c r="CA24" s="9" t="s">
        <v>72</v>
      </c>
    </row>
    <row r="25" spans="1:83" s="2" customFormat="1" ht="16" customHeight="1">
      <c r="A25" s="2">
        <v>2023202476</v>
      </c>
      <c r="B25" s="2" t="s">
        <v>105</v>
      </c>
      <c r="C25" s="2" t="s">
        <v>77</v>
      </c>
      <c r="D25" s="2" t="s">
        <v>78</v>
      </c>
      <c r="E25" s="2" t="s">
        <v>79</v>
      </c>
      <c r="F25" s="1">
        <f>SUM(H25:$XEU25)</f>
        <v>138.5</v>
      </c>
      <c r="G25" s="10">
        <f>COUNT(H25:$XFC25)</f>
        <v>9</v>
      </c>
      <c r="H25" s="1"/>
      <c r="I25" s="1"/>
      <c r="J25" s="1"/>
      <c r="K25" s="1"/>
      <c r="L25" s="1"/>
      <c r="M25" s="1"/>
      <c r="N25" s="1">
        <v>16</v>
      </c>
      <c r="O25" s="1"/>
      <c r="P25" s="2">
        <v>0.5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">
        <v>4</v>
      </c>
      <c r="AK25" s="2">
        <v>4</v>
      </c>
      <c r="AL25" s="2">
        <v>2</v>
      </c>
      <c r="AR25" s="9" t="s">
        <v>42</v>
      </c>
      <c r="BC25" s="2">
        <v>16</v>
      </c>
      <c r="BJ25" s="10" t="s">
        <v>80</v>
      </c>
      <c r="BK25" s="10" t="s">
        <v>80</v>
      </c>
      <c r="BL25" s="10" t="s">
        <v>80</v>
      </c>
      <c r="BO25" s="1"/>
      <c r="BR25" s="2">
        <v>4</v>
      </c>
      <c r="BS25" s="2">
        <v>2</v>
      </c>
      <c r="CA25" s="9" t="s">
        <v>72</v>
      </c>
      <c r="CB25" s="2">
        <v>90</v>
      </c>
    </row>
    <row r="26" spans="1:83" s="2" customFormat="1" ht="16" customHeight="1">
      <c r="A26" s="2">
        <v>2023202493</v>
      </c>
      <c r="B26" s="2" t="s">
        <v>106</v>
      </c>
      <c r="C26" s="2" t="s">
        <v>77</v>
      </c>
      <c r="D26" s="2" t="s">
        <v>78</v>
      </c>
      <c r="E26" s="2" t="s">
        <v>79</v>
      </c>
      <c r="F26" s="1">
        <f>SUM(H26:$XEU26)</f>
        <v>138.5</v>
      </c>
      <c r="G26" s="10">
        <f>COUNT(H26:$XFC26)</f>
        <v>5</v>
      </c>
      <c r="H26" s="1"/>
      <c r="I26" s="1"/>
      <c r="J26" s="1"/>
      <c r="K26" s="1"/>
      <c r="L26" s="1"/>
      <c r="M26" s="1"/>
      <c r="N26" s="1"/>
      <c r="O26" s="1"/>
      <c r="P26" s="2">
        <v>0.5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L26" s="2">
        <v>2</v>
      </c>
      <c r="AR26" s="9" t="s">
        <v>42</v>
      </c>
      <c r="AW26" s="2">
        <v>3</v>
      </c>
      <c r="BA26" s="2">
        <v>3</v>
      </c>
      <c r="BJ26" s="10" t="s">
        <v>80</v>
      </c>
      <c r="BK26" s="10" t="s">
        <v>80</v>
      </c>
      <c r="BL26" s="10" t="s">
        <v>80</v>
      </c>
      <c r="BO26" s="1"/>
      <c r="BR26" s="2" t="s">
        <v>80</v>
      </c>
      <c r="BS26" s="2" t="s">
        <v>80</v>
      </c>
      <c r="BZ26" s="2">
        <v>130</v>
      </c>
      <c r="CA26" s="9" t="s">
        <v>72</v>
      </c>
    </row>
    <row r="27" spans="1:83" s="2" customFormat="1" ht="16" customHeight="1">
      <c r="A27" s="2">
        <v>2023202532</v>
      </c>
      <c r="B27" s="2" t="s">
        <v>107</v>
      </c>
      <c r="C27" s="2" t="s">
        <v>77</v>
      </c>
      <c r="D27" s="2" t="s">
        <v>108</v>
      </c>
      <c r="E27" s="2" t="s">
        <v>79</v>
      </c>
      <c r="F27" s="1" t="s">
        <v>109</v>
      </c>
      <c r="G27" s="10">
        <f>COUNT(H27:$XFC27)</f>
        <v>0</v>
      </c>
      <c r="H27" s="1"/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R27" s="9" t="s">
        <v>42</v>
      </c>
      <c r="BJ27" s="10" t="s">
        <v>80</v>
      </c>
      <c r="BK27" s="10"/>
      <c r="BL27" s="10"/>
      <c r="BO27" s="1"/>
      <c r="BR27" s="2" t="s">
        <v>80</v>
      </c>
      <c r="CA27" s="9" t="s">
        <v>72</v>
      </c>
    </row>
    <row r="28" spans="1:83" ht="14">
      <c r="BP28" s="4"/>
      <c r="BW28" s="2"/>
      <c r="BX28" s="2"/>
      <c r="BY28" s="2"/>
      <c r="CE28" s="2"/>
    </row>
    <row r="29" spans="1:83">
      <c r="BW29" s="2"/>
      <c r="BX29" s="2"/>
      <c r="BY29" s="2"/>
      <c r="CE29" s="2"/>
    </row>
    <row r="30" spans="1:83" ht="14">
      <c r="BP30" s="4"/>
      <c r="BW30" s="2"/>
      <c r="BX30" s="2"/>
      <c r="BY30" s="2"/>
      <c r="CE30" s="2"/>
    </row>
    <row r="31" spans="1:83">
      <c r="BW31" s="2"/>
      <c r="BX31" s="2"/>
      <c r="BY31" s="2"/>
      <c r="CE31" s="2"/>
    </row>
    <row r="32" spans="1:83">
      <c r="BW32" s="2"/>
      <c r="BX32" s="2"/>
      <c r="BY32" s="2"/>
      <c r="CE32" s="2"/>
    </row>
    <row r="33" spans="75:83">
      <c r="BW33" s="2"/>
      <c r="BX33" s="2"/>
      <c r="BY33" s="2"/>
      <c r="CE33" s="2"/>
    </row>
    <row r="34" spans="75:83">
      <c r="BW34" s="2"/>
      <c r="BX34" s="2"/>
      <c r="BY34" s="2"/>
      <c r="CE34" s="2"/>
    </row>
    <row r="35" spans="75:83">
      <c r="BW35" s="2"/>
      <c r="BX35" s="2"/>
      <c r="BY35" s="2"/>
      <c r="CE35" s="2"/>
    </row>
    <row r="36" spans="75:83">
      <c r="BW36" s="2"/>
      <c r="BX36" s="2"/>
      <c r="BY36" s="2"/>
      <c r="CE36" s="2"/>
    </row>
    <row r="37" spans="75:83">
      <c r="BW37" s="2"/>
      <c r="BX37" s="2"/>
      <c r="BY37" s="2"/>
      <c r="CE37" s="2"/>
    </row>
    <row r="38" spans="75:83">
      <c r="BW38" s="2"/>
      <c r="BX38" s="2"/>
      <c r="BY38" s="2"/>
      <c r="CE38" s="2"/>
    </row>
    <row r="39" spans="75:83">
      <c r="BW39" s="2"/>
      <c r="BX39" s="2"/>
      <c r="BY39" s="2"/>
      <c r="CE39" s="2"/>
    </row>
    <row r="40" spans="75:83">
      <c r="BW40" s="2"/>
      <c r="BX40" s="2"/>
      <c r="BY40" s="2"/>
      <c r="CE40" s="2"/>
    </row>
    <row r="41" spans="75:83">
      <c r="BW41" s="2"/>
      <c r="BX41" s="2"/>
      <c r="BY41" s="2"/>
      <c r="CE41" s="2"/>
    </row>
    <row r="42" spans="75:83">
      <c r="BW42" s="2"/>
      <c r="BX42" s="2"/>
      <c r="BY42" s="2"/>
      <c r="CE42" s="2"/>
    </row>
    <row r="43" spans="75:83">
      <c r="BW43" s="2"/>
      <c r="BX43" s="2"/>
      <c r="BY43" s="2"/>
      <c r="CE43" s="2"/>
    </row>
    <row r="44" spans="75:83">
      <c r="BW44" s="2"/>
      <c r="BX44" s="2"/>
      <c r="BY44" s="2"/>
      <c r="CE44" s="2"/>
    </row>
    <row r="45" spans="75:83">
      <c r="BW45" s="2"/>
      <c r="BX45" s="2"/>
      <c r="BY45" s="2"/>
      <c r="CE45" s="2"/>
    </row>
    <row r="46" spans="75:83">
      <c r="BW46" s="2"/>
      <c r="BX46" s="2"/>
      <c r="BY46" s="2"/>
      <c r="CE46" s="2"/>
    </row>
    <row r="47" spans="75:83">
      <c r="BW47" s="2"/>
      <c r="BX47" s="2"/>
      <c r="BY47" s="2"/>
      <c r="CE47" s="2"/>
    </row>
    <row r="48" spans="75:83">
      <c r="BW48" s="2"/>
      <c r="BX48" s="2"/>
      <c r="BY48" s="2"/>
      <c r="CE48" s="2"/>
    </row>
    <row r="49" spans="75:83">
      <c r="BW49" s="2"/>
      <c r="BX49" s="2"/>
      <c r="BY49" s="2"/>
      <c r="CE49" s="2"/>
    </row>
    <row r="50" spans="75:83">
      <c r="BW50" s="2"/>
      <c r="BX50" s="2"/>
      <c r="BY50" s="2"/>
      <c r="CE50" s="2"/>
    </row>
    <row r="51" spans="75:83">
      <c r="BW51" s="2"/>
      <c r="BX51" s="2"/>
      <c r="BY51" s="2"/>
      <c r="CE51" s="2"/>
    </row>
    <row r="52" spans="75:83">
      <c r="BW52" s="2"/>
      <c r="BX52" s="2"/>
      <c r="BY52" s="2"/>
      <c r="CE52" s="2"/>
    </row>
    <row r="53" spans="75:83">
      <c r="BW53" s="2"/>
      <c r="BX53" s="2"/>
      <c r="BY53" s="2"/>
      <c r="CE53" s="2"/>
    </row>
    <row r="54" spans="75:83">
      <c r="BW54" s="2"/>
      <c r="BX54" s="2"/>
      <c r="BY54" s="2"/>
      <c r="CE54" s="2"/>
    </row>
    <row r="55" spans="75:83">
      <c r="BW55" s="2"/>
      <c r="BX55" s="2"/>
      <c r="BY55" s="2"/>
      <c r="CE55" s="2"/>
    </row>
    <row r="56" spans="75:83">
      <c r="BW56" s="2"/>
      <c r="BX56" s="2"/>
      <c r="BY56" s="2"/>
      <c r="CE56" s="2"/>
    </row>
  </sheetData>
  <phoneticPr fontId="13" type="noConversion"/>
  <pageMargins left="0.75" right="0.75" top="1" bottom="1" header="0.5" foot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56"/>
  <sheetViews>
    <sheetView zoomScale="73" zoomScaleNormal="73" workbookViewId="0">
      <pane xSplit="7" ySplit="1" topLeftCell="BS2" activePane="bottomRight" state="frozen"/>
      <selection pane="topRight"/>
      <selection pane="bottomLeft"/>
      <selection pane="bottomRight" activeCell="BV1" sqref="BV1:BV1048576"/>
    </sheetView>
  </sheetViews>
  <sheetFormatPr baseColWidth="10" defaultColWidth="9.6640625" defaultRowHeight="17"/>
  <cols>
    <col min="1" max="1" width="10.5" style="4" hidden="1" customWidth="1"/>
    <col min="2" max="3" width="10" style="4" customWidth="1"/>
    <col min="4" max="4" width="19.83203125" style="4" customWidth="1"/>
    <col min="5" max="6" width="7.83203125" style="4"/>
    <col min="7" max="7" width="9.6640625" style="4"/>
    <col min="8" max="8" width="16.5" style="4" customWidth="1"/>
    <col min="9" max="9" width="20.5" style="4" customWidth="1"/>
    <col min="10" max="10" width="10.33203125" style="4" customWidth="1"/>
    <col min="11" max="12" width="7.83203125" style="4"/>
    <col min="13" max="13" width="19" style="4" customWidth="1"/>
    <col min="14" max="14" width="9.6640625" style="4"/>
    <col min="15" max="15" width="16.6640625" style="4" customWidth="1"/>
    <col min="16" max="16" width="11.5" style="4" customWidth="1"/>
    <col min="17" max="17" width="19.1640625" style="4" customWidth="1"/>
    <col min="18" max="21" width="13.5" style="4" customWidth="1"/>
    <col min="22" max="22" width="11" style="4" customWidth="1"/>
    <col min="23" max="23" width="7.83203125" style="4"/>
    <col min="24" max="24" width="13.6640625" style="4" customWidth="1"/>
    <col min="25" max="25" width="13.83203125" style="4" customWidth="1"/>
    <col min="26" max="26" width="10.1640625" style="4" customWidth="1"/>
    <col min="27" max="27" width="10" style="4" customWidth="1"/>
    <col min="28" max="28" width="7.83203125" style="4"/>
    <col min="29" max="29" width="11.5" style="4" customWidth="1"/>
    <col min="30" max="30" width="10.5" style="4" customWidth="1"/>
    <col min="31" max="31" width="20" style="4" customWidth="1"/>
    <col min="32" max="32" width="9.6640625" style="4"/>
    <col min="33" max="33" width="13.5" style="4" customWidth="1"/>
    <col min="34" max="34" width="10.5" style="4" customWidth="1"/>
    <col min="35" max="35" width="9.6640625" style="4"/>
    <col min="36" max="36" width="9.5" style="4" customWidth="1"/>
    <col min="37" max="38" width="10.6640625" style="4" customWidth="1"/>
    <col min="39" max="39" width="9.6640625" style="4"/>
    <col min="40" max="40" width="12.33203125" style="4" customWidth="1"/>
    <col min="41" max="42" width="9.6640625" style="4"/>
    <col min="43" max="43" width="11.33203125" style="4" customWidth="1"/>
    <col min="44" max="44" width="9.6640625" style="4"/>
    <col min="45" max="45" width="8.6640625" style="4" customWidth="1"/>
    <col min="46" max="48" width="9.6640625" style="4"/>
    <col min="49" max="49" width="14.6640625" style="4" customWidth="1"/>
    <col min="50" max="50" width="11.33203125" style="4" customWidth="1"/>
    <col min="51" max="52" width="13" style="4" customWidth="1"/>
    <col min="53" max="53" width="7.83203125" style="4" customWidth="1"/>
    <col min="54" max="56" width="9.6640625" style="4"/>
    <col min="57" max="57" width="14.5" style="4" customWidth="1"/>
    <col min="58" max="58" width="11.1640625" style="4" customWidth="1"/>
    <col min="59" max="59" width="9.6640625" style="4"/>
    <col min="60" max="61" width="13.33203125" style="4" customWidth="1"/>
    <col min="62" max="63" width="9.6640625" style="4"/>
    <col min="64" max="64" width="16.5" style="4" customWidth="1"/>
    <col min="65" max="65" width="1" style="4" hidden="1" customWidth="1"/>
    <col min="66" max="66" width="19.1640625" customWidth="1"/>
    <col min="67" max="67" width="12.5" style="4" customWidth="1"/>
    <col min="68" max="68" width="8.33203125" style="4" customWidth="1"/>
    <col min="69" max="69" width="9.6640625" style="4"/>
    <col min="70" max="70" width="14.6640625" style="4" customWidth="1"/>
    <col min="71" max="71" width="16.5" style="4" customWidth="1"/>
    <col min="72" max="72" width="8.6640625" style="4" customWidth="1"/>
    <col min="73" max="16384" width="9.6640625" style="4"/>
  </cols>
  <sheetData>
    <row r="1" spans="1:74" s="33" customFormat="1" ht="27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1" t="s">
        <v>8</v>
      </c>
      <c r="J1" s="1" t="s">
        <v>10</v>
      </c>
      <c r="K1" s="8" t="s">
        <v>11</v>
      </c>
      <c r="L1" s="1" t="s">
        <v>110</v>
      </c>
      <c r="M1" s="1" t="s">
        <v>13</v>
      </c>
      <c r="N1" s="1" t="s">
        <v>111</v>
      </c>
      <c r="O1" s="1" t="s">
        <v>112</v>
      </c>
      <c r="P1" s="1" t="s">
        <v>17</v>
      </c>
      <c r="Q1" s="1" t="s">
        <v>18</v>
      </c>
      <c r="R1" s="1" t="s">
        <v>31</v>
      </c>
      <c r="S1" s="1" t="s">
        <v>113</v>
      </c>
      <c r="T1" s="1" t="s">
        <v>19</v>
      </c>
      <c r="U1" s="1" t="s">
        <v>20</v>
      </c>
      <c r="V1" s="1" t="s">
        <v>114</v>
      </c>
      <c r="W1" s="1" t="s">
        <v>115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116</v>
      </c>
      <c r="AO1" s="1" t="s">
        <v>11</v>
      </c>
      <c r="AP1" s="1" t="s">
        <v>40</v>
      </c>
      <c r="AQ1" s="1" t="s">
        <v>39</v>
      </c>
      <c r="AR1" s="1" t="s">
        <v>41</v>
      </c>
      <c r="AS1" s="9" t="s">
        <v>42</v>
      </c>
      <c r="AT1" s="35" t="s">
        <v>43</v>
      </c>
      <c r="AU1" s="1" t="s">
        <v>117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53</v>
      </c>
      <c r="BC1" s="1" t="s">
        <v>54</v>
      </c>
      <c r="BD1" s="1" t="s">
        <v>55</v>
      </c>
      <c r="BE1" s="2" t="s">
        <v>118</v>
      </c>
      <c r="BF1" s="10" t="s">
        <v>57</v>
      </c>
      <c r="BG1" s="1" t="s">
        <v>59</v>
      </c>
      <c r="BH1" s="10" t="s">
        <v>60</v>
      </c>
      <c r="BI1" s="10" t="s">
        <v>61</v>
      </c>
      <c r="BJ1" s="10" t="s">
        <v>62</v>
      </c>
      <c r="BK1" s="1" t="s">
        <v>64</v>
      </c>
      <c r="BL1" s="36" t="s">
        <v>65</v>
      </c>
      <c r="BN1" s="10" t="s">
        <v>119</v>
      </c>
      <c r="BO1" s="1" t="s">
        <v>66</v>
      </c>
      <c r="BP1" s="33" t="s">
        <v>67</v>
      </c>
      <c r="BQ1" s="33" t="s">
        <v>69</v>
      </c>
      <c r="BR1" s="33" t="s">
        <v>120</v>
      </c>
      <c r="BS1" s="1" t="s">
        <v>70</v>
      </c>
      <c r="BT1" s="9" t="s">
        <v>72</v>
      </c>
      <c r="BU1" s="33" t="s">
        <v>75</v>
      </c>
      <c r="BV1" s="1"/>
    </row>
    <row r="2" spans="1:74" s="34" customFormat="1" ht="16" customHeight="1">
      <c r="A2" s="2">
        <v>2023202777</v>
      </c>
      <c r="B2" s="2" t="s">
        <v>121</v>
      </c>
      <c r="C2" s="2" t="s">
        <v>77</v>
      </c>
      <c r="D2" s="2" t="s">
        <v>122</v>
      </c>
      <c r="E2" s="2" t="s">
        <v>123</v>
      </c>
      <c r="F2" s="1">
        <f>SUM(H2:$XER2)</f>
        <v>18.5</v>
      </c>
      <c r="G2" s="10">
        <f>COUNT(H2:$XFC2)</f>
        <v>6</v>
      </c>
      <c r="H2" s="1"/>
      <c r="I2" s="1"/>
      <c r="J2" s="1"/>
      <c r="K2" s="1"/>
      <c r="L2" s="1"/>
      <c r="M2" s="1"/>
      <c r="N2" s="2">
        <v>0.5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>
        <v>2</v>
      </c>
      <c r="AA2" s="1"/>
      <c r="AB2" s="1"/>
      <c r="AC2" s="1"/>
      <c r="AD2" s="1"/>
      <c r="AE2" s="1"/>
      <c r="AF2" s="2"/>
      <c r="AG2" s="2">
        <v>4</v>
      </c>
      <c r="AH2" s="1"/>
      <c r="AI2" s="2"/>
      <c r="AJ2" s="2"/>
      <c r="AK2" s="2">
        <v>4</v>
      </c>
      <c r="AL2" s="2">
        <v>4</v>
      </c>
      <c r="AM2" s="2"/>
      <c r="AN2" s="2"/>
      <c r="AO2" s="2"/>
      <c r="AP2" s="2"/>
      <c r="AQ2" s="2"/>
      <c r="AR2" s="2"/>
      <c r="AS2" s="9" t="s">
        <v>42</v>
      </c>
      <c r="AT2" s="37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10" t="s">
        <v>80</v>
      </c>
      <c r="BI2" s="10" t="s">
        <v>80</v>
      </c>
      <c r="BJ2" s="10" t="s">
        <v>80</v>
      </c>
      <c r="BL2" s="1"/>
      <c r="BN2" s="10" t="s">
        <v>80</v>
      </c>
      <c r="BO2" s="2">
        <v>4</v>
      </c>
      <c r="BP2" s="2" t="s">
        <v>80</v>
      </c>
      <c r="BS2" s="2"/>
      <c r="BT2" s="9" t="s">
        <v>72</v>
      </c>
      <c r="BV2" s="2"/>
    </row>
    <row r="3" spans="1:74" s="34" customFormat="1" ht="16" customHeight="1">
      <c r="A3" s="2">
        <v>2023202779</v>
      </c>
      <c r="B3" s="2" t="s">
        <v>124</v>
      </c>
      <c r="C3" s="2" t="s">
        <v>77</v>
      </c>
      <c r="D3" s="2" t="s">
        <v>122</v>
      </c>
      <c r="E3" s="2" t="s">
        <v>123</v>
      </c>
      <c r="F3" s="1">
        <f>SUM(H3:$XER3)</f>
        <v>32.5</v>
      </c>
      <c r="G3" s="10">
        <f>COUNT(H3:$XFC3)</f>
        <v>8</v>
      </c>
      <c r="H3" s="1">
        <v>5</v>
      </c>
      <c r="I3" s="1"/>
      <c r="J3" s="1"/>
      <c r="K3" s="1"/>
      <c r="L3" s="1"/>
      <c r="M3" s="1"/>
      <c r="N3" s="2">
        <v>0.5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>
        <v>3</v>
      </c>
      <c r="AE3" s="1"/>
      <c r="AF3" s="2"/>
      <c r="AG3" s="2"/>
      <c r="AH3" s="1"/>
      <c r="AI3" s="2"/>
      <c r="AJ3" s="2"/>
      <c r="AK3" s="2">
        <v>4</v>
      </c>
      <c r="AL3" s="2"/>
      <c r="AM3" s="2"/>
      <c r="AN3" s="2">
        <v>4</v>
      </c>
      <c r="AO3" s="2"/>
      <c r="AP3" s="2"/>
      <c r="AQ3" s="2"/>
      <c r="AR3" s="2"/>
      <c r="AS3" s="9" t="s">
        <v>42</v>
      </c>
      <c r="AU3" s="2"/>
      <c r="AV3" s="2"/>
      <c r="AW3" s="2"/>
      <c r="AX3" s="2">
        <v>9</v>
      </c>
      <c r="AY3" s="2"/>
      <c r="AZ3" s="2"/>
      <c r="BA3" s="2">
        <v>2</v>
      </c>
      <c r="BB3" s="2"/>
      <c r="BC3" s="2"/>
      <c r="BD3" s="2"/>
      <c r="BE3" s="2"/>
      <c r="BF3" s="2"/>
      <c r="BG3" s="2"/>
      <c r="BH3" s="10" t="s">
        <v>80</v>
      </c>
      <c r="BI3" s="10" t="s">
        <v>80</v>
      </c>
      <c r="BJ3" s="10" t="s">
        <v>80</v>
      </c>
      <c r="BL3" s="1">
        <v>5</v>
      </c>
      <c r="BN3" s="10" t="s">
        <v>80</v>
      </c>
      <c r="BO3" s="2" t="s">
        <v>80</v>
      </c>
      <c r="BP3" s="2" t="s">
        <v>80</v>
      </c>
      <c r="BS3" s="2"/>
      <c r="BT3" s="9" t="s">
        <v>72</v>
      </c>
      <c r="BV3" s="2"/>
    </row>
    <row r="4" spans="1:74" s="34" customFormat="1" ht="16" customHeight="1">
      <c r="A4" s="2">
        <v>2023202752</v>
      </c>
      <c r="B4" s="2" t="s">
        <v>125</v>
      </c>
      <c r="C4" s="2" t="s">
        <v>82</v>
      </c>
      <c r="D4" s="2" t="s">
        <v>122</v>
      </c>
      <c r="E4" s="2" t="s">
        <v>123</v>
      </c>
      <c r="F4" s="1">
        <f>SUM(H4:$XER4)</f>
        <v>33.5</v>
      </c>
      <c r="G4" s="10">
        <f>COUNT(H4:$XFC4)</f>
        <v>9</v>
      </c>
      <c r="H4" s="1"/>
      <c r="I4" s="1"/>
      <c r="J4" s="1"/>
      <c r="K4" s="1"/>
      <c r="L4" s="1"/>
      <c r="M4" s="1"/>
      <c r="N4" s="2">
        <v>0.5</v>
      </c>
      <c r="O4" s="1"/>
      <c r="P4" s="1"/>
      <c r="Q4" s="1"/>
      <c r="R4" s="1"/>
      <c r="S4" s="1"/>
      <c r="T4" s="1"/>
      <c r="U4" s="1"/>
      <c r="V4" s="1"/>
      <c r="W4" s="1"/>
      <c r="X4" s="1"/>
      <c r="Y4" s="1">
        <v>4</v>
      </c>
      <c r="Z4" s="1"/>
      <c r="AA4" s="1"/>
      <c r="AB4" s="1">
        <v>4</v>
      </c>
      <c r="AC4" s="1"/>
      <c r="AD4" s="1">
        <v>3</v>
      </c>
      <c r="AE4" s="1"/>
      <c r="AF4" s="2"/>
      <c r="AG4" s="2">
        <v>4</v>
      </c>
      <c r="AH4" s="1"/>
      <c r="AI4" s="2"/>
      <c r="AJ4" s="2"/>
      <c r="AK4" s="2"/>
      <c r="AL4" s="2"/>
      <c r="AM4" s="2">
        <v>2</v>
      </c>
      <c r="AN4" s="2"/>
      <c r="AO4" s="2"/>
      <c r="AP4" s="2"/>
      <c r="AQ4" s="2"/>
      <c r="AR4" s="2"/>
      <c r="AS4" s="9" t="s">
        <v>42</v>
      </c>
      <c r="AT4" s="34">
        <v>10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>
        <v>4</v>
      </c>
      <c r="BH4" s="10" t="s">
        <v>80</v>
      </c>
      <c r="BI4" s="10" t="s">
        <v>80</v>
      </c>
      <c r="BJ4" s="10" t="s">
        <v>80</v>
      </c>
      <c r="BL4" s="1"/>
      <c r="BN4" s="10" t="s">
        <v>80</v>
      </c>
      <c r="BO4" s="2" t="s">
        <v>80</v>
      </c>
      <c r="BP4" s="2">
        <v>2</v>
      </c>
      <c r="BS4" s="2"/>
      <c r="BT4" s="9" t="s">
        <v>72</v>
      </c>
      <c r="BV4" s="2"/>
    </row>
    <row r="5" spans="1:74" s="34" customFormat="1" ht="16" customHeight="1">
      <c r="A5" s="2">
        <v>2023202762</v>
      </c>
      <c r="B5" s="2" t="s">
        <v>126</v>
      </c>
      <c r="C5" s="2" t="s">
        <v>77</v>
      </c>
      <c r="D5" s="2" t="s">
        <v>122</v>
      </c>
      <c r="E5" s="2" t="s">
        <v>123</v>
      </c>
      <c r="F5" s="1">
        <f>SUM(H5:$XER5)</f>
        <v>26.5</v>
      </c>
      <c r="G5" s="10">
        <f>COUNT(H5:$XFC5)</f>
        <v>8</v>
      </c>
      <c r="H5" s="1"/>
      <c r="I5" s="1"/>
      <c r="J5" s="1">
        <v>2</v>
      </c>
      <c r="K5" s="1"/>
      <c r="L5" s="1"/>
      <c r="M5" s="1"/>
      <c r="N5" s="2">
        <v>0.5</v>
      </c>
      <c r="O5" s="1"/>
      <c r="P5" s="1"/>
      <c r="Q5" s="1"/>
      <c r="R5" s="1"/>
      <c r="S5" s="1"/>
      <c r="T5" s="1"/>
      <c r="U5" s="1"/>
      <c r="V5" s="1"/>
      <c r="W5" s="1">
        <v>4</v>
      </c>
      <c r="X5" s="1"/>
      <c r="Y5" s="1"/>
      <c r="Z5" s="1"/>
      <c r="AA5" s="1"/>
      <c r="AB5" s="1">
        <v>4</v>
      </c>
      <c r="AC5" s="1"/>
      <c r="AD5" s="1">
        <v>4</v>
      </c>
      <c r="AE5" s="1">
        <v>4</v>
      </c>
      <c r="AF5" s="2"/>
      <c r="AG5" s="2">
        <v>4</v>
      </c>
      <c r="AH5" s="1">
        <v>4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9" t="s">
        <v>42</v>
      </c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10" t="s">
        <v>80</v>
      </c>
      <c r="BI5" s="10" t="s">
        <v>80</v>
      </c>
      <c r="BJ5" s="10" t="s">
        <v>80</v>
      </c>
      <c r="BL5" s="1"/>
      <c r="BN5" s="10" t="s">
        <v>80</v>
      </c>
      <c r="BO5" s="2" t="s">
        <v>80</v>
      </c>
      <c r="BP5" s="2" t="s">
        <v>80</v>
      </c>
      <c r="BS5" s="2"/>
      <c r="BT5" s="9" t="s">
        <v>72</v>
      </c>
      <c r="BV5" s="2"/>
    </row>
    <row r="6" spans="1:74" s="34" customFormat="1" ht="16" customHeight="1">
      <c r="A6" s="2">
        <v>2023202763</v>
      </c>
      <c r="B6" s="2" t="s">
        <v>127</v>
      </c>
      <c r="C6" s="2" t="s">
        <v>82</v>
      </c>
      <c r="D6" s="2" t="s">
        <v>122</v>
      </c>
      <c r="E6" s="2" t="s">
        <v>123</v>
      </c>
      <c r="F6" s="1">
        <f>SUM(H6:$XER6)</f>
        <v>10</v>
      </c>
      <c r="G6" s="10">
        <f>COUNT(H6:$XFC6)</f>
        <v>3</v>
      </c>
      <c r="H6" s="1"/>
      <c r="I6" s="1"/>
      <c r="J6" s="1">
        <v>2</v>
      </c>
      <c r="K6" s="1"/>
      <c r="L6" s="1"/>
      <c r="M6" s="1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4</v>
      </c>
      <c r="AF6" s="2"/>
      <c r="AG6" s="2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9" t="s">
        <v>42</v>
      </c>
      <c r="AU6" s="2"/>
      <c r="AV6" s="2"/>
      <c r="AW6" s="2"/>
      <c r="AX6" s="2"/>
      <c r="AY6" s="2"/>
      <c r="AZ6" s="2"/>
      <c r="BA6" s="2"/>
      <c r="BB6" s="2"/>
      <c r="BC6" s="2">
        <v>4</v>
      </c>
      <c r="BD6" s="2"/>
      <c r="BE6" s="2"/>
      <c r="BF6" s="2"/>
      <c r="BG6" s="2"/>
      <c r="BH6" s="10" t="s">
        <v>80</v>
      </c>
      <c r="BI6" s="10" t="s">
        <v>80</v>
      </c>
      <c r="BJ6" s="10" t="s">
        <v>80</v>
      </c>
      <c r="BL6" s="1"/>
      <c r="BN6" s="10" t="s">
        <v>80</v>
      </c>
      <c r="BO6" s="2" t="s">
        <v>80</v>
      </c>
      <c r="BP6" s="2" t="s">
        <v>80</v>
      </c>
      <c r="BS6" s="2"/>
      <c r="BT6" s="9" t="s">
        <v>72</v>
      </c>
      <c r="BV6" s="2"/>
    </row>
    <row r="7" spans="1:74" s="34" customFormat="1" ht="16" customHeight="1">
      <c r="A7" s="2">
        <v>2023202747</v>
      </c>
      <c r="B7" s="2" t="s">
        <v>128</v>
      </c>
      <c r="C7" s="2" t="s">
        <v>82</v>
      </c>
      <c r="D7" s="2" t="s">
        <v>122</v>
      </c>
      <c r="E7" s="2" t="s">
        <v>123</v>
      </c>
      <c r="F7" s="1">
        <f>SUM(H7:$XER7)</f>
        <v>34</v>
      </c>
      <c r="G7" s="10">
        <f>COUNT(H7:$XFC7)</f>
        <v>8</v>
      </c>
      <c r="H7" s="1"/>
      <c r="I7" s="1"/>
      <c r="J7" s="1"/>
      <c r="K7" s="1"/>
      <c r="L7" s="1"/>
      <c r="M7" s="1">
        <v>16</v>
      </c>
      <c r="N7" s="2">
        <v>0.5</v>
      </c>
      <c r="O7" s="1"/>
      <c r="P7" s="1"/>
      <c r="Q7" s="1"/>
      <c r="R7" s="1"/>
      <c r="S7" s="1"/>
      <c r="T7" s="1"/>
      <c r="U7" s="1"/>
      <c r="V7" s="1"/>
      <c r="W7" s="1"/>
      <c r="X7" s="1"/>
      <c r="Y7" s="1">
        <v>4</v>
      </c>
      <c r="Z7" s="1"/>
      <c r="AA7" s="1"/>
      <c r="AB7" s="1"/>
      <c r="AC7" s="1"/>
      <c r="AD7" s="1">
        <v>4</v>
      </c>
      <c r="AE7" s="1"/>
      <c r="AF7" s="2"/>
      <c r="AG7" s="2"/>
      <c r="AH7" s="1"/>
      <c r="AI7" s="2"/>
      <c r="AJ7" s="2"/>
      <c r="AK7" s="2">
        <v>4</v>
      </c>
      <c r="AL7" s="2"/>
      <c r="AM7" s="2"/>
      <c r="AN7" s="2"/>
      <c r="AO7" s="2"/>
      <c r="AP7" s="2"/>
      <c r="AQ7" s="2"/>
      <c r="AR7" s="2"/>
      <c r="AS7" s="9" t="s">
        <v>42</v>
      </c>
      <c r="AU7" s="2"/>
      <c r="AV7" s="2"/>
      <c r="AW7" s="2"/>
      <c r="AX7" s="2"/>
      <c r="AY7" s="2"/>
      <c r="AZ7" s="2"/>
      <c r="BA7" s="2">
        <v>2</v>
      </c>
      <c r="BB7" s="2"/>
      <c r="BC7" s="2"/>
      <c r="BD7" s="2"/>
      <c r="BE7" s="2"/>
      <c r="BF7" s="2"/>
      <c r="BG7" s="2"/>
      <c r="BH7" s="10" t="s">
        <v>80</v>
      </c>
      <c r="BI7" s="10">
        <v>3</v>
      </c>
      <c r="BJ7" s="10">
        <v>0.5</v>
      </c>
      <c r="BL7" s="1"/>
      <c r="BN7" s="10" t="s">
        <v>80</v>
      </c>
      <c r="BO7" s="2" t="s">
        <v>80</v>
      </c>
      <c r="BP7" s="2" t="s">
        <v>80</v>
      </c>
      <c r="BS7" s="2"/>
      <c r="BT7" s="9" t="s">
        <v>72</v>
      </c>
      <c r="BV7" s="2"/>
    </row>
    <row r="8" spans="1:74" s="34" customFormat="1" ht="16" customHeight="1">
      <c r="A8" s="2">
        <v>2023202751</v>
      </c>
      <c r="B8" s="2" t="s">
        <v>129</v>
      </c>
      <c r="C8" s="2" t="s">
        <v>77</v>
      </c>
      <c r="D8" s="2" t="s">
        <v>122</v>
      </c>
      <c r="E8" s="2" t="s">
        <v>123</v>
      </c>
      <c r="F8" s="1">
        <f>SUM(H8:$XER8)</f>
        <v>87</v>
      </c>
      <c r="G8" s="10">
        <f>COUNT(H8:$XFC8)</f>
        <v>13</v>
      </c>
      <c r="H8" s="1"/>
      <c r="I8" s="1">
        <v>0.5</v>
      </c>
      <c r="J8" s="1"/>
      <c r="K8" s="1"/>
      <c r="L8" s="1"/>
      <c r="M8" s="1"/>
      <c r="N8" s="2">
        <v>0.5</v>
      </c>
      <c r="O8" s="1">
        <v>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>
        <v>4</v>
      </c>
      <c r="AC8" s="1"/>
      <c r="AD8" s="1">
        <v>4</v>
      </c>
      <c r="AE8" s="1"/>
      <c r="AF8" s="2"/>
      <c r="AG8" s="2">
        <v>4</v>
      </c>
      <c r="AH8" s="1">
        <v>4</v>
      </c>
      <c r="AI8" s="2"/>
      <c r="AJ8" s="2"/>
      <c r="AK8" s="2">
        <v>4</v>
      </c>
      <c r="AL8" s="2">
        <v>4</v>
      </c>
      <c r="AM8" s="2"/>
      <c r="AN8" s="2"/>
      <c r="AO8" s="2"/>
      <c r="AP8" s="2"/>
      <c r="AQ8" s="2"/>
      <c r="AR8" s="2"/>
      <c r="AS8" s="9" t="s">
        <v>42</v>
      </c>
      <c r="AU8" s="2"/>
      <c r="AV8" s="2"/>
      <c r="AW8" s="2"/>
      <c r="AX8" s="2">
        <v>24</v>
      </c>
      <c r="AY8" s="2"/>
      <c r="AZ8" s="2"/>
      <c r="BA8" s="2"/>
      <c r="BB8" s="2"/>
      <c r="BC8" s="2"/>
      <c r="BD8" s="2">
        <v>5</v>
      </c>
      <c r="BE8" s="2">
        <v>27</v>
      </c>
      <c r="BF8" s="2"/>
      <c r="BG8" s="2"/>
      <c r="BH8" s="10" t="s">
        <v>80</v>
      </c>
      <c r="BI8" s="10" t="s">
        <v>80</v>
      </c>
      <c r="BJ8" s="10" t="s">
        <v>80</v>
      </c>
      <c r="BL8" s="1"/>
      <c r="BN8" s="10" t="s">
        <v>80</v>
      </c>
      <c r="BO8" s="2">
        <v>4</v>
      </c>
      <c r="BP8" s="2" t="s">
        <v>80</v>
      </c>
      <c r="BS8" s="2"/>
      <c r="BT8" s="9" t="s">
        <v>72</v>
      </c>
      <c r="BV8" s="2"/>
    </row>
    <row r="9" spans="1:74" s="34" customFormat="1" ht="16" customHeight="1">
      <c r="A9" s="2">
        <v>2023202766</v>
      </c>
      <c r="B9" s="2" t="s">
        <v>130</v>
      </c>
      <c r="C9" s="2" t="s">
        <v>82</v>
      </c>
      <c r="D9" s="2" t="s">
        <v>122</v>
      </c>
      <c r="E9" s="2" t="s">
        <v>123</v>
      </c>
      <c r="F9" s="1">
        <f>SUM(H9:$XER9)</f>
        <v>28.5</v>
      </c>
      <c r="G9" s="10">
        <f>COUNT(H9:$XFC9)</f>
        <v>6</v>
      </c>
      <c r="H9" s="1"/>
      <c r="I9" s="1"/>
      <c r="J9" s="1">
        <v>2</v>
      </c>
      <c r="K9" s="1"/>
      <c r="L9" s="1"/>
      <c r="M9" s="1"/>
      <c r="N9" s="2">
        <v>0.5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v>8</v>
      </c>
      <c r="AC9" s="1"/>
      <c r="AD9" s="1">
        <v>6</v>
      </c>
      <c r="AE9" s="1"/>
      <c r="AF9" s="2"/>
      <c r="AG9" s="2"/>
      <c r="AH9" s="1"/>
      <c r="AI9" s="2"/>
      <c r="AJ9" s="2"/>
      <c r="AK9" s="2"/>
      <c r="AL9" s="2"/>
      <c r="AM9" s="2"/>
      <c r="AN9" s="2"/>
      <c r="AO9" s="2"/>
      <c r="AP9" s="2"/>
      <c r="AQ9" s="2"/>
      <c r="AR9" s="2"/>
      <c r="AS9" s="9" t="s">
        <v>42</v>
      </c>
      <c r="AU9" s="2"/>
      <c r="AV9" s="2"/>
      <c r="AW9" s="2"/>
      <c r="AX9" s="2"/>
      <c r="AY9" s="2"/>
      <c r="AZ9" s="2"/>
      <c r="BA9" s="2"/>
      <c r="BB9" s="2"/>
      <c r="BC9" s="2">
        <v>4</v>
      </c>
      <c r="BD9" s="2">
        <v>8</v>
      </c>
      <c r="BE9" s="2"/>
      <c r="BF9" s="2"/>
      <c r="BG9" s="2"/>
      <c r="BH9" s="10" t="s">
        <v>80</v>
      </c>
      <c r="BI9" s="10" t="s">
        <v>80</v>
      </c>
      <c r="BJ9" s="10" t="s">
        <v>80</v>
      </c>
      <c r="BL9" s="1"/>
      <c r="BN9" s="10" t="s">
        <v>80</v>
      </c>
      <c r="BO9" s="2" t="s">
        <v>80</v>
      </c>
      <c r="BP9" s="2" t="s">
        <v>80</v>
      </c>
      <c r="BS9" s="2"/>
      <c r="BT9" s="9" t="s">
        <v>72</v>
      </c>
      <c r="BV9" s="2"/>
    </row>
    <row r="10" spans="1:74" s="34" customFormat="1" ht="16" customHeight="1">
      <c r="A10" s="2">
        <v>2023202778</v>
      </c>
      <c r="B10" s="2" t="s">
        <v>131</v>
      </c>
      <c r="C10" s="2" t="s">
        <v>77</v>
      </c>
      <c r="D10" s="2" t="s">
        <v>122</v>
      </c>
      <c r="E10" s="2" t="s">
        <v>123</v>
      </c>
      <c r="F10" s="1">
        <f>SUM(H10:$XER10)</f>
        <v>57</v>
      </c>
      <c r="G10" s="10">
        <f>COUNT(H10:$XFC10)</f>
        <v>7</v>
      </c>
      <c r="H10" s="1"/>
      <c r="I10" s="1"/>
      <c r="J10" s="1"/>
      <c r="K10" s="1"/>
      <c r="L10" s="1"/>
      <c r="M10" s="1"/>
      <c r="N10" s="2">
        <v>0.5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v>4</v>
      </c>
      <c r="AC10" s="1"/>
      <c r="AD10" s="1">
        <v>3</v>
      </c>
      <c r="AE10" s="1"/>
      <c r="AF10" s="2"/>
      <c r="AG10" s="2">
        <v>4</v>
      </c>
      <c r="AH10" s="1"/>
      <c r="AI10" s="2"/>
      <c r="AJ10" s="2"/>
      <c r="AK10" s="2"/>
      <c r="AL10" s="2"/>
      <c r="AM10" s="2">
        <v>4</v>
      </c>
      <c r="AN10" s="2"/>
      <c r="AO10" s="2"/>
      <c r="AP10" s="2"/>
      <c r="AQ10" s="2"/>
      <c r="AR10" s="2"/>
      <c r="AS10" s="9" t="s">
        <v>42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>
        <v>9</v>
      </c>
      <c r="BF10" s="2"/>
      <c r="BG10" s="2"/>
      <c r="BH10" s="10" t="s">
        <v>80</v>
      </c>
      <c r="BI10" s="10" t="s">
        <v>80</v>
      </c>
      <c r="BJ10" s="10" t="s">
        <v>80</v>
      </c>
      <c r="BL10" s="1"/>
      <c r="BN10" s="10" t="s">
        <v>80</v>
      </c>
      <c r="BO10" s="2" t="s">
        <v>80</v>
      </c>
      <c r="BP10" s="2" t="s">
        <v>80</v>
      </c>
      <c r="BS10" s="2">
        <v>32.5</v>
      </c>
      <c r="BT10" s="9" t="s">
        <v>72</v>
      </c>
      <c r="BV10" s="2"/>
    </row>
    <row r="11" spans="1:74" s="34" customFormat="1" ht="16" customHeight="1">
      <c r="A11" s="2">
        <v>2023202746</v>
      </c>
      <c r="B11" s="2" t="s">
        <v>132</v>
      </c>
      <c r="C11" s="2" t="s">
        <v>77</v>
      </c>
      <c r="D11" s="2" t="s">
        <v>122</v>
      </c>
      <c r="E11" s="2" t="s">
        <v>123</v>
      </c>
      <c r="F11" s="1">
        <f>SUM(H11:$XER11)</f>
        <v>28</v>
      </c>
      <c r="G11" s="10">
        <f>COUNT(H11:$XFC11)</f>
        <v>6</v>
      </c>
      <c r="H11" s="1"/>
      <c r="I11" s="1"/>
      <c r="J11" s="1">
        <v>2</v>
      </c>
      <c r="K11" s="1"/>
      <c r="L11" s="1"/>
      <c r="M11" s="1">
        <v>16</v>
      </c>
      <c r="N11" s="2"/>
      <c r="O11" s="1">
        <v>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4</v>
      </c>
      <c r="AE11" s="1"/>
      <c r="AF11" s="2"/>
      <c r="AG11" s="2"/>
      <c r="AH11" s="1"/>
      <c r="AI11" s="2"/>
      <c r="AJ11" s="2"/>
      <c r="AK11" s="2"/>
      <c r="AL11" s="2"/>
      <c r="AM11" s="2">
        <v>2</v>
      </c>
      <c r="AN11" s="2"/>
      <c r="AO11" s="2"/>
      <c r="AP11" s="2"/>
      <c r="AQ11" s="2"/>
      <c r="AR11" s="2"/>
      <c r="AS11" s="9" t="s">
        <v>42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10" t="s">
        <v>80</v>
      </c>
      <c r="BI11" s="10" t="s">
        <v>80</v>
      </c>
      <c r="BJ11" s="10" t="s">
        <v>80</v>
      </c>
      <c r="BL11" s="1"/>
      <c r="BN11" s="10" t="s">
        <v>80</v>
      </c>
      <c r="BO11" s="2" t="s">
        <v>80</v>
      </c>
      <c r="BP11" s="2">
        <v>2</v>
      </c>
      <c r="BS11" s="2"/>
      <c r="BT11" s="9" t="s">
        <v>72</v>
      </c>
      <c r="BV11" s="2"/>
    </row>
    <row r="12" spans="1:74" s="34" customFormat="1" ht="16" customHeight="1">
      <c r="A12" s="2">
        <v>2023202770</v>
      </c>
      <c r="B12" s="2" t="s">
        <v>133</v>
      </c>
      <c r="C12" s="2" t="s">
        <v>82</v>
      </c>
      <c r="D12" s="2" t="s">
        <v>122</v>
      </c>
      <c r="E12" s="2" t="s">
        <v>123</v>
      </c>
      <c r="F12" s="1">
        <f>SUM(H12:$XER12)</f>
        <v>170</v>
      </c>
      <c r="G12" s="10">
        <f>COUNT(H12:$XFC12)</f>
        <v>16</v>
      </c>
      <c r="H12" s="1"/>
      <c r="I12" s="1"/>
      <c r="J12" s="1"/>
      <c r="K12" s="1"/>
      <c r="L12" s="1">
        <v>18</v>
      </c>
      <c r="M12" s="1"/>
      <c r="N12" s="2">
        <v>0.5</v>
      </c>
      <c r="O12" s="1"/>
      <c r="P12" s="1">
        <v>5</v>
      </c>
      <c r="Q12" s="1">
        <v>20</v>
      </c>
      <c r="R12" s="1"/>
      <c r="S12" s="1">
        <v>4</v>
      </c>
      <c r="T12" s="1">
        <v>12</v>
      </c>
      <c r="U12" s="1"/>
      <c r="V12" s="1"/>
      <c r="W12" s="1"/>
      <c r="X12" s="1"/>
      <c r="Y12" s="1"/>
      <c r="Z12" s="1"/>
      <c r="AA12" s="1"/>
      <c r="AB12" s="1">
        <v>8</v>
      </c>
      <c r="AC12" s="1"/>
      <c r="AD12" s="1">
        <v>7</v>
      </c>
      <c r="AE12" s="1"/>
      <c r="AF12" s="2"/>
      <c r="AG12" s="2"/>
      <c r="AH12" s="1"/>
      <c r="AI12" s="2"/>
      <c r="AJ12" s="2"/>
      <c r="AK12" s="2">
        <v>4</v>
      </c>
      <c r="AL12" s="2"/>
      <c r="AM12" s="2"/>
      <c r="AN12" s="2">
        <v>4</v>
      </c>
      <c r="AO12" s="2"/>
      <c r="AP12" s="2"/>
      <c r="AQ12" s="2"/>
      <c r="AR12" s="2">
        <v>40</v>
      </c>
      <c r="AS12" s="9" t="s">
        <v>42</v>
      </c>
      <c r="AU12" s="2"/>
      <c r="AV12" s="2"/>
      <c r="AW12" s="2"/>
      <c r="AX12" s="2">
        <v>10</v>
      </c>
      <c r="AY12" s="2"/>
      <c r="AZ12" s="2"/>
      <c r="BA12" s="2"/>
      <c r="BB12" s="2"/>
      <c r="BC12" s="2"/>
      <c r="BD12" s="2">
        <v>8</v>
      </c>
      <c r="BE12" s="2"/>
      <c r="BF12" s="2">
        <v>24.5</v>
      </c>
      <c r="BG12" s="2"/>
      <c r="BH12" s="10" t="s">
        <v>80</v>
      </c>
      <c r="BI12" s="10" t="s">
        <v>80</v>
      </c>
      <c r="BJ12" s="10" t="s">
        <v>80</v>
      </c>
      <c r="BK12" s="34">
        <v>1</v>
      </c>
      <c r="BL12" s="1"/>
      <c r="BN12" s="10" t="s">
        <v>80</v>
      </c>
      <c r="BO12" s="2">
        <v>4</v>
      </c>
      <c r="BP12" s="2" t="s">
        <v>80</v>
      </c>
      <c r="BS12" s="2"/>
      <c r="BT12" s="9" t="s">
        <v>72</v>
      </c>
      <c r="BV12" s="2"/>
    </row>
    <row r="13" spans="1:74" s="34" customFormat="1" ht="16" customHeight="1">
      <c r="A13" s="2">
        <v>2023202776</v>
      </c>
      <c r="B13" s="2" t="s">
        <v>134</v>
      </c>
      <c r="C13" s="2" t="s">
        <v>82</v>
      </c>
      <c r="D13" s="2" t="s">
        <v>122</v>
      </c>
      <c r="E13" s="2" t="s">
        <v>123</v>
      </c>
      <c r="F13" s="1">
        <f>SUM(H13:$XER13)</f>
        <v>169</v>
      </c>
      <c r="G13" s="10">
        <f>COUNT(H13:$XFC13)</f>
        <v>10</v>
      </c>
      <c r="H13" s="1"/>
      <c r="I13" s="1">
        <v>0.5</v>
      </c>
      <c r="J13" s="1"/>
      <c r="K13" s="1"/>
      <c r="L13" s="1"/>
      <c r="M13" s="1"/>
      <c r="N13" s="2">
        <v>0.5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>
        <v>84</v>
      </c>
      <c r="AD13" s="1">
        <v>6</v>
      </c>
      <c r="AE13" s="1"/>
      <c r="AF13" s="2"/>
      <c r="AG13" s="2"/>
      <c r="AH13" s="1"/>
      <c r="AI13" s="2"/>
      <c r="AJ13" s="2"/>
      <c r="AK13" s="2">
        <v>4</v>
      </c>
      <c r="AL13" s="2"/>
      <c r="AM13" s="2"/>
      <c r="AN13" s="2"/>
      <c r="AO13" s="2"/>
      <c r="AP13" s="2">
        <v>28.5</v>
      </c>
      <c r="AQ13" s="2"/>
      <c r="AR13" s="2"/>
      <c r="AS13" s="9" t="s">
        <v>42</v>
      </c>
      <c r="AU13" s="2"/>
      <c r="AV13" s="2">
        <v>4</v>
      </c>
      <c r="AW13" s="2"/>
      <c r="AX13" s="2">
        <v>16</v>
      </c>
      <c r="AY13" s="2"/>
      <c r="AZ13" s="2"/>
      <c r="BA13" s="2"/>
      <c r="BB13" s="2"/>
      <c r="BC13" s="2"/>
      <c r="BD13" s="2"/>
      <c r="BE13" s="2"/>
      <c r="BF13" s="2">
        <v>24.5</v>
      </c>
      <c r="BG13" s="2"/>
      <c r="BH13" s="10" t="s">
        <v>80</v>
      </c>
      <c r="BI13" s="10" t="s">
        <v>80</v>
      </c>
      <c r="BJ13" s="10">
        <v>1</v>
      </c>
      <c r="BL13" s="1"/>
      <c r="BN13" s="10" t="s">
        <v>80</v>
      </c>
      <c r="BO13" s="2" t="s">
        <v>80</v>
      </c>
      <c r="BP13" s="2" t="s">
        <v>80</v>
      </c>
      <c r="BS13" s="2"/>
      <c r="BT13" s="9" t="s">
        <v>72</v>
      </c>
      <c r="BV13" s="2"/>
    </row>
    <row r="14" spans="1:74" s="34" customFormat="1" ht="16" customHeight="1">
      <c r="A14" s="2">
        <v>2023202749</v>
      </c>
      <c r="B14" s="2" t="s">
        <v>135</v>
      </c>
      <c r="C14" s="2" t="s">
        <v>82</v>
      </c>
      <c r="D14" s="2" t="s">
        <v>122</v>
      </c>
      <c r="E14" s="2" t="s">
        <v>123</v>
      </c>
      <c r="F14" s="1">
        <f>SUM(H14:$XER14)</f>
        <v>6.5</v>
      </c>
      <c r="G14" s="10">
        <f>COUNT(H14:$XFC14)</f>
        <v>3</v>
      </c>
      <c r="H14" s="1"/>
      <c r="I14" s="1"/>
      <c r="J14" s="1">
        <v>2</v>
      </c>
      <c r="K14" s="1"/>
      <c r="L14" s="1"/>
      <c r="M14" s="1"/>
      <c r="N14" s="2">
        <v>0.5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2"/>
      <c r="AG14" s="2"/>
      <c r="AH14" s="1"/>
      <c r="AI14" s="2"/>
      <c r="AJ14" s="2"/>
      <c r="AK14" s="2">
        <v>4</v>
      </c>
      <c r="AL14" s="2"/>
      <c r="AM14" s="2"/>
      <c r="AN14" s="2"/>
      <c r="AO14" s="2"/>
      <c r="AP14" s="2"/>
      <c r="AQ14" s="2"/>
      <c r="AR14" s="2"/>
      <c r="AS14" s="9" t="s">
        <v>42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10" t="s">
        <v>80</v>
      </c>
      <c r="BI14" s="10" t="s">
        <v>80</v>
      </c>
      <c r="BJ14" s="10" t="s">
        <v>80</v>
      </c>
      <c r="BL14" s="1"/>
      <c r="BN14" s="10" t="s">
        <v>80</v>
      </c>
      <c r="BO14" s="2" t="s">
        <v>80</v>
      </c>
      <c r="BP14" s="2" t="s">
        <v>80</v>
      </c>
      <c r="BS14" s="2"/>
      <c r="BT14" s="9" t="s">
        <v>72</v>
      </c>
      <c r="BV14" s="2"/>
    </row>
    <row r="15" spans="1:74" s="34" customFormat="1" ht="16" customHeight="1">
      <c r="A15" s="2">
        <v>2023202759</v>
      </c>
      <c r="B15" s="2" t="s">
        <v>136</v>
      </c>
      <c r="C15" s="2" t="s">
        <v>82</v>
      </c>
      <c r="D15" s="2" t="s">
        <v>122</v>
      </c>
      <c r="E15" s="2" t="s">
        <v>123</v>
      </c>
      <c r="F15" s="1">
        <f>SUM(H15:$XER15)</f>
        <v>46</v>
      </c>
      <c r="G15" s="10">
        <f>COUNT(H15:$XFC15)</f>
        <v>9</v>
      </c>
      <c r="H15" s="1"/>
      <c r="I15" s="1"/>
      <c r="J15" s="1"/>
      <c r="K15" s="1">
        <v>6</v>
      </c>
      <c r="L15" s="1"/>
      <c r="M15" s="1"/>
      <c r="N15" s="2">
        <v>0.5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10</v>
      </c>
      <c r="Z15" s="1"/>
      <c r="AA15" s="1"/>
      <c r="AB15" s="1"/>
      <c r="AC15" s="1"/>
      <c r="AD15" s="1"/>
      <c r="AE15" s="1"/>
      <c r="AF15" s="2"/>
      <c r="AG15" s="2">
        <v>4</v>
      </c>
      <c r="AH15" s="1"/>
      <c r="AI15" s="2"/>
      <c r="AJ15" s="2"/>
      <c r="AK15" s="2"/>
      <c r="AL15" s="2"/>
      <c r="AM15" s="2">
        <v>2</v>
      </c>
      <c r="AN15" s="2"/>
      <c r="AO15" s="2">
        <v>18</v>
      </c>
      <c r="AP15" s="2"/>
      <c r="AQ15" s="2"/>
      <c r="AR15" s="2"/>
      <c r="AS15" s="9" t="s">
        <v>42</v>
      </c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10" t="s">
        <v>80</v>
      </c>
      <c r="BI15" s="10" t="s">
        <v>80</v>
      </c>
      <c r="BJ15" s="10" t="s">
        <v>80</v>
      </c>
      <c r="BL15" s="1"/>
      <c r="BN15" s="10">
        <v>1.5</v>
      </c>
      <c r="BO15" s="2" t="s">
        <v>80</v>
      </c>
      <c r="BP15" s="2">
        <v>2</v>
      </c>
      <c r="BR15" s="34">
        <v>2</v>
      </c>
      <c r="BS15" s="2"/>
      <c r="BT15" s="9" t="s">
        <v>72</v>
      </c>
      <c r="BV15" s="2"/>
    </row>
    <row r="16" spans="1:74" s="34" customFormat="1" ht="16" customHeight="1">
      <c r="A16" s="2">
        <v>2023202760</v>
      </c>
      <c r="B16" s="2" t="s">
        <v>137</v>
      </c>
      <c r="C16" s="2" t="s">
        <v>77</v>
      </c>
      <c r="D16" s="2" t="s">
        <v>122</v>
      </c>
      <c r="E16" s="2" t="s">
        <v>123</v>
      </c>
      <c r="F16" s="1">
        <f>SUM(H16:$XER16)</f>
        <v>106.5</v>
      </c>
      <c r="G16" s="10">
        <f>COUNT(H16:$XFC16)</f>
        <v>14</v>
      </c>
      <c r="H16" s="1"/>
      <c r="I16" s="1"/>
      <c r="J16" s="1"/>
      <c r="K16" s="1"/>
      <c r="L16" s="1"/>
      <c r="M16" s="1"/>
      <c r="N16" s="2">
        <v>0.5</v>
      </c>
      <c r="O16" s="1">
        <v>2</v>
      </c>
      <c r="P16" s="1"/>
      <c r="Q16" s="1"/>
      <c r="R16" s="1"/>
      <c r="S16" s="1"/>
      <c r="T16" s="1"/>
      <c r="U16" s="1"/>
      <c r="V16" s="1">
        <v>3</v>
      </c>
      <c r="W16" s="1"/>
      <c r="X16" s="1"/>
      <c r="Y16" s="1"/>
      <c r="Z16" s="1"/>
      <c r="AA16" s="1"/>
      <c r="AB16" s="1">
        <v>4</v>
      </c>
      <c r="AC16" s="1"/>
      <c r="AD16" s="1">
        <v>4</v>
      </c>
      <c r="AE16" s="1">
        <v>4</v>
      </c>
      <c r="AF16" s="2">
        <v>18</v>
      </c>
      <c r="AG16" s="2"/>
      <c r="AH16" s="1"/>
      <c r="AI16" s="2"/>
      <c r="AJ16" s="2"/>
      <c r="AK16" s="2">
        <v>4</v>
      </c>
      <c r="AL16" s="2">
        <v>4</v>
      </c>
      <c r="AM16" s="2"/>
      <c r="AN16" s="2"/>
      <c r="AO16" s="2"/>
      <c r="AP16" s="2"/>
      <c r="AQ16" s="2"/>
      <c r="AR16" s="2">
        <v>12</v>
      </c>
      <c r="AS16" s="9" t="s">
        <v>42</v>
      </c>
      <c r="AU16" s="2"/>
      <c r="AV16" s="2"/>
      <c r="AW16" s="2"/>
      <c r="AX16" s="2">
        <v>16</v>
      </c>
      <c r="AY16" s="2"/>
      <c r="AZ16" s="2"/>
      <c r="BA16" s="2"/>
      <c r="BB16" s="2"/>
      <c r="BC16" s="2"/>
      <c r="BD16" s="2"/>
      <c r="BE16" s="2">
        <v>26</v>
      </c>
      <c r="BF16" s="2"/>
      <c r="BG16" s="2"/>
      <c r="BH16" s="10" t="s">
        <v>80</v>
      </c>
      <c r="BI16" s="10" t="s">
        <v>80</v>
      </c>
      <c r="BJ16" s="10" t="s">
        <v>80</v>
      </c>
      <c r="BL16" s="1"/>
      <c r="BN16" s="10" t="s">
        <v>80</v>
      </c>
      <c r="BO16" s="2">
        <v>4</v>
      </c>
      <c r="BP16" s="2" t="s">
        <v>80</v>
      </c>
      <c r="BS16" s="2"/>
      <c r="BT16" s="9" t="s">
        <v>72</v>
      </c>
      <c r="BU16" s="34">
        <v>5</v>
      </c>
      <c r="BV16" s="2"/>
    </row>
    <row r="17" spans="1:74" s="34" customFormat="1" ht="16" customHeight="1">
      <c r="A17" s="2">
        <v>2023202758</v>
      </c>
      <c r="B17" s="2" t="s">
        <v>138</v>
      </c>
      <c r="C17" s="2" t="s">
        <v>77</v>
      </c>
      <c r="D17" s="2" t="s">
        <v>122</v>
      </c>
      <c r="E17" s="2" t="s">
        <v>123</v>
      </c>
      <c r="F17" s="1">
        <f>SUM(H17:$XER17)</f>
        <v>138</v>
      </c>
      <c r="G17" s="10">
        <f>COUNT(H17:$XFC17)</f>
        <v>5</v>
      </c>
      <c r="H17" s="1"/>
      <c r="I17" s="1"/>
      <c r="J17" s="1"/>
      <c r="K17" s="1"/>
      <c r="L17" s="1"/>
      <c r="M17" s="1"/>
      <c r="N17" s="2">
        <v>0.5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>
        <v>5</v>
      </c>
      <c r="AE17" s="1"/>
      <c r="AF17" s="2"/>
      <c r="AG17" s="2"/>
      <c r="AH17" s="1"/>
      <c r="AI17" s="2"/>
      <c r="AJ17" s="2"/>
      <c r="AK17" s="2">
        <v>4</v>
      </c>
      <c r="AL17" s="2"/>
      <c r="AM17" s="2"/>
      <c r="AN17" s="2"/>
      <c r="AO17" s="2"/>
      <c r="AP17" s="2"/>
      <c r="AQ17" s="2"/>
      <c r="AR17" s="2">
        <v>128</v>
      </c>
      <c r="AS17" s="9" t="s">
        <v>42</v>
      </c>
      <c r="AU17" s="2"/>
      <c r="AV17" s="2"/>
      <c r="AW17" s="2"/>
      <c r="AX17" s="2"/>
      <c r="AY17" s="2"/>
      <c r="AZ17" s="2"/>
      <c r="BA17" s="2">
        <v>0.5</v>
      </c>
      <c r="BB17" s="2"/>
      <c r="BC17" s="2"/>
      <c r="BD17" s="2"/>
      <c r="BE17" s="2"/>
      <c r="BF17" s="2"/>
      <c r="BG17" s="2"/>
      <c r="BH17" s="10" t="s">
        <v>80</v>
      </c>
      <c r="BI17" s="10" t="s">
        <v>80</v>
      </c>
      <c r="BJ17" s="10" t="s">
        <v>80</v>
      </c>
      <c r="BL17" s="1"/>
      <c r="BN17" s="10" t="s">
        <v>80</v>
      </c>
      <c r="BO17" s="2" t="s">
        <v>80</v>
      </c>
      <c r="BP17" s="2" t="s">
        <v>80</v>
      </c>
      <c r="BS17" s="2"/>
      <c r="BT17" s="9" t="s">
        <v>72</v>
      </c>
      <c r="BV17" s="2"/>
    </row>
    <row r="18" spans="1:74" s="34" customFormat="1" ht="16" customHeight="1">
      <c r="A18" s="2">
        <v>2023202753</v>
      </c>
      <c r="B18" s="2" t="s">
        <v>139</v>
      </c>
      <c r="C18" s="2" t="s">
        <v>82</v>
      </c>
      <c r="D18" s="2" t="s">
        <v>122</v>
      </c>
      <c r="E18" s="2" t="s">
        <v>123</v>
      </c>
      <c r="F18" s="1">
        <f>SUM(H18:$XER18)</f>
        <v>33</v>
      </c>
      <c r="G18" s="10">
        <f>COUNT(H18:$XFC18)</f>
        <v>7</v>
      </c>
      <c r="H18" s="1"/>
      <c r="I18" s="1"/>
      <c r="J18" s="1"/>
      <c r="K18" s="1">
        <v>2</v>
      </c>
      <c r="L18" s="1"/>
      <c r="M18" s="1"/>
      <c r="N18" s="2">
        <v>0.5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4</v>
      </c>
      <c r="Z18" s="1"/>
      <c r="AA18" s="1"/>
      <c r="AB18" s="1"/>
      <c r="AC18" s="1"/>
      <c r="AD18" s="1">
        <v>3</v>
      </c>
      <c r="AE18" s="1"/>
      <c r="AF18" s="2"/>
      <c r="AG18" s="2"/>
      <c r="AH18" s="1"/>
      <c r="AI18" s="2"/>
      <c r="AJ18" s="2"/>
      <c r="AK18" s="2"/>
      <c r="AL18" s="2"/>
      <c r="AM18" s="2"/>
      <c r="AN18" s="2"/>
      <c r="AO18" s="2"/>
      <c r="AP18" s="2">
        <v>12.5</v>
      </c>
      <c r="AQ18" s="2"/>
      <c r="AR18" s="2"/>
      <c r="AS18" s="9" t="s">
        <v>42</v>
      </c>
      <c r="AU18" s="2">
        <v>4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10" t="s">
        <v>80</v>
      </c>
      <c r="BI18" s="10" t="s">
        <v>80</v>
      </c>
      <c r="BJ18" s="10" t="s">
        <v>80</v>
      </c>
      <c r="BL18" s="1"/>
      <c r="BN18" s="10">
        <v>7</v>
      </c>
      <c r="BO18" s="2" t="s">
        <v>80</v>
      </c>
      <c r="BP18" s="2" t="s">
        <v>80</v>
      </c>
      <c r="BS18" s="2"/>
      <c r="BT18" s="9" t="s">
        <v>72</v>
      </c>
      <c r="BV18" s="2"/>
    </row>
    <row r="19" spans="1:74" s="34" customFormat="1" ht="16" customHeight="1">
      <c r="A19" s="2">
        <v>2023202750</v>
      </c>
      <c r="B19" s="2" t="s">
        <v>140</v>
      </c>
      <c r="C19" s="2" t="s">
        <v>82</v>
      </c>
      <c r="D19" s="2" t="s">
        <v>122</v>
      </c>
      <c r="E19" s="2" t="s">
        <v>123</v>
      </c>
      <c r="F19" s="1">
        <f>SUM(H19:$XER19)</f>
        <v>195</v>
      </c>
      <c r="G19" s="10">
        <f>COUNT(H19:$XFC19)</f>
        <v>18</v>
      </c>
      <c r="H19" s="1"/>
      <c r="I19" s="1"/>
      <c r="J19" s="1">
        <v>2</v>
      </c>
      <c r="K19" s="1"/>
      <c r="L19" s="1"/>
      <c r="M19" s="1"/>
      <c r="N19" s="2">
        <v>3.5</v>
      </c>
      <c r="O19" s="1"/>
      <c r="P19" s="1"/>
      <c r="Q19" s="1">
        <v>24.5</v>
      </c>
      <c r="R19" s="1"/>
      <c r="S19" s="1"/>
      <c r="T19" s="1"/>
      <c r="U19" s="1"/>
      <c r="V19" s="1"/>
      <c r="W19" s="1"/>
      <c r="X19" s="1">
        <v>4</v>
      </c>
      <c r="Y19" s="1">
        <v>4</v>
      </c>
      <c r="Z19" s="1"/>
      <c r="AA19" s="1"/>
      <c r="AB19" s="1">
        <v>4.5</v>
      </c>
      <c r="AC19" s="1">
        <v>98</v>
      </c>
      <c r="AD19" s="1">
        <v>6</v>
      </c>
      <c r="AE19" s="1">
        <v>4</v>
      </c>
      <c r="AF19" s="2"/>
      <c r="AG19" s="2"/>
      <c r="AH19" s="1">
        <v>8</v>
      </c>
      <c r="AI19" s="2"/>
      <c r="AJ19" s="2"/>
      <c r="AK19" s="2">
        <v>4</v>
      </c>
      <c r="AL19" s="2">
        <v>4</v>
      </c>
      <c r="AM19" s="2">
        <v>2</v>
      </c>
      <c r="AN19" s="2"/>
      <c r="AO19" s="2"/>
      <c r="AP19" s="2"/>
      <c r="AQ19" s="2"/>
      <c r="AR19" s="2"/>
      <c r="AS19" s="9" t="s">
        <v>42</v>
      </c>
      <c r="AT19" s="34">
        <v>12</v>
      </c>
      <c r="AU19" s="2"/>
      <c r="AV19" s="2">
        <v>4.5</v>
      </c>
      <c r="AW19" s="2"/>
      <c r="AX19" s="2"/>
      <c r="AY19" s="2"/>
      <c r="AZ19" s="2"/>
      <c r="BA19" s="2">
        <v>2</v>
      </c>
      <c r="BB19" s="2"/>
      <c r="BC19" s="2"/>
      <c r="BD19" s="2"/>
      <c r="BE19" s="2"/>
      <c r="BF19" s="2"/>
      <c r="BG19" s="2"/>
      <c r="BH19" s="10" t="s">
        <v>80</v>
      </c>
      <c r="BI19" s="10" t="s">
        <v>80</v>
      </c>
      <c r="BJ19" s="10" t="s">
        <v>80</v>
      </c>
      <c r="BL19" s="1"/>
      <c r="BN19" s="10" t="s">
        <v>80</v>
      </c>
      <c r="BO19" s="2">
        <v>4</v>
      </c>
      <c r="BP19" s="2">
        <v>4</v>
      </c>
      <c r="BS19" s="2"/>
      <c r="BT19" s="9" t="s">
        <v>72</v>
      </c>
      <c r="BV19" s="2"/>
    </row>
    <row r="20" spans="1:74" s="34" customFormat="1" ht="16" customHeight="1">
      <c r="A20" s="2">
        <v>2023202773</v>
      </c>
      <c r="B20" s="2" t="s">
        <v>141</v>
      </c>
      <c r="C20" s="2" t="s">
        <v>82</v>
      </c>
      <c r="D20" s="2" t="s">
        <v>122</v>
      </c>
      <c r="E20" s="2" t="s">
        <v>123</v>
      </c>
      <c r="F20" s="1">
        <f>SUM(H20:$XER20)</f>
        <v>132</v>
      </c>
      <c r="G20" s="10">
        <f>COUNT(H20:$XFC20)</f>
        <v>17</v>
      </c>
      <c r="H20" s="1"/>
      <c r="I20" s="1">
        <v>0.5</v>
      </c>
      <c r="J20" s="1"/>
      <c r="K20" s="1"/>
      <c r="L20" s="1"/>
      <c r="M20" s="1"/>
      <c r="N20" s="2">
        <v>0.5</v>
      </c>
      <c r="O20" s="1">
        <v>2</v>
      </c>
      <c r="P20" s="1">
        <v>4</v>
      </c>
      <c r="Q20" s="1"/>
      <c r="R20" s="1"/>
      <c r="S20" s="1"/>
      <c r="T20" s="1"/>
      <c r="U20" s="1"/>
      <c r="V20" s="1"/>
      <c r="W20" s="1"/>
      <c r="X20" s="1"/>
      <c r="Y20" s="1">
        <v>12</v>
      </c>
      <c r="Z20" s="1"/>
      <c r="AA20" s="1">
        <v>3</v>
      </c>
      <c r="AB20" s="1"/>
      <c r="AC20" s="1"/>
      <c r="AD20" s="1">
        <v>7</v>
      </c>
      <c r="AE20" s="1">
        <v>4</v>
      </c>
      <c r="AF20" s="2"/>
      <c r="AG20" s="2"/>
      <c r="AH20" s="1"/>
      <c r="AI20" s="2"/>
      <c r="AJ20" s="2"/>
      <c r="AK20" s="2">
        <v>4</v>
      </c>
      <c r="AL20" s="2">
        <v>4</v>
      </c>
      <c r="AM20" s="2">
        <v>2</v>
      </c>
      <c r="AN20" s="2"/>
      <c r="AO20" s="2"/>
      <c r="AP20" s="2"/>
      <c r="AQ20" s="2"/>
      <c r="AR20" s="2"/>
      <c r="AS20" s="9" t="s">
        <v>42</v>
      </c>
      <c r="AU20" s="2"/>
      <c r="AV20" s="2"/>
      <c r="AW20" s="2"/>
      <c r="AX20" s="2"/>
      <c r="AY20" s="2"/>
      <c r="AZ20" s="2"/>
      <c r="BA20" s="2">
        <v>1.5</v>
      </c>
      <c r="BB20" s="2"/>
      <c r="BC20" s="2"/>
      <c r="BD20" s="2">
        <v>7</v>
      </c>
      <c r="BE20" s="2">
        <v>32</v>
      </c>
      <c r="BF20" s="2">
        <v>42.5</v>
      </c>
      <c r="BG20" s="2"/>
      <c r="BH20" s="10" t="s">
        <v>80</v>
      </c>
      <c r="BI20" s="10" t="s">
        <v>80</v>
      </c>
      <c r="BJ20" s="10" t="s">
        <v>80</v>
      </c>
      <c r="BL20" s="1"/>
      <c r="BN20" s="10" t="s">
        <v>80</v>
      </c>
      <c r="BO20" s="2">
        <v>4</v>
      </c>
      <c r="BP20" s="2">
        <v>2</v>
      </c>
      <c r="BS20" s="2"/>
      <c r="BT20" s="9" t="s">
        <v>72</v>
      </c>
      <c r="BV20" s="2"/>
    </row>
    <row r="21" spans="1:74" s="34" customFormat="1" ht="16" customHeight="1">
      <c r="A21" s="2">
        <v>2023202755</v>
      </c>
      <c r="B21" s="2" t="s">
        <v>142</v>
      </c>
      <c r="C21" s="2" t="s">
        <v>82</v>
      </c>
      <c r="D21" s="2" t="s">
        <v>122</v>
      </c>
      <c r="E21" s="2" t="s">
        <v>123</v>
      </c>
      <c r="F21" s="1">
        <f>SUM(H21:$XER21)</f>
        <v>102.5</v>
      </c>
      <c r="G21" s="10">
        <f>COUNT(H21:$XFC21)</f>
        <v>6</v>
      </c>
      <c r="H21" s="1"/>
      <c r="I21" s="1">
        <v>0.5</v>
      </c>
      <c r="J21" s="1"/>
      <c r="K21" s="1"/>
      <c r="L21" s="1"/>
      <c r="M21" s="1"/>
      <c r="N21" s="2">
        <v>0.5</v>
      </c>
      <c r="O21" s="1"/>
      <c r="P21" s="1"/>
      <c r="Q21" s="1">
        <v>15.5</v>
      </c>
      <c r="R21" s="1"/>
      <c r="S21" s="1"/>
      <c r="T21" s="1"/>
      <c r="U21" s="1"/>
      <c r="V21" s="1"/>
      <c r="W21" s="1"/>
      <c r="X21" s="1"/>
      <c r="Y21" s="1">
        <v>10</v>
      </c>
      <c r="Z21" s="1"/>
      <c r="AA21" s="1"/>
      <c r="AB21" s="1">
        <v>4</v>
      </c>
      <c r="AC21" s="1"/>
      <c r="AD21" s="1"/>
      <c r="AE21" s="1"/>
      <c r="AF21" s="2"/>
      <c r="AG21" s="2"/>
      <c r="AH21" s="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9" t="s">
        <v>42</v>
      </c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10" t="s">
        <v>80</v>
      </c>
      <c r="BI21" s="10" t="s">
        <v>80</v>
      </c>
      <c r="BJ21" s="10" t="s">
        <v>80</v>
      </c>
      <c r="BL21" s="1"/>
      <c r="BN21" s="10" t="s">
        <v>80</v>
      </c>
      <c r="BO21" s="2" t="s">
        <v>80</v>
      </c>
      <c r="BP21" s="2" t="s">
        <v>80</v>
      </c>
      <c r="BQ21" s="34">
        <v>72</v>
      </c>
      <c r="BS21" s="2"/>
      <c r="BT21" s="9" t="s">
        <v>72</v>
      </c>
      <c r="BV21" s="2"/>
    </row>
    <row r="22" spans="1:74" s="34" customFormat="1" ht="16" customHeight="1">
      <c r="A22" s="2">
        <v>2023202757</v>
      </c>
      <c r="B22" s="2" t="s">
        <v>143</v>
      </c>
      <c r="C22" s="2" t="s">
        <v>77</v>
      </c>
      <c r="D22" s="2" t="s">
        <v>122</v>
      </c>
      <c r="E22" s="2" t="s">
        <v>123</v>
      </c>
      <c r="F22" s="1">
        <f>SUM(H22:$XER22)</f>
        <v>139.5</v>
      </c>
      <c r="G22" s="10">
        <f>COUNT(H22:$XFC22)</f>
        <v>10</v>
      </c>
      <c r="H22" s="1"/>
      <c r="I22" s="1"/>
      <c r="J22" s="1"/>
      <c r="K22" s="1"/>
      <c r="L22" s="1"/>
      <c r="M22" s="1"/>
      <c r="N22" s="2">
        <v>0.5</v>
      </c>
      <c r="O22" s="1">
        <v>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4</v>
      </c>
      <c r="AC22" s="1">
        <v>84</v>
      </c>
      <c r="AD22" s="1">
        <v>13</v>
      </c>
      <c r="AE22" s="1">
        <v>4</v>
      </c>
      <c r="AF22" s="2"/>
      <c r="AG22" s="2"/>
      <c r="AH22" s="1"/>
      <c r="AI22" s="2"/>
      <c r="AJ22" s="2"/>
      <c r="AK22" s="2">
        <v>4</v>
      </c>
      <c r="AL22" s="2">
        <v>4</v>
      </c>
      <c r="AM22" s="2"/>
      <c r="AN22" s="2"/>
      <c r="AO22" s="2"/>
      <c r="AP22" s="2"/>
      <c r="AQ22" s="2"/>
      <c r="AR22" s="2"/>
      <c r="AS22" s="9" t="s">
        <v>42</v>
      </c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10" t="s">
        <v>80</v>
      </c>
      <c r="BI22" s="10" t="s">
        <v>80</v>
      </c>
      <c r="BJ22" s="10" t="s">
        <v>80</v>
      </c>
      <c r="BL22" s="1">
        <v>24</v>
      </c>
      <c r="BM22" s="34">
        <v>0</v>
      </c>
      <c r="BN22" s="10" t="s">
        <v>80</v>
      </c>
      <c r="BO22" s="2" t="s">
        <v>80</v>
      </c>
      <c r="BP22" s="2" t="s">
        <v>80</v>
      </c>
      <c r="BS22" s="2"/>
      <c r="BT22" s="9" t="s">
        <v>72</v>
      </c>
      <c r="BV22" s="2"/>
    </row>
    <row r="23" spans="1:74" s="34" customFormat="1" ht="16" customHeight="1">
      <c r="A23" s="2">
        <v>2023202780</v>
      </c>
      <c r="B23" s="2" t="s">
        <v>144</v>
      </c>
      <c r="C23" s="2" t="s">
        <v>82</v>
      </c>
      <c r="D23" s="2" t="s">
        <v>122</v>
      </c>
      <c r="E23" s="2" t="s">
        <v>123</v>
      </c>
      <c r="F23" s="1">
        <f>SUM(H23:$XER23)</f>
        <v>91.5</v>
      </c>
      <c r="G23" s="10">
        <f>COUNT(H23:$XFC23)</f>
        <v>12</v>
      </c>
      <c r="H23" s="1"/>
      <c r="I23" s="1">
        <v>0.5</v>
      </c>
      <c r="J23" s="1"/>
      <c r="K23" s="1"/>
      <c r="L23" s="1"/>
      <c r="M23" s="1"/>
      <c r="N23" s="2">
        <v>0.5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4</v>
      </c>
      <c r="AF23" s="2"/>
      <c r="AG23" s="2">
        <v>4</v>
      </c>
      <c r="AH23" s="1"/>
      <c r="AI23" s="2"/>
      <c r="AJ23" s="2"/>
      <c r="AK23" s="2">
        <v>4</v>
      </c>
      <c r="AL23" s="2">
        <v>4</v>
      </c>
      <c r="AM23" s="2"/>
      <c r="AN23" s="2"/>
      <c r="AO23" s="2"/>
      <c r="AP23" s="2"/>
      <c r="AQ23" s="2"/>
      <c r="AR23" s="2">
        <v>35</v>
      </c>
      <c r="AS23" s="9" t="s">
        <v>42</v>
      </c>
      <c r="AU23" s="2"/>
      <c r="AV23" s="2">
        <v>4</v>
      </c>
      <c r="AW23" s="2"/>
      <c r="AX23" s="2">
        <v>9</v>
      </c>
      <c r="AY23" s="2"/>
      <c r="AZ23" s="2"/>
      <c r="BA23" s="2">
        <v>2</v>
      </c>
      <c r="BB23" s="2"/>
      <c r="BC23" s="2"/>
      <c r="BD23" s="2"/>
      <c r="BE23" s="2"/>
      <c r="BF23" s="2">
        <v>20.5</v>
      </c>
      <c r="BG23" s="2"/>
      <c r="BH23" s="10" t="s">
        <v>80</v>
      </c>
      <c r="BI23" s="10" t="s">
        <v>80</v>
      </c>
      <c r="BJ23" s="10" t="s">
        <v>80</v>
      </c>
      <c r="BL23" s="1"/>
      <c r="BN23" s="10" t="s">
        <v>80</v>
      </c>
      <c r="BO23" s="2">
        <v>4</v>
      </c>
      <c r="BP23" s="2" t="s">
        <v>80</v>
      </c>
      <c r="BS23" s="2"/>
      <c r="BT23" s="9" t="s">
        <v>72</v>
      </c>
      <c r="BV23" s="2"/>
    </row>
    <row r="24" spans="1:74" s="34" customFormat="1" ht="16" customHeight="1">
      <c r="A24" s="2">
        <v>2023202771</v>
      </c>
      <c r="B24" s="2" t="s">
        <v>145</v>
      </c>
      <c r="C24" s="2" t="s">
        <v>82</v>
      </c>
      <c r="D24" s="2" t="s">
        <v>122</v>
      </c>
      <c r="E24" s="2" t="s">
        <v>123</v>
      </c>
      <c r="F24" s="1">
        <f>SUM(H24:$XER24)</f>
        <v>56.5</v>
      </c>
      <c r="G24" s="10">
        <f>COUNT(H24:$XFC24)</f>
        <v>10</v>
      </c>
      <c r="H24" s="1"/>
      <c r="I24" s="1"/>
      <c r="J24" s="1"/>
      <c r="K24" s="1"/>
      <c r="L24" s="1"/>
      <c r="M24" s="1"/>
      <c r="N24" s="2">
        <v>0.5</v>
      </c>
      <c r="O24" s="1"/>
      <c r="P24" s="1">
        <v>4</v>
      </c>
      <c r="Q24" s="1">
        <v>20</v>
      </c>
      <c r="R24" s="1"/>
      <c r="S24" s="1"/>
      <c r="T24" s="1"/>
      <c r="U24" s="1"/>
      <c r="V24" s="1"/>
      <c r="W24" s="1"/>
      <c r="X24" s="1"/>
      <c r="Y24" s="1">
        <v>12</v>
      </c>
      <c r="Z24" s="1"/>
      <c r="AA24" s="1"/>
      <c r="AB24" s="1"/>
      <c r="AC24" s="1"/>
      <c r="AD24" s="1">
        <v>4</v>
      </c>
      <c r="AE24" s="1"/>
      <c r="AF24" s="2"/>
      <c r="AG24" s="2"/>
      <c r="AH24" s="1"/>
      <c r="AI24" s="2"/>
      <c r="AJ24" s="2"/>
      <c r="AK24" s="2">
        <v>4</v>
      </c>
      <c r="AL24" s="2">
        <v>4</v>
      </c>
      <c r="AM24" s="2"/>
      <c r="AN24" s="2"/>
      <c r="AO24" s="2"/>
      <c r="AP24" s="2"/>
      <c r="AQ24" s="2"/>
      <c r="AR24" s="2"/>
      <c r="AS24" s="9" t="s">
        <v>42</v>
      </c>
      <c r="AU24" s="2"/>
      <c r="AV24" s="2"/>
      <c r="AW24" s="2">
        <v>3</v>
      </c>
      <c r="AX24" s="2"/>
      <c r="AY24" s="2"/>
      <c r="AZ24" s="2"/>
      <c r="BA24" s="2">
        <v>1</v>
      </c>
      <c r="BB24" s="2"/>
      <c r="BC24" s="2"/>
      <c r="BD24" s="2"/>
      <c r="BE24" s="2"/>
      <c r="BF24" s="2"/>
      <c r="BG24" s="2"/>
      <c r="BH24" s="10" t="s">
        <v>80</v>
      </c>
      <c r="BI24" s="10" t="s">
        <v>80</v>
      </c>
      <c r="BJ24" s="10" t="s">
        <v>80</v>
      </c>
      <c r="BL24" s="1"/>
      <c r="BN24" s="10" t="s">
        <v>80</v>
      </c>
      <c r="BO24" s="2">
        <v>4</v>
      </c>
      <c r="BP24" s="2" t="s">
        <v>80</v>
      </c>
      <c r="BS24" s="2"/>
      <c r="BT24" s="9" t="s">
        <v>72</v>
      </c>
      <c r="BV24" s="2"/>
    </row>
    <row r="25" spans="1:74" s="34" customFormat="1" ht="16" customHeight="1">
      <c r="A25" s="2">
        <v>2023202774</v>
      </c>
      <c r="B25" s="2" t="s">
        <v>146</v>
      </c>
      <c r="C25" s="2" t="s">
        <v>82</v>
      </c>
      <c r="D25" s="2" t="s">
        <v>122</v>
      </c>
      <c r="E25" s="2" t="s">
        <v>123</v>
      </c>
      <c r="F25" s="1">
        <f>SUM(H25:$XER25)</f>
        <v>78</v>
      </c>
      <c r="G25" s="10">
        <f>COUNT(H25:$XFC25)</f>
        <v>16</v>
      </c>
      <c r="H25" s="1"/>
      <c r="I25" s="1">
        <v>0.5</v>
      </c>
      <c r="J25" s="1">
        <v>2</v>
      </c>
      <c r="K25" s="1"/>
      <c r="L25" s="1"/>
      <c r="M25" s="1">
        <v>16</v>
      </c>
      <c r="N25" s="2">
        <v>3.5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4</v>
      </c>
      <c r="Z25" s="1"/>
      <c r="AA25" s="1"/>
      <c r="AB25" s="1"/>
      <c r="AC25" s="1"/>
      <c r="AD25" s="1">
        <v>6</v>
      </c>
      <c r="AE25" s="1">
        <v>4</v>
      </c>
      <c r="AF25" s="2"/>
      <c r="AG25" s="2">
        <v>4</v>
      </c>
      <c r="AH25" s="1"/>
      <c r="AI25" s="2"/>
      <c r="AJ25" s="2"/>
      <c r="AK25" s="2">
        <v>4</v>
      </c>
      <c r="AL25" s="2">
        <v>4</v>
      </c>
      <c r="AM25" s="2"/>
      <c r="AN25" s="2"/>
      <c r="AO25" s="2"/>
      <c r="AP25" s="2"/>
      <c r="AQ25" s="2">
        <v>4</v>
      </c>
      <c r="AR25" s="2">
        <v>18</v>
      </c>
      <c r="AS25" s="9" t="s">
        <v>42</v>
      </c>
      <c r="AU25" s="2"/>
      <c r="AV25" s="2"/>
      <c r="AW25" s="2"/>
      <c r="AX25" s="2"/>
      <c r="AY25" s="2"/>
      <c r="AZ25" s="2"/>
      <c r="BA25" s="2">
        <v>0.5</v>
      </c>
      <c r="BB25" s="2"/>
      <c r="BC25" s="2"/>
      <c r="BD25" s="2"/>
      <c r="BE25" s="2"/>
      <c r="BF25" s="2"/>
      <c r="BG25" s="2"/>
      <c r="BH25" s="10">
        <v>3</v>
      </c>
      <c r="BI25" s="10" t="s">
        <v>80</v>
      </c>
      <c r="BJ25" s="10">
        <v>0.5</v>
      </c>
      <c r="BL25" s="1"/>
      <c r="BN25" s="10" t="s">
        <v>80</v>
      </c>
      <c r="BO25" s="2">
        <v>4</v>
      </c>
      <c r="BP25" s="2" t="s">
        <v>80</v>
      </c>
      <c r="BS25" s="2"/>
      <c r="BT25" s="9" t="s">
        <v>72</v>
      </c>
      <c r="BV25" s="2"/>
    </row>
    <row r="26" spans="1:74" s="34" customFormat="1" ht="16" customHeight="1">
      <c r="A26" s="2">
        <v>2023202768</v>
      </c>
      <c r="B26" s="2" t="s">
        <v>147</v>
      </c>
      <c r="C26" s="2" t="s">
        <v>82</v>
      </c>
      <c r="D26" s="2" t="s">
        <v>122</v>
      </c>
      <c r="E26" s="2" t="s">
        <v>123</v>
      </c>
      <c r="F26" s="1">
        <f>SUM(H26:$XER26)</f>
        <v>28.5</v>
      </c>
      <c r="G26" s="10">
        <f>COUNT(H26:$XFC26)</f>
        <v>8</v>
      </c>
      <c r="H26" s="1"/>
      <c r="I26" s="1"/>
      <c r="J26" s="1"/>
      <c r="K26" s="1"/>
      <c r="L26" s="1"/>
      <c r="M26" s="1"/>
      <c r="N26" s="2">
        <v>0.5</v>
      </c>
      <c r="O26" s="1"/>
      <c r="P26" s="1"/>
      <c r="Q26" s="1"/>
      <c r="R26" s="1">
        <v>4</v>
      </c>
      <c r="S26" s="1">
        <v>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4</v>
      </c>
      <c r="AE26" s="1"/>
      <c r="AF26" s="2"/>
      <c r="AG26" s="2"/>
      <c r="AH26" s="1"/>
      <c r="AI26" s="2"/>
      <c r="AJ26" s="2"/>
      <c r="AK26" s="2"/>
      <c r="AL26" s="2"/>
      <c r="AM26" s="2">
        <v>2</v>
      </c>
      <c r="AN26" s="2"/>
      <c r="AO26" s="2"/>
      <c r="AP26" s="2"/>
      <c r="AQ26" s="2"/>
      <c r="AR26" s="2"/>
      <c r="AS26" s="9" t="s">
        <v>42</v>
      </c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10" t="s">
        <v>80</v>
      </c>
      <c r="BI26" s="10" t="s">
        <v>80</v>
      </c>
      <c r="BJ26" s="10">
        <v>2</v>
      </c>
      <c r="BL26" s="1">
        <v>8</v>
      </c>
      <c r="BN26" s="10" t="s">
        <v>80</v>
      </c>
      <c r="BO26" s="2" t="s">
        <v>80</v>
      </c>
      <c r="BP26" s="2">
        <v>4</v>
      </c>
      <c r="BS26" s="2"/>
      <c r="BT26" s="9" t="s">
        <v>72</v>
      </c>
      <c r="BV26" s="2"/>
    </row>
    <row r="27" spans="1:74" s="34" customFormat="1" ht="16" customHeight="1">
      <c r="A27" s="2">
        <v>2023202769</v>
      </c>
      <c r="B27" s="2" t="s">
        <v>148</v>
      </c>
      <c r="C27" s="2" t="s">
        <v>82</v>
      </c>
      <c r="D27" s="2" t="s">
        <v>122</v>
      </c>
      <c r="E27" s="2" t="s">
        <v>123</v>
      </c>
      <c r="F27" s="1">
        <f>SUM(H27:$XER27)</f>
        <v>22</v>
      </c>
      <c r="G27" s="10">
        <f>COUNT(H27:$XFC27)</f>
        <v>5</v>
      </c>
      <c r="H27" s="1"/>
      <c r="I27" s="1"/>
      <c r="J27" s="1"/>
      <c r="K27" s="1"/>
      <c r="L27" s="1"/>
      <c r="M27" s="1"/>
      <c r="N27" s="2"/>
      <c r="O27" s="1"/>
      <c r="P27" s="1"/>
      <c r="Q27" s="1"/>
      <c r="R27" s="1">
        <v>4</v>
      </c>
      <c r="S27" s="1">
        <v>4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>
        <v>3</v>
      </c>
      <c r="AE27" s="1"/>
      <c r="AF27" s="2"/>
      <c r="AG27" s="2"/>
      <c r="AH27" s="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9" t="s">
        <v>42</v>
      </c>
      <c r="AU27" s="2"/>
      <c r="AV27" s="2"/>
      <c r="AW27" s="2"/>
      <c r="AX27" s="2">
        <v>9</v>
      </c>
      <c r="AY27" s="2"/>
      <c r="AZ27" s="2"/>
      <c r="BA27" s="2">
        <v>2</v>
      </c>
      <c r="BB27" s="2"/>
      <c r="BC27" s="2"/>
      <c r="BD27" s="2"/>
      <c r="BE27" s="2"/>
      <c r="BF27" s="2"/>
      <c r="BG27" s="2"/>
      <c r="BH27" s="10" t="s">
        <v>80</v>
      </c>
      <c r="BI27" s="10" t="s">
        <v>80</v>
      </c>
      <c r="BJ27" s="10" t="s">
        <v>80</v>
      </c>
      <c r="BL27" s="1"/>
      <c r="BN27" s="10" t="s">
        <v>80</v>
      </c>
      <c r="BO27" s="2" t="s">
        <v>80</v>
      </c>
      <c r="BP27" s="2" t="s">
        <v>80</v>
      </c>
      <c r="BS27" s="2"/>
      <c r="BT27" s="9" t="s">
        <v>72</v>
      </c>
      <c r="BV27" s="2"/>
    </row>
    <row r="28" spans="1:74" s="34" customFormat="1" ht="16" customHeight="1">
      <c r="A28" s="2">
        <v>2023202775</v>
      </c>
      <c r="B28" s="2" t="s">
        <v>149</v>
      </c>
      <c r="C28" s="2" t="s">
        <v>82</v>
      </c>
      <c r="D28" s="2" t="s">
        <v>122</v>
      </c>
      <c r="E28" s="2" t="s">
        <v>123</v>
      </c>
      <c r="F28" s="1">
        <f>SUM(H28:$XER28)</f>
        <v>46</v>
      </c>
      <c r="G28" s="10">
        <f>COUNT(H28:$XFC28)</f>
        <v>9</v>
      </c>
      <c r="H28" s="1"/>
      <c r="I28" s="1"/>
      <c r="J28" s="1"/>
      <c r="K28" s="1"/>
      <c r="L28" s="1"/>
      <c r="M28" s="1"/>
      <c r="N28" s="2"/>
      <c r="O28" s="1"/>
      <c r="P28" s="1"/>
      <c r="Q28" s="1"/>
      <c r="R28" s="1">
        <v>4</v>
      </c>
      <c r="S28" s="1"/>
      <c r="T28" s="1"/>
      <c r="U28" s="1"/>
      <c r="V28" s="1"/>
      <c r="W28" s="1"/>
      <c r="X28" s="1"/>
      <c r="Y28" s="1"/>
      <c r="Z28" s="1"/>
      <c r="AA28" s="1"/>
      <c r="AB28" s="1">
        <v>4</v>
      </c>
      <c r="AC28" s="1"/>
      <c r="AD28" s="1">
        <v>10</v>
      </c>
      <c r="AE28" s="1"/>
      <c r="AF28" s="2"/>
      <c r="AG28" s="2"/>
      <c r="AH28" s="1"/>
      <c r="AI28" s="2"/>
      <c r="AJ28" s="2"/>
      <c r="AK28" s="2">
        <v>4</v>
      </c>
      <c r="AL28" s="2">
        <v>4</v>
      </c>
      <c r="AM28" s="2">
        <v>4</v>
      </c>
      <c r="AN28" s="2"/>
      <c r="AO28" s="2"/>
      <c r="AP28" s="2"/>
      <c r="AQ28" s="2"/>
      <c r="AR28" s="2"/>
      <c r="AS28" s="9" t="s">
        <v>42</v>
      </c>
      <c r="AU28" s="2"/>
      <c r="AV28" s="2"/>
      <c r="AW28" s="2"/>
      <c r="AX28" s="2"/>
      <c r="AY28" s="2"/>
      <c r="AZ28" s="2">
        <v>8</v>
      </c>
      <c r="BA28" s="2"/>
      <c r="BB28" s="2"/>
      <c r="BC28" s="2"/>
      <c r="BD28" s="2"/>
      <c r="BE28" s="2"/>
      <c r="BF28" s="2"/>
      <c r="BG28" s="2"/>
      <c r="BH28" s="10" t="s">
        <v>80</v>
      </c>
      <c r="BI28" s="10" t="s">
        <v>80</v>
      </c>
      <c r="BJ28" s="10" t="s">
        <v>80</v>
      </c>
      <c r="BL28" s="1"/>
      <c r="BN28" s="10" t="s">
        <v>80</v>
      </c>
      <c r="BO28" s="2">
        <v>4</v>
      </c>
      <c r="BP28" s="2">
        <v>4</v>
      </c>
      <c r="BS28" s="2"/>
      <c r="BT28" s="9" t="s">
        <v>72</v>
      </c>
      <c r="BV28" s="2"/>
    </row>
    <row r="29" spans="1:74" s="34" customFormat="1" ht="16" customHeight="1">
      <c r="A29" s="2">
        <v>2023202765</v>
      </c>
      <c r="B29" s="2" t="s">
        <v>150</v>
      </c>
      <c r="C29" s="2" t="s">
        <v>82</v>
      </c>
      <c r="D29" s="2" t="s">
        <v>122</v>
      </c>
      <c r="E29" s="2" t="s">
        <v>123</v>
      </c>
      <c r="F29" s="1">
        <f>SUM(H29:$XER29)</f>
        <v>24.5</v>
      </c>
      <c r="G29" s="10">
        <f>COUNT(H29:$XFC29)</f>
        <v>4</v>
      </c>
      <c r="H29" s="1"/>
      <c r="I29" s="1">
        <v>0.5</v>
      </c>
      <c r="J29" s="1"/>
      <c r="K29" s="1"/>
      <c r="L29" s="1"/>
      <c r="M29" s="1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12</v>
      </c>
      <c r="Z29" s="1"/>
      <c r="AA29" s="1"/>
      <c r="AB29" s="1">
        <v>8</v>
      </c>
      <c r="AC29" s="1"/>
      <c r="AD29" s="1"/>
      <c r="AE29" s="1"/>
      <c r="AF29" s="2"/>
      <c r="AG29" s="2"/>
      <c r="AH29" s="1"/>
      <c r="AI29" s="2"/>
      <c r="AJ29" s="2"/>
      <c r="AK29" s="2">
        <v>4</v>
      </c>
      <c r="AL29" s="2"/>
      <c r="AM29" s="2"/>
      <c r="AN29" s="2"/>
      <c r="AO29" s="2"/>
      <c r="AP29" s="2"/>
      <c r="AQ29" s="2"/>
      <c r="AR29" s="2"/>
      <c r="AS29" s="9" t="s">
        <v>42</v>
      </c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10" t="s">
        <v>80</v>
      </c>
      <c r="BI29" s="10" t="s">
        <v>80</v>
      </c>
      <c r="BJ29" s="10" t="s">
        <v>80</v>
      </c>
      <c r="BL29" s="1"/>
      <c r="BN29" s="10" t="s">
        <v>80</v>
      </c>
      <c r="BO29" s="2" t="s">
        <v>80</v>
      </c>
      <c r="BP29" s="2" t="s">
        <v>80</v>
      </c>
      <c r="BS29" s="2"/>
      <c r="BT29" s="9" t="s">
        <v>72</v>
      </c>
      <c r="BV29" s="2"/>
    </row>
    <row r="30" spans="1:74" s="34" customFormat="1" ht="16" customHeight="1">
      <c r="A30" s="2">
        <v>2023202764</v>
      </c>
      <c r="B30" s="2" t="s">
        <v>151</v>
      </c>
      <c r="C30" s="2" t="s">
        <v>77</v>
      </c>
      <c r="D30" s="2" t="s">
        <v>122</v>
      </c>
      <c r="E30" s="2" t="s">
        <v>123</v>
      </c>
      <c r="F30" s="1">
        <f>SUM(H30:$XER30)</f>
        <v>45.5</v>
      </c>
      <c r="G30" s="10">
        <f>COUNT(H30:$XFC30)</f>
        <v>8</v>
      </c>
      <c r="H30" s="1"/>
      <c r="I30" s="1"/>
      <c r="J30" s="1"/>
      <c r="K30" s="1"/>
      <c r="L30" s="1"/>
      <c r="M30" s="1"/>
      <c r="N30" s="2"/>
      <c r="O30" s="1"/>
      <c r="P30" s="1">
        <v>3</v>
      </c>
      <c r="Q30" s="1">
        <v>21</v>
      </c>
      <c r="R30" s="1"/>
      <c r="S30" s="1"/>
      <c r="T30" s="1"/>
      <c r="U30" s="1">
        <v>7</v>
      </c>
      <c r="V30" s="1"/>
      <c r="W30" s="1"/>
      <c r="X30" s="1"/>
      <c r="Y30" s="1"/>
      <c r="Z30" s="1"/>
      <c r="AA30" s="1">
        <v>3</v>
      </c>
      <c r="AB30" s="1">
        <v>4</v>
      </c>
      <c r="AC30" s="1"/>
      <c r="AD30" s="1">
        <v>3</v>
      </c>
      <c r="AE30" s="1"/>
      <c r="AF30" s="2"/>
      <c r="AG30" s="2"/>
      <c r="AH30" s="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9" t="s">
        <v>42</v>
      </c>
      <c r="AU30" s="2"/>
      <c r="AV30" s="2"/>
      <c r="AW30" s="2"/>
      <c r="AX30" s="2"/>
      <c r="AY30" s="2"/>
      <c r="AZ30" s="2"/>
      <c r="BA30" s="2">
        <v>0.5</v>
      </c>
      <c r="BB30" s="2"/>
      <c r="BC30" s="2"/>
      <c r="BD30" s="2">
        <v>4</v>
      </c>
      <c r="BE30" s="2"/>
      <c r="BF30" s="2"/>
      <c r="BG30" s="2"/>
      <c r="BH30" s="10" t="s">
        <v>80</v>
      </c>
      <c r="BI30" s="10" t="s">
        <v>80</v>
      </c>
      <c r="BJ30" s="10" t="s">
        <v>80</v>
      </c>
      <c r="BL30" s="1"/>
      <c r="BN30" s="10" t="s">
        <v>80</v>
      </c>
      <c r="BO30" s="2" t="s">
        <v>80</v>
      </c>
      <c r="BP30" s="2" t="s">
        <v>80</v>
      </c>
      <c r="BS30" s="2"/>
      <c r="BT30" s="9" t="s">
        <v>72</v>
      </c>
      <c r="BV30" s="2"/>
    </row>
    <row r="31" spans="1:74" s="34" customFormat="1" ht="16" customHeight="1">
      <c r="A31" s="2">
        <v>2023202748</v>
      </c>
      <c r="B31" s="2" t="s">
        <v>152</v>
      </c>
      <c r="C31" s="2" t="s">
        <v>82</v>
      </c>
      <c r="D31" s="2" t="s">
        <v>122</v>
      </c>
      <c r="E31" s="2" t="s">
        <v>123</v>
      </c>
      <c r="F31" s="1">
        <f>SUM(H31:$XER31)</f>
        <v>14.5</v>
      </c>
      <c r="G31" s="10">
        <f>COUNT(H31:$XFC31)</f>
        <v>3</v>
      </c>
      <c r="H31" s="1"/>
      <c r="I31" s="1"/>
      <c r="J31" s="1"/>
      <c r="K31" s="1"/>
      <c r="L31" s="1"/>
      <c r="M31" s="1"/>
      <c r="N31" s="2">
        <v>0.5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10</v>
      </c>
      <c r="Z31" s="1"/>
      <c r="AA31" s="1"/>
      <c r="AB31" s="1"/>
      <c r="AC31" s="1"/>
      <c r="AD31" s="1"/>
      <c r="AE31" s="1"/>
      <c r="AF31" s="2"/>
      <c r="AG31" s="2">
        <v>4</v>
      </c>
      <c r="AH31" s="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9" t="s">
        <v>42</v>
      </c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10" t="s">
        <v>80</v>
      </c>
      <c r="BI31" s="10" t="s">
        <v>80</v>
      </c>
      <c r="BJ31" s="10" t="s">
        <v>80</v>
      </c>
      <c r="BL31" s="1"/>
      <c r="BN31" s="10" t="s">
        <v>80</v>
      </c>
      <c r="BO31" s="2" t="s">
        <v>80</v>
      </c>
      <c r="BP31" s="2" t="s">
        <v>80</v>
      </c>
      <c r="BS31" s="2"/>
      <c r="BT31" s="9" t="s">
        <v>72</v>
      </c>
      <c r="BV31" s="2"/>
    </row>
    <row r="32" spans="1:74" s="34" customFormat="1" ht="16" customHeight="1">
      <c r="A32" s="2">
        <v>2023202761</v>
      </c>
      <c r="B32" s="2" t="s">
        <v>153</v>
      </c>
      <c r="C32" s="2" t="s">
        <v>77</v>
      </c>
      <c r="D32" s="2" t="s">
        <v>122</v>
      </c>
      <c r="E32" s="2" t="s">
        <v>123</v>
      </c>
      <c r="F32" s="1">
        <f>SUM(H32:$XER32)</f>
        <v>77.5</v>
      </c>
      <c r="G32" s="10">
        <f>COUNT(H32:$XFC32)</f>
        <v>9</v>
      </c>
      <c r="H32" s="1"/>
      <c r="I32" s="1"/>
      <c r="J32" s="1"/>
      <c r="K32" s="1"/>
      <c r="L32" s="1"/>
      <c r="M32" s="1">
        <v>16</v>
      </c>
      <c r="N32" s="2">
        <v>0.5</v>
      </c>
      <c r="O32" s="1"/>
      <c r="P32" s="1"/>
      <c r="Q32" s="1">
        <v>29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>
        <v>4</v>
      </c>
      <c r="AF32" s="2"/>
      <c r="AG32" s="2"/>
      <c r="AH32" s="1"/>
      <c r="AI32" s="2"/>
      <c r="AJ32" s="2"/>
      <c r="AK32" s="2"/>
      <c r="AL32" s="2">
        <v>4</v>
      </c>
      <c r="AM32" s="2">
        <v>2</v>
      </c>
      <c r="AN32" s="2"/>
      <c r="AO32" s="2"/>
      <c r="AP32" s="2"/>
      <c r="AQ32" s="2"/>
      <c r="AR32" s="2"/>
      <c r="AS32" s="9" t="s">
        <v>42</v>
      </c>
      <c r="AU32" s="2"/>
      <c r="AV32" s="2"/>
      <c r="AW32" s="2"/>
      <c r="AX32" s="2"/>
      <c r="AY32" s="2"/>
      <c r="AZ32" s="2"/>
      <c r="BA32" s="2"/>
      <c r="BB32" s="2">
        <v>16</v>
      </c>
      <c r="BC32" s="2"/>
      <c r="BD32" s="2"/>
      <c r="BE32" s="2"/>
      <c r="BF32" s="2"/>
      <c r="BG32" s="2"/>
      <c r="BH32" s="10" t="s">
        <v>80</v>
      </c>
      <c r="BI32" s="10" t="s">
        <v>80</v>
      </c>
      <c r="BJ32" s="10" t="s">
        <v>80</v>
      </c>
      <c r="BL32" s="1"/>
      <c r="BN32" s="10" t="s">
        <v>80</v>
      </c>
      <c r="BO32" s="2">
        <v>4</v>
      </c>
      <c r="BP32" s="2">
        <v>2</v>
      </c>
      <c r="BS32" s="2"/>
      <c r="BT32" s="9" t="s">
        <v>72</v>
      </c>
      <c r="BV32" s="2"/>
    </row>
    <row r="33" spans="1:74" s="34" customFormat="1" ht="16" customHeight="1">
      <c r="A33" s="2">
        <v>2023202767</v>
      </c>
      <c r="B33" s="2" t="s">
        <v>154</v>
      </c>
      <c r="C33" s="2" t="s">
        <v>82</v>
      </c>
      <c r="D33" s="2" t="s">
        <v>122</v>
      </c>
      <c r="E33" s="2" t="s">
        <v>123</v>
      </c>
      <c r="F33" s="1">
        <f>SUM(H33:$XER33)</f>
        <v>4</v>
      </c>
      <c r="G33" s="10">
        <f>COUNT(H33:$XFC33)</f>
        <v>1</v>
      </c>
      <c r="H33" s="1"/>
      <c r="I33" s="1"/>
      <c r="J33" s="1"/>
      <c r="K33" s="1"/>
      <c r="L33" s="1"/>
      <c r="M33" s="1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2"/>
      <c r="AG33" s="2"/>
      <c r="AH33" s="1"/>
      <c r="AI33" s="2"/>
      <c r="AJ33" s="2"/>
      <c r="AK33" s="2">
        <v>4</v>
      </c>
      <c r="AL33" s="2"/>
      <c r="AM33" s="2"/>
      <c r="AN33" s="2"/>
      <c r="AO33" s="2"/>
      <c r="AP33" s="2"/>
      <c r="AQ33" s="2"/>
      <c r="AR33" s="2"/>
      <c r="AS33" s="9" t="s">
        <v>42</v>
      </c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10" t="s">
        <v>80</v>
      </c>
      <c r="BI33" s="10" t="s">
        <v>80</v>
      </c>
      <c r="BJ33" s="10" t="s">
        <v>80</v>
      </c>
      <c r="BL33" s="1"/>
      <c r="BN33" s="10" t="s">
        <v>80</v>
      </c>
      <c r="BO33" s="2" t="s">
        <v>80</v>
      </c>
      <c r="BP33" s="2" t="s">
        <v>80</v>
      </c>
      <c r="BS33" s="2"/>
      <c r="BT33" s="9" t="s">
        <v>72</v>
      </c>
      <c r="BV33" s="2"/>
    </row>
    <row r="34" spans="1:74" s="34" customFormat="1" ht="16" customHeight="1">
      <c r="A34" s="2">
        <v>2023202756</v>
      </c>
      <c r="B34" s="2" t="s">
        <v>155</v>
      </c>
      <c r="C34" s="2" t="s">
        <v>82</v>
      </c>
      <c r="D34" s="2" t="s">
        <v>122</v>
      </c>
      <c r="E34" s="2" t="s">
        <v>123</v>
      </c>
      <c r="F34" s="1">
        <f>SUM(H34:$XER34)</f>
        <v>35.5</v>
      </c>
      <c r="G34" s="10">
        <f>COUNT(H34:$XFC34)</f>
        <v>5</v>
      </c>
      <c r="H34" s="1"/>
      <c r="I34" s="1"/>
      <c r="J34" s="1">
        <v>2</v>
      </c>
      <c r="K34" s="1"/>
      <c r="L34" s="1"/>
      <c r="M34" s="1"/>
      <c r="N34" s="2">
        <v>0.5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2"/>
      <c r="AG34" s="2"/>
      <c r="AH34" s="1"/>
      <c r="AI34" s="2"/>
      <c r="AJ34" s="2"/>
      <c r="AK34" s="2">
        <v>4</v>
      </c>
      <c r="AL34" s="2"/>
      <c r="AM34" s="2"/>
      <c r="AN34" s="2"/>
      <c r="AO34" s="2"/>
      <c r="AP34" s="2"/>
      <c r="AQ34" s="2"/>
      <c r="AR34" s="2">
        <v>24</v>
      </c>
      <c r="AS34" s="9" t="s">
        <v>42</v>
      </c>
      <c r="AU34" s="2"/>
      <c r="AV34" s="2"/>
      <c r="AW34" s="2"/>
      <c r="AX34" s="2"/>
      <c r="AY34" s="2"/>
      <c r="AZ34" s="2"/>
      <c r="BA34" s="2"/>
      <c r="BB34" s="2"/>
      <c r="BC34" s="2"/>
      <c r="BD34" s="2">
        <v>5</v>
      </c>
      <c r="BE34" s="2"/>
      <c r="BF34" s="2"/>
      <c r="BG34" s="2"/>
      <c r="BH34" s="10" t="s">
        <v>80</v>
      </c>
      <c r="BI34" s="10" t="s">
        <v>80</v>
      </c>
      <c r="BJ34" s="10" t="s">
        <v>80</v>
      </c>
      <c r="BL34" s="1"/>
      <c r="BN34" s="10" t="s">
        <v>80</v>
      </c>
      <c r="BO34" s="2" t="s">
        <v>80</v>
      </c>
      <c r="BP34" s="2" t="s">
        <v>80</v>
      </c>
      <c r="BS34" s="2"/>
      <c r="BT34" s="9" t="s">
        <v>72</v>
      </c>
      <c r="BV34" s="2"/>
    </row>
    <row r="35" spans="1:74" s="34" customFormat="1" ht="16" customHeight="1">
      <c r="A35" s="2">
        <v>2023202754</v>
      </c>
      <c r="B35" s="2" t="s">
        <v>156</v>
      </c>
      <c r="C35" s="2" t="s">
        <v>82</v>
      </c>
      <c r="D35" s="2" t="s">
        <v>122</v>
      </c>
      <c r="E35" s="2" t="s">
        <v>123</v>
      </c>
      <c r="F35" s="1">
        <f>SUM(H35:$XER35)</f>
        <v>64.5</v>
      </c>
      <c r="G35" s="10">
        <f>COUNT(H35:$XFC35)</f>
        <v>10</v>
      </c>
      <c r="H35" s="1"/>
      <c r="I35" s="1"/>
      <c r="J35" s="1"/>
      <c r="K35" s="1"/>
      <c r="L35" s="1"/>
      <c r="M35" s="1">
        <v>16</v>
      </c>
      <c r="N35" s="2">
        <v>0.5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10</v>
      </c>
      <c r="Z35" s="1"/>
      <c r="AA35" s="1"/>
      <c r="AB35" s="1">
        <v>4</v>
      </c>
      <c r="AC35" s="1"/>
      <c r="AD35" s="1"/>
      <c r="AE35" s="1"/>
      <c r="AF35" s="2"/>
      <c r="AG35" s="2"/>
      <c r="AH35" s="1"/>
      <c r="AI35" s="2"/>
      <c r="AJ35" s="2"/>
      <c r="AK35" s="2">
        <v>4</v>
      </c>
      <c r="AL35" s="2">
        <v>4</v>
      </c>
      <c r="AM35" s="2">
        <v>4</v>
      </c>
      <c r="AN35" s="2"/>
      <c r="AO35" s="2"/>
      <c r="AP35" s="2"/>
      <c r="AQ35" s="2"/>
      <c r="AR35" s="2"/>
      <c r="AS35" s="9" t="s">
        <v>42</v>
      </c>
      <c r="AU35" s="2"/>
      <c r="AV35" s="2"/>
      <c r="AW35" s="2"/>
      <c r="AX35" s="2"/>
      <c r="AY35" s="2"/>
      <c r="AZ35" s="2"/>
      <c r="BA35" s="2"/>
      <c r="BB35" s="2">
        <v>16</v>
      </c>
      <c r="BC35" s="2"/>
      <c r="BD35" s="2"/>
      <c r="BE35" s="2"/>
      <c r="BF35" s="2"/>
      <c r="BG35" s="2"/>
      <c r="BH35" s="10" t="s">
        <v>80</v>
      </c>
      <c r="BI35" s="10" t="s">
        <v>80</v>
      </c>
      <c r="BJ35" s="10" t="s">
        <v>80</v>
      </c>
      <c r="BL35" s="1"/>
      <c r="BN35" s="10" t="s">
        <v>80</v>
      </c>
      <c r="BO35" s="2">
        <v>4</v>
      </c>
      <c r="BP35" s="2">
        <v>2</v>
      </c>
      <c r="BS35" s="2"/>
      <c r="BT35" s="9" t="s">
        <v>72</v>
      </c>
      <c r="BV35" s="2"/>
    </row>
    <row r="36" spans="1:74" s="34" customFormat="1" ht="16" customHeight="1">
      <c r="A36" s="2">
        <v>2023202772</v>
      </c>
      <c r="B36" s="2" t="s">
        <v>157</v>
      </c>
      <c r="C36" s="2" t="s">
        <v>82</v>
      </c>
      <c r="D36" s="2" t="s">
        <v>122</v>
      </c>
      <c r="E36" s="2" t="s">
        <v>123</v>
      </c>
      <c r="F36" s="1">
        <f>SUM(H36:$XER36)</f>
        <v>33</v>
      </c>
      <c r="G36" s="10">
        <f>COUNT(H36:$XFC36)</f>
        <v>8</v>
      </c>
      <c r="H36" s="1"/>
      <c r="I36" s="1"/>
      <c r="J36" s="1"/>
      <c r="K36" s="1"/>
      <c r="L36" s="1"/>
      <c r="M36" s="1"/>
      <c r="N36" s="2">
        <v>0.5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4</v>
      </c>
      <c r="Z36" s="1"/>
      <c r="AA36" s="1"/>
      <c r="AB36" s="1"/>
      <c r="AC36" s="1"/>
      <c r="AD36" s="1">
        <v>8</v>
      </c>
      <c r="AE36" s="1"/>
      <c r="AF36" s="2"/>
      <c r="AG36" s="2"/>
      <c r="AH36" s="1"/>
      <c r="AI36" s="2"/>
      <c r="AJ36" s="2"/>
      <c r="AK36" s="2">
        <v>4</v>
      </c>
      <c r="AL36" s="2">
        <v>4</v>
      </c>
      <c r="AM36" s="2"/>
      <c r="AN36" s="2"/>
      <c r="AO36" s="2"/>
      <c r="AP36" s="2"/>
      <c r="AQ36" s="2"/>
      <c r="AR36" s="2"/>
      <c r="AS36" s="9" t="s">
        <v>42</v>
      </c>
      <c r="AU36" s="2"/>
      <c r="AV36" s="2"/>
      <c r="AW36" s="2"/>
      <c r="AX36" s="2"/>
      <c r="AY36" s="2"/>
      <c r="AZ36" s="2">
        <v>8</v>
      </c>
      <c r="BA36" s="2"/>
      <c r="BB36" s="2"/>
      <c r="BC36" s="2">
        <v>4</v>
      </c>
      <c r="BD36" s="2"/>
      <c r="BE36" s="2"/>
      <c r="BF36" s="2"/>
      <c r="BG36" s="2"/>
      <c r="BH36" s="10" t="s">
        <v>80</v>
      </c>
      <c r="BI36" s="10" t="s">
        <v>80</v>
      </c>
      <c r="BJ36" s="10">
        <v>0.5</v>
      </c>
      <c r="BL36" s="1"/>
      <c r="BN36" s="10" t="s">
        <v>80</v>
      </c>
      <c r="BO36" s="2" t="s">
        <v>80</v>
      </c>
      <c r="BP36" s="2" t="s">
        <v>80</v>
      </c>
      <c r="BS36" s="2"/>
      <c r="BT36" s="9" t="s">
        <v>72</v>
      </c>
      <c r="BV36" s="2"/>
    </row>
    <row r="37" spans="1:74" s="34" customFormat="1" ht="16" customHeight="1">
      <c r="A37" s="2">
        <v>2023202664</v>
      </c>
      <c r="B37" s="2" t="s">
        <v>158</v>
      </c>
      <c r="C37" s="2" t="s">
        <v>82</v>
      </c>
      <c r="D37" s="2" t="s">
        <v>159</v>
      </c>
      <c r="E37" s="2" t="s">
        <v>123</v>
      </c>
      <c r="F37" s="1" t="s">
        <v>160</v>
      </c>
      <c r="G37" s="10">
        <f>COUNT(H37:$XFC37)</f>
        <v>0</v>
      </c>
      <c r="H37" s="1"/>
      <c r="I37" s="1"/>
      <c r="J37" s="1"/>
      <c r="K37" s="1"/>
      <c r="L37" s="1"/>
      <c r="M37" s="1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2"/>
      <c r="AG37" s="2"/>
      <c r="AH37" s="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9" t="s">
        <v>42</v>
      </c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10" t="s">
        <v>80</v>
      </c>
      <c r="BI37" s="10"/>
      <c r="BJ37" s="2"/>
      <c r="BL37" s="1"/>
      <c r="BO37" s="2" t="s">
        <v>80</v>
      </c>
      <c r="BS37" s="2"/>
      <c r="BT37" s="9" t="s">
        <v>72</v>
      </c>
      <c r="BV37" s="2"/>
    </row>
    <row r="38" spans="1:74" s="34" customFormat="1" ht="16" customHeight="1">
      <c r="A38" s="2">
        <v>2023202581</v>
      </c>
      <c r="B38" s="2" t="s">
        <v>161</v>
      </c>
      <c r="C38" s="2" t="s">
        <v>82</v>
      </c>
      <c r="D38" s="2" t="s">
        <v>159</v>
      </c>
      <c r="E38" s="2" t="s">
        <v>123</v>
      </c>
      <c r="F38" s="1" t="s">
        <v>162</v>
      </c>
      <c r="G38" s="10">
        <f>COUNT(H38:$XFC38)</f>
        <v>0</v>
      </c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2"/>
      <c r="AG38" s="2"/>
      <c r="AH38" s="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9" t="s">
        <v>42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10" t="s">
        <v>80</v>
      </c>
      <c r="BI38" s="10"/>
      <c r="BJ38" s="2"/>
      <c r="BL38" s="1"/>
      <c r="BO38" s="2" t="s">
        <v>80</v>
      </c>
      <c r="BS38" s="2"/>
      <c r="BT38" s="9" t="s">
        <v>72</v>
      </c>
      <c r="BV38" s="2"/>
    </row>
    <row r="39" spans="1:74" s="34" customFormat="1" ht="16" customHeight="1">
      <c r="A39" s="2">
        <v>2023202552</v>
      </c>
      <c r="B39" s="2" t="s">
        <v>163</v>
      </c>
      <c r="C39" s="2" t="s">
        <v>77</v>
      </c>
      <c r="D39" s="2" t="s">
        <v>164</v>
      </c>
      <c r="E39" s="2" t="s">
        <v>123</v>
      </c>
      <c r="F39" s="1" t="s">
        <v>165</v>
      </c>
      <c r="G39" s="10">
        <f>COUNT(H39:$XFC39)</f>
        <v>0</v>
      </c>
      <c r="H39" s="1"/>
      <c r="I39" s="1"/>
      <c r="J39" s="1"/>
      <c r="K39" s="1"/>
      <c r="L39" s="1"/>
      <c r="M39" s="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2"/>
      <c r="AG39" s="2"/>
      <c r="AH39" s="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9" t="s">
        <v>42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10" t="s">
        <v>80</v>
      </c>
      <c r="BI39" s="10"/>
      <c r="BJ39" s="2"/>
      <c r="BL39" s="1"/>
      <c r="BO39" s="2" t="s">
        <v>80</v>
      </c>
      <c r="BS39" s="2"/>
      <c r="BT39" s="9" t="s">
        <v>72</v>
      </c>
      <c r="BV39" s="2"/>
    </row>
    <row r="40" spans="1:74" s="34" customFormat="1" ht="16" customHeight="1">
      <c r="A40" s="2">
        <v>2023202663</v>
      </c>
      <c r="B40" s="2" t="s">
        <v>166</v>
      </c>
      <c r="C40" s="2" t="s">
        <v>82</v>
      </c>
      <c r="D40" s="2" t="s">
        <v>159</v>
      </c>
      <c r="E40" s="2" t="s">
        <v>123</v>
      </c>
      <c r="F40" s="1" t="s">
        <v>167</v>
      </c>
      <c r="G40" s="10">
        <f>COUNT(H40:$XFC40)</f>
        <v>0</v>
      </c>
      <c r="H40" s="1"/>
      <c r="I40" s="1"/>
      <c r="J40" s="1"/>
      <c r="K40" s="1"/>
      <c r="L40" s="1"/>
      <c r="M40" s="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2"/>
      <c r="AG40" s="2"/>
      <c r="AH40" s="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9" t="s">
        <v>42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10" t="s">
        <v>80</v>
      </c>
      <c r="BI40" s="10"/>
      <c r="BJ40" s="2"/>
      <c r="BL40" s="1"/>
      <c r="BO40" s="2" t="s">
        <v>80</v>
      </c>
      <c r="BS40" s="2"/>
      <c r="BT40" s="9" t="s">
        <v>72</v>
      </c>
      <c r="BV40" s="2"/>
    </row>
    <row r="41" spans="1:74" ht="14">
      <c r="BN41" s="4"/>
      <c r="BV41" s="2"/>
    </row>
    <row r="42" spans="1:74" ht="14">
      <c r="BN42" s="4"/>
      <c r="BV42" s="2"/>
    </row>
    <row r="43" spans="1:74">
      <c r="BV43" s="2"/>
    </row>
    <row r="44" spans="1:74">
      <c r="BV44" s="2"/>
    </row>
    <row r="45" spans="1:74">
      <c r="BV45" s="2"/>
    </row>
    <row r="46" spans="1:74">
      <c r="BV46" s="2"/>
    </row>
    <row r="47" spans="1:74">
      <c r="BV47" s="2"/>
    </row>
    <row r="48" spans="1:74">
      <c r="BV48" s="2"/>
    </row>
    <row r="49" spans="74:74">
      <c r="BV49" s="2"/>
    </row>
    <row r="50" spans="74:74">
      <c r="BV50" s="2"/>
    </row>
    <row r="51" spans="74:74">
      <c r="BV51" s="2"/>
    </row>
    <row r="52" spans="74:74">
      <c r="BV52" s="2"/>
    </row>
    <row r="53" spans="74:74">
      <c r="BV53" s="2"/>
    </row>
    <row r="54" spans="74:74">
      <c r="BV54" s="2"/>
    </row>
    <row r="55" spans="74:74">
      <c r="BV55" s="2"/>
    </row>
    <row r="56" spans="74:74">
      <c r="BV56" s="2"/>
    </row>
  </sheetData>
  <sheetProtection formatCells="0" insertHyperlinks="0" autoFilter="0"/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6"/>
  <sheetViews>
    <sheetView zoomScale="80" zoomScaleNormal="80" workbookViewId="0">
      <pane xSplit="7" ySplit="1" topLeftCell="BV2" activePane="bottomRight" state="frozen"/>
      <selection pane="topRight"/>
      <selection pane="bottomLeft"/>
      <selection pane="bottomRight" activeCell="BX1" sqref="BX1:BX1048576"/>
    </sheetView>
  </sheetViews>
  <sheetFormatPr baseColWidth="10" defaultColWidth="9.6640625" defaultRowHeight="17"/>
  <cols>
    <col min="1" max="1" width="11" style="4" hidden="1" customWidth="1"/>
    <col min="2" max="2" width="11.5" style="4" customWidth="1"/>
    <col min="3" max="3" width="11.6640625" style="4" customWidth="1"/>
    <col min="4" max="4" width="22" style="4" customWidth="1"/>
    <col min="5" max="6" width="7.83203125" style="4"/>
    <col min="7" max="7" width="9.6640625" style="4"/>
    <col min="8" max="8" width="22.6640625" style="4" customWidth="1"/>
    <col min="9" max="9" width="2.1640625" style="4" customWidth="1"/>
    <col min="10" max="10" width="18.33203125" style="4" customWidth="1"/>
    <col min="11" max="11" width="11.5" style="4" customWidth="1"/>
    <col min="12" max="12" width="10.5" style="4" customWidth="1"/>
    <col min="13" max="13" width="11.5" style="4" customWidth="1"/>
    <col min="14" max="14" width="9.6640625" style="4" customWidth="1"/>
    <col min="15" max="15" width="11.5" style="4" customWidth="1"/>
    <col min="16" max="16" width="19" style="4" customWidth="1"/>
    <col min="17" max="17" width="18.6640625" style="4" customWidth="1"/>
    <col min="18" max="18" width="11.33203125" style="4" customWidth="1"/>
    <col min="19" max="19" width="16.6640625" style="4" customWidth="1"/>
    <col min="20" max="20" width="11.5" style="4" customWidth="1"/>
    <col min="21" max="21" width="18" style="4" customWidth="1"/>
    <col min="22" max="22" width="7.83203125" style="4"/>
    <col min="23" max="23" width="13.6640625" style="4" customWidth="1"/>
    <col min="24" max="24" width="9.6640625" style="4" customWidth="1"/>
    <col min="25" max="25" width="11.5" style="4" customWidth="1"/>
    <col min="26" max="26" width="16.5" style="4" customWidth="1"/>
    <col min="27" max="27" width="15" style="4" customWidth="1"/>
    <col min="28" max="28" width="10.83203125" style="4" customWidth="1"/>
    <col min="29" max="29" width="9.6640625" style="4"/>
    <col min="30" max="30" width="11" style="4" customWidth="1"/>
    <col min="31" max="31" width="9.6640625" style="4"/>
    <col min="32" max="32" width="20" style="4" customWidth="1"/>
    <col min="33" max="33" width="13.83203125" style="4" customWidth="1"/>
    <col min="34" max="35" width="10.5" style="4" customWidth="1"/>
    <col min="36" max="45" width="9.6640625" style="4"/>
    <col min="46" max="46" width="8.6640625" style="4" customWidth="1"/>
    <col min="47" max="49" width="9.6640625" style="4"/>
    <col min="50" max="50" width="11.33203125" style="4" customWidth="1"/>
    <col min="51" max="51" width="13" style="4" customWidth="1"/>
    <col min="52" max="52" width="7.83203125" style="4" customWidth="1"/>
    <col min="53" max="53" width="11.1640625" style="4" customWidth="1"/>
    <col min="54" max="58" width="9.6640625" style="4"/>
    <col min="59" max="60" width="13.33203125" style="4" customWidth="1"/>
    <col min="61" max="62" width="9.6640625" style="4"/>
    <col min="63" max="63" width="14" style="4" customWidth="1"/>
    <col min="64" max="64" width="19" style="4" customWidth="1"/>
    <col min="65" max="65" width="17.1640625" customWidth="1"/>
    <col min="66" max="68" width="9.6640625" style="4"/>
    <col min="69" max="69" width="14.5" style="4" customWidth="1"/>
    <col min="70" max="70" width="9.6640625" style="4"/>
    <col min="71" max="71" width="14.5" style="4" customWidth="1"/>
    <col min="72" max="72" width="1.33203125" style="4" hidden="1" customWidth="1"/>
    <col min="73" max="73" width="9.6640625" style="4"/>
    <col min="74" max="74" width="8.6640625" style="4" customWidth="1"/>
    <col min="75" max="16384" width="9.6640625" style="4"/>
  </cols>
  <sheetData>
    <row r="1" spans="1:75" s="1" customFormat="1" ht="20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/>
      <c r="J1" s="1" t="s">
        <v>8</v>
      </c>
      <c r="K1" s="1" t="s">
        <v>9</v>
      </c>
      <c r="L1" s="1" t="s">
        <v>168</v>
      </c>
      <c r="M1" s="1" t="s">
        <v>10</v>
      </c>
      <c r="N1" s="8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112</v>
      </c>
      <c r="T1" s="1" t="s">
        <v>17</v>
      </c>
      <c r="U1" s="1" t="s">
        <v>169</v>
      </c>
      <c r="V1" s="1" t="s">
        <v>170</v>
      </c>
      <c r="W1" s="1" t="s">
        <v>20</v>
      </c>
      <c r="X1" s="1" t="s">
        <v>171</v>
      </c>
      <c r="Y1" s="1" t="s">
        <v>172</v>
      </c>
      <c r="Z1" s="1" t="s">
        <v>21</v>
      </c>
      <c r="AA1" s="1" t="s">
        <v>22</v>
      </c>
      <c r="AB1" s="1" t="s">
        <v>23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116</v>
      </c>
      <c r="AP1" s="1" t="s">
        <v>41</v>
      </c>
      <c r="AQ1" s="1" t="s">
        <v>38</v>
      </c>
      <c r="AR1" s="1" t="s">
        <v>11</v>
      </c>
      <c r="AS1" s="1" t="s">
        <v>40</v>
      </c>
      <c r="AT1" s="9" t="s">
        <v>42</v>
      </c>
      <c r="AU1" s="1" t="s">
        <v>43</v>
      </c>
      <c r="AV1" s="1" t="s">
        <v>117</v>
      </c>
      <c r="AW1" s="1" t="s">
        <v>44</v>
      </c>
      <c r="AX1" s="1" t="s">
        <v>46</v>
      </c>
      <c r="AY1" s="1" t="s">
        <v>47</v>
      </c>
      <c r="AZ1" s="1" t="s">
        <v>49</v>
      </c>
      <c r="BA1" s="1" t="s">
        <v>173</v>
      </c>
      <c r="BB1" s="1" t="s">
        <v>53</v>
      </c>
      <c r="BC1" s="1" t="s">
        <v>174</v>
      </c>
      <c r="BD1" s="1" t="s">
        <v>55</v>
      </c>
      <c r="BE1" s="2" t="s">
        <v>56</v>
      </c>
      <c r="BF1" s="1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" t="s">
        <v>64</v>
      </c>
      <c r="BL1" s="1" t="s">
        <v>65</v>
      </c>
      <c r="BM1" s="10" t="s">
        <v>119</v>
      </c>
      <c r="BN1" s="1" t="s">
        <v>66</v>
      </c>
      <c r="BO1" s="1" t="s">
        <v>67</v>
      </c>
      <c r="BP1" s="1" t="s">
        <v>175</v>
      </c>
      <c r="BQ1" s="1" t="s">
        <v>120</v>
      </c>
      <c r="BR1" s="1" t="s">
        <v>110</v>
      </c>
      <c r="BS1" s="1" t="s">
        <v>70</v>
      </c>
      <c r="BU1" s="1" t="s">
        <v>176</v>
      </c>
      <c r="BV1" s="9" t="s">
        <v>72</v>
      </c>
      <c r="BW1" s="1" t="s">
        <v>75</v>
      </c>
    </row>
    <row r="2" spans="1:75" s="2" customFormat="1" ht="16" customHeight="1">
      <c r="A2" s="2">
        <v>2023202523</v>
      </c>
      <c r="B2" s="2" t="s">
        <v>177</v>
      </c>
      <c r="C2" s="2" t="s">
        <v>77</v>
      </c>
      <c r="D2" s="2" t="s">
        <v>108</v>
      </c>
      <c r="E2" s="2" t="s">
        <v>108</v>
      </c>
      <c r="F2" s="1">
        <f>SUM(H2:$XET2)</f>
        <v>270</v>
      </c>
      <c r="G2" s="10">
        <f>COUNT(H2:$XFD2)</f>
        <v>17</v>
      </c>
      <c r="H2" s="1">
        <v>3</v>
      </c>
      <c r="I2" s="1"/>
      <c r="J2" s="1">
        <v>1</v>
      </c>
      <c r="K2" s="1"/>
      <c r="L2" s="1"/>
      <c r="M2" s="1"/>
      <c r="N2" s="1"/>
      <c r="O2" s="1">
        <v>14</v>
      </c>
      <c r="P2" s="1">
        <v>16</v>
      </c>
      <c r="Q2" s="1"/>
      <c r="R2" s="2">
        <v>0.5</v>
      </c>
      <c r="S2" s="1"/>
      <c r="T2" s="1"/>
      <c r="U2" s="1">
        <v>6</v>
      </c>
      <c r="V2" s="1"/>
      <c r="W2" s="1"/>
      <c r="X2" s="1"/>
      <c r="Y2" s="1"/>
      <c r="Z2" s="1"/>
      <c r="AA2" s="1"/>
      <c r="AB2" s="1"/>
      <c r="AC2" s="2">
        <v>4</v>
      </c>
      <c r="AG2" s="2">
        <v>4</v>
      </c>
      <c r="AH2" s="1"/>
      <c r="AI2" s="1"/>
      <c r="AL2" s="2">
        <v>4</v>
      </c>
      <c r="AM2" s="2">
        <v>4</v>
      </c>
      <c r="AP2" s="2">
        <v>90</v>
      </c>
      <c r="AS2" s="2">
        <v>12.5</v>
      </c>
      <c r="AT2" s="9" t="s">
        <v>42</v>
      </c>
      <c r="AU2" s="2">
        <v>11</v>
      </c>
      <c r="AY2" s="2">
        <v>4</v>
      </c>
      <c r="BB2" s="2">
        <v>16</v>
      </c>
      <c r="BG2" s="10" t="s">
        <v>80</v>
      </c>
      <c r="BH2" s="10" t="s">
        <v>80</v>
      </c>
      <c r="BI2" s="10" t="s">
        <v>80</v>
      </c>
      <c r="BL2" s="1"/>
      <c r="BM2" s="10" t="s">
        <v>80</v>
      </c>
      <c r="BN2" s="2">
        <v>4</v>
      </c>
      <c r="BO2" s="2" t="s">
        <v>80</v>
      </c>
      <c r="BU2" s="2">
        <v>76</v>
      </c>
      <c r="BV2" s="9" t="s">
        <v>72</v>
      </c>
    </row>
    <row r="3" spans="1:75" s="2" customFormat="1" ht="16" customHeight="1">
      <c r="A3" s="2">
        <v>2023202499</v>
      </c>
      <c r="B3" s="2" t="s">
        <v>178</v>
      </c>
      <c r="C3" s="2" t="s">
        <v>77</v>
      </c>
      <c r="D3" s="2" t="s">
        <v>108</v>
      </c>
      <c r="E3" s="2" t="s">
        <v>108</v>
      </c>
      <c r="F3" s="1">
        <f>SUM(H3:$XET3)</f>
        <v>106</v>
      </c>
      <c r="G3" s="10">
        <f>COUNT(H3:$XFD3)</f>
        <v>18</v>
      </c>
      <c r="H3" s="1"/>
      <c r="I3" s="1"/>
      <c r="J3" s="1"/>
      <c r="K3" s="1"/>
      <c r="L3" s="1"/>
      <c r="M3" s="1"/>
      <c r="N3" s="1"/>
      <c r="O3" s="1">
        <v>12.5</v>
      </c>
      <c r="P3" s="1">
        <v>16</v>
      </c>
      <c r="Q3" s="1"/>
      <c r="R3" s="2">
        <v>0.5</v>
      </c>
      <c r="S3" s="1"/>
      <c r="T3" s="1">
        <v>5</v>
      </c>
      <c r="U3" s="1">
        <v>20</v>
      </c>
      <c r="V3" s="1"/>
      <c r="W3" s="1"/>
      <c r="X3" s="1"/>
      <c r="Y3" s="1">
        <v>3</v>
      </c>
      <c r="Z3" s="1"/>
      <c r="AA3" s="1"/>
      <c r="AB3" s="1"/>
      <c r="AC3" s="2">
        <v>4</v>
      </c>
      <c r="AE3" s="2">
        <v>4</v>
      </c>
      <c r="AG3" s="2">
        <v>4</v>
      </c>
      <c r="AH3" s="1">
        <v>4</v>
      </c>
      <c r="AI3" s="1"/>
      <c r="AL3" s="2">
        <v>4</v>
      </c>
      <c r="AM3" s="2">
        <v>4</v>
      </c>
      <c r="AN3" s="2">
        <v>4</v>
      </c>
      <c r="AT3" s="9" t="s">
        <v>42</v>
      </c>
      <c r="AW3" s="2">
        <v>4.5</v>
      </c>
      <c r="BD3" s="2">
        <v>5</v>
      </c>
      <c r="BG3" s="10" t="s">
        <v>80</v>
      </c>
      <c r="BH3" s="10">
        <v>3.5</v>
      </c>
      <c r="BI3" s="10" t="s">
        <v>80</v>
      </c>
      <c r="BL3" s="1"/>
      <c r="BM3" s="10" t="s">
        <v>80</v>
      </c>
      <c r="BN3" s="2">
        <v>4</v>
      </c>
      <c r="BO3" s="2">
        <v>4</v>
      </c>
      <c r="BV3" s="9" t="s">
        <v>72</v>
      </c>
    </row>
    <row r="4" spans="1:75" s="2" customFormat="1" ht="16" customHeight="1">
      <c r="A4" s="2">
        <v>2023202525</v>
      </c>
      <c r="B4" s="2" t="s">
        <v>179</v>
      </c>
      <c r="C4" s="2" t="s">
        <v>77</v>
      </c>
      <c r="D4" s="2" t="s">
        <v>108</v>
      </c>
      <c r="E4" s="2" t="s">
        <v>108</v>
      </c>
      <c r="F4" s="1">
        <f>SUM(H4:$XET4)</f>
        <v>128.5</v>
      </c>
      <c r="G4" s="10">
        <f>COUNT(H4:$XFD4)</f>
        <v>13</v>
      </c>
      <c r="H4" s="1">
        <v>3</v>
      </c>
      <c r="I4" s="1"/>
      <c r="J4" s="1"/>
      <c r="K4" s="1"/>
      <c r="L4" s="1"/>
      <c r="M4" s="1">
        <v>2</v>
      </c>
      <c r="N4" s="1"/>
      <c r="O4" s="1"/>
      <c r="P4" s="1">
        <v>16</v>
      </c>
      <c r="Q4" s="1"/>
      <c r="R4" s="2">
        <v>0.5</v>
      </c>
      <c r="S4" s="1"/>
      <c r="T4" s="1"/>
      <c r="U4" s="1"/>
      <c r="V4" s="1">
        <v>24</v>
      </c>
      <c r="W4" s="1"/>
      <c r="X4" s="1"/>
      <c r="Y4" s="1"/>
      <c r="Z4" s="1"/>
      <c r="AA4" s="1"/>
      <c r="AB4" s="1"/>
      <c r="AF4" s="2">
        <v>4</v>
      </c>
      <c r="AG4" s="2">
        <v>4</v>
      </c>
      <c r="AH4" s="1"/>
      <c r="AI4" s="1"/>
      <c r="AJ4" s="2">
        <v>1</v>
      </c>
      <c r="AL4" s="2">
        <v>4</v>
      </c>
      <c r="AM4" s="2">
        <v>4</v>
      </c>
      <c r="AN4" s="2">
        <v>2</v>
      </c>
      <c r="AP4" s="2">
        <v>48</v>
      </c>
      <c r="AT4" s="9" t="s">
        <v>42</v>
      </c>
      <c r="BB4" s="2">
        <v>16</v>
      </c>
      <c r="BG4" s="10" t="s">
        <v>80</v>
      </c>
      <c r="BH4" s="10" t="s">
        <v>80</v>
      </c>
      <c r="BI4" s="10" t="s">
        <v>80</v>
      </c>
      <c r="BL4" s="1"/>
      <c r="BM4" s="10" t="s">
        <v>80</v>
      </c>
      <c r="BN4" s="2" t="s">
        <v>80</v>
      </c>
      <c r="BO4" s="2" t="s">
        <v>80</v>
      </c>
      <c r="BV4" s="9" t="s">
        <v>72</v>
      </c>
    </row>
    <row r="5" spans="1:75" s="2" customFormat="1" ht="16" customHeight="1">
      <c r="A5" s="2">
        <v>2023202517</v>
      </c>
      <c r="B5" s="2" t="s">
        <v>180</v>
      </c>
      <c r="C5" s="2" t="s">
        <v>77</v>
      </c>
      <c r="D5" s="2" t="s">
        <v>108</v>
      </c>
      <c r="E5" s="2" t="s">
        <v>108</v>
      </c>
      <c r="F5" s="1">
        <f>SUM(H5:$XET5)</f>
        <v>45.5</v>
      </c>
      <c r="G5" s="10">
        <f>COUNT(H5:$XFD5)</f>
        <v>6</v>
      </c>
      <c r="H5" s="1"/>
      <c r="I5" s="1"/>
      <c r="J5" s="1"/>
      <c r="K5" s="1"/>
      <c r="L5" s="1"/>
      <c r="M5" s="1"/>
      <c r="N5" s="1"/>
      <c r="O5" s="1"/>
      <c r="P5" s="1">
        <v>16</v>
      </c>
      <c r="Q5" s="1"/>
      <c r="R5" s="2">
        <v>3.5</v>
      </c>
      <c r="S5" s="1"/>
      <c r="T5" s="1"/>
      <c r="U5" s="1"/>
      <c r="V5" s="1"/>
      <c r="W5" s="1"/>
      <c r="X5" s="1"/>
      <c r="Y5" s="1"/>
      <c r="Z5" s="1"/>
      <c r="AA5" s="1"/>
      <c r="AB5" s="1"/>
      <c r="AH5" s="1"/>
      <c r="AI5" s="1"/>
      <c r="AL5" s="2">
        <v>4</v>
      </c>
      <c r="AM5" s="2">
        <v>4</v>
      </c>
      <c r="AN5" s="2">
        <v>2</v>
      </c>
      <c r="AT5" s="9" t="s">
        <v>42</v>
      </c>
      <c r="BB5" s="2">
        <v>16</v>
      </c>
      <c r="BG5" s="10" t="s">
        <v>80</v>
      </c>
      <c r="BH5" s="10" t="s">
        <v>80</v>
      </c>
      <c r="BI5" s="10" t="s">
        <v>80</v>
      </c>
      <c r="BL5" s="1"/>
      <c r="BM5" s="10" t="s">
        <v>80</v>
      </c>
      <c r="BN5" s="2" t="s">
        <v>80</v>
      </c>
      <c r="BO5" s="2" t="s">
        <v>80</v>
      </c>
      <c r="BV5" s="9" t="s">
        <v>72</v>
      </c>
    </row>
    <row r="6" spans="1:75" s="2" customFormat="1" ht="16" customHeight="1">
      <c r="A6" s="2">
        <v>2023202498</v>
      </c>
      <c r="B6" s="2" t="s">
        <v>181</v>
      </c>
      <c r="C6" s="2" t="s">
        <v>82</v>
      </c>
      <c r="D6" s="2" t="s">
        <v>108</v>
      </c>
      <c r="E6" s="2" t="s">
        <v>108</v>
      </c>
      <c r="F6" s="1">
        <f>SUM(H6:$XET6)</f>
        <v>59</v>
      </c>
      <c r="G6" s="10">
        <f>COUNT(H6:$XFD6)</f>
        <v>9</v>
      </c>
      <c r="H6" s="1"/>
      <c r="I6" s="1"/>
      <c r="J6" s="1">
        <v>0.5</v>
      </c>
      <c r="K6" s="1"/>
      <c r="L6" s="1"/>
      <c r="M6" s="1"/>
      <c r="N6" s="1"/>
      <c r="O6" s="1"/>
      <c r="P6" s="1">
        <v>16</v>
      </c>
      <c r="Q6" s="1"/>
      <c r="R6" s="2">
        <v>0.5</v>
      </c>
      <c r="S6" s="1"/>
      <c r="T6" s="1"/>
      <c r="U6" s="1"/>
      <c r="V6" s="1"/>
      <c r="W6" s="1"/>
      <c r="X6" s="1"/>
      <c r="Y6" s="1"/>
      <c r="Z6" s="1"/>
      <c r="AA6" s="1"/>
      <c r="AB6" s="1">
        <v>6</v>
      </c>
      <c r="AG6" s="2">
        <v>4</v>
      </c>
      <c r="AH6" s="1"/>
      <c r="AI6" s="1"/>
      <c r="AL6" s="2">
        <v>4</v>
      </c>
      <c r="AO6" s="2">
        <v>4</v>
      </c>
      <c r="AT6" s="9" t="s">
        <v>42</v>
      </c>
      <c r="AU6" s="2">
        <v>8</v>
      </c>
      <c r="BB6" s="2">
        <v>16</v>
      </c>
      <c r="BG6" s="10" t="s">
        <v>80</v>
      </c>
      <c r="BH6" s="10" t="s">
        <v>80</v>
      </c>
      <c r="BI6" s="10" t="s">
        <v>80</v>
      </c>
      <c r="BL6" s="1"/>
      <c r="BM6" s="10" t="s">
        <v>80</v>
      </c>
      <c r="BN6" s="2" t="s">
        <v>80</v>
      </c>
      <c r="BO6" s="2" t="s">
        <v>80</v>
      </c>
      <c r="BV6" s="9" t="s">
        <v>72</v>
      </c>
    </row>
    <row r="7" spans="1:75" s="2" customFormat="1" ht="16" customHeight="1">
      <c r="A7" s="2">
        <v>2023202514</v>
      </c>
      <c r="B7" s="2" t="s">
        <v>182</v>
      </c>
      <c r="C7" s="2" t="s">
        <v>77</v>
      </c>
      <c r="D7" s="2" t="s">
        <v>108</v>
      </c>
      <c r="E7" s="2" t="s">
        <v>108</v>
      </c>
      <c r="F7" s="1">
        <f>SUM(H7:$XET7)</f>
        <v>15</v>
      </c>
      <c r="G7" s="10">
        <f>COUNT(H7:$XFD7)</f>
        <v>6</v>
      </c>
      <c r="H7" s="1"/>
      <c r="I7" s="1"/>
      <c r="J7" s="1">
        <v>0.5</v>
      </c>
      <c r="K7" s="1"/>
      <c r="L7" s="1"/>
      <c r="M7" s="1"/>
      <c r="N7" s="1"/>
      <c r="O7" s="1"/>
      <c r="P7" s="1"/>
      <c r="Q7" s="1"/>
      <c r="R7" s="2">
        <v>0.5</v>
      </c>
      <c r="S7" s="1"/>
      <c r="T7" s="1"/>
      <c r="U7" s="1"/>
      <c r="V7" s="1"/>
      <c r="W7" s="1"/>
      <c r="X7" s="1"/>
      <c r="Y7" s="1"/>
      <c r="Z7" s="1"/>
      <c r="AA7" s="1"/>
      <c r="AB7" s="1"/>
      <c r="AH7" s="1"/>
      <c r="AI7" s="1"/>
      <c r="AL7" s="2">
        <v>4</v>
      </c>
      <c r="AM7" s="2">
        <v>4</v>
      </c>
      <c r="AN7" s="2">
        <v>4</v>
      </c>
      <c r="AT7" s="9" t="s">
        <v>42</v>
      </c>
      <c r="AY7" s="2">
        <v>2</v>
      </c>
      <c r="BG7" s="10" t="s">
        <v>80</v>
      </c>
      <c r="BH7" s="10" t="s">
        <v>80</v>
      </c>
      <c r="BI7" s="10" t="s">
        <v>80</v>
      </c>
      <c r="BL7" s="1"/>
      <c r="BM7" s="10" t="s">
        <v>80</v>
      </c>
      <c r="BN7" s="2" t="s">
        <v>80</v>
      </c>
      <c r="BO7" s="2" t="s">
        <v>80</v>
      </c>
      <c r="BV7" s="9" t="s">
        <v>72</v>
      </c>
    </row>
    <row r="8" spans="1:75" s="2" customFormat="1" ht="16" customHeight="1">
      <c r="A8" s="2">
        <v>2023202527</v>
      </c>
      <c r="B8" s="2" t="s">
        <v>183</v>
      </c>
      <c r="C8" s="2" t="s">
        <v>82</v>
      </c>
      <c r="D8" s="2" t="s">
        <v>108</v>
      </c>
      <c r="E8" s="2" t="s">
        <v>108</v>
      </c>
      <c r="F8" s="1">
        <f>SUM(H8:$XET8)</f>
        <v>68</v>
      </c>
      <c r="G8" s="10">
        <f>COUNT(H8:$XFD8)</f>
        <v>12</v>
      </c>
      <c r="H8" s="1">
        <v>8</v>
      </c>
      <c r="I8" s="1"/>
      <c r="J8" s="1">
        <v>0.5</v>
      </c>
      <c r="K8" s="1"/>
      <c r="L8" s="1"/>
      <c r="M8" s="1"/>
      <c r="N8" s="1"/>
      <c r="O8" s="1"/>
      <c r="P8" s="1">
        <v>16</v>
      </c>
      <c r="Q8" s="1"/>
      <c r="R8" s="2">
        <v>0.5</v>
      </c>
      <c r="S8" s="1"/>
      <c r="T8" s="1"/>
      <c r="U8" s="1"/>
      <c r="V8" s="1">
        <v>7</v>
      </c>
      <c r="W8" s="1"/>
      <c r="X8" s="1"/>
      <c r="Y8" s="1"/>
      <c r="Z8" s="1"/>
      <c r="AA8" s="1">
        <v>4</v>
      </c>
      <c r="AB8" s="1"/>
      <c r="AF8" s="2">
        <v>4</v>
      </c>
      <c r="AG8" s="2">
        <v>4</v>
      </c>
      <c r="AH8" s="1"/>
      <c r="AI8" s="1"/>
      <c r="AL8" s="2">
        <v>4</v>
      </c>
      <c r="AM8" s="2">
        <v>4</v>
      </c>
      <c r="AQ8" s="2">
        <v>12</v>
      </c>
      <c r="AT8" s="9" t="s">
        <v>42</v>
      </c>
      <c r="BG8" s="10" t="s">
        <v>80</v>
      </c>
      <c r="BH8" s="10" t="s">
        <v>80</v>
      </c>
      <c r="BI8" s="10" t="s">
        <v>80</v>
      </c>
      <c r="BL8" s="1"/>
      <c r="BM8" s="10" t="s">
        <v>80</v>
      </c>
      <c r="BN8" s="2">
        <v>4</v>
      </c>
      <c r="BO8" s="2" t="s">
        <v>80</v>
      </c>
      <c r="BV8" s="9" t="s">
        <v>72</v>
      </c>
    </row>
    <row r="9" spans="1:75" s="2" customFormat="1" ht="16" customHeight="1">
      <c r="A9" s="2">
        <v>2023202531</v>
      </c>
      <c r="B9" s="2" t="s">
        <v>184</v>
      </c>
      <c r="C9" s="2" t="s">
        <v>77</v>
      </c>
      <c r="D9" s="2" t="s">
        <v>108</v>
      </c>
      <c r="E9" s="2" t="s">
        <v>108</v>
      </c>
      <c r="F9" s="1">
        <f>SUM(H9:$XET9)</f>
        <v>73</v>
      </c>
      <c r="G9" s="10">
        <f>COUNT(H9:$XFD9)</f>
        <v>11</v>
      </c>
      <c r="H9" s="1"/>
      <c r="I9" s="1"/>
      <c r="J9" s="1">
        <v>0.5</v>
      </c>
      <c r="K9" s="1">
        <v>29</v>
      </c>
      <c r="L9" s="1"/>
      <c r="M9" s="1">
        <v>2</v>
      </c>
      <c r="N9" s="1"/>
      <c r="O9" s="1"/>
      <c r="P9" s="1"/>
      <c r="Q9" s="1"/>
      <c r="R9" s="2">
        <v>0.5</v>
      </c>
      <c r="S9" s="1"/>
      <c r="T9" s="1"/>
      <c r="U9" s="1"/>
      <c r="V9" s="1"/>
      <c r="W9" s="1"/>
      <c r="X9" s="1"/>
      <c r="Y9" s="1">
        <v>3</v>
      </c>
      <c r="Z9" s="1"/>
      <c r="AA9" s="1"/>
      <c r="AB9" s="1"/>
      <c r="AF9" s="2">
        <v>4</v>
      </c>
      <c r="AH9" s="1"/>
      <c r="AI9" s="1"/>
      <c r="AL9" s="2">
        <v>4</v>
      </c>
      <c r="AM9" s="2">
        <v>4</v>
      </c>
      <c r="AP9" s="2">
        <v>4</v>
      </c>
      <c r="AT9" s="9" t="s">
        <v>42</v>
      </c>
      <c r="BG9" s="10" t="s">
        <v>80</v>
      </c>
      <c r="BH9" s="10" t="s">
        <v>80</v>
      </c>
      <c r="BI9" s="10" t="s">
        <v>80</v>
      </c>
      <c r="BL9" s="1">
        <v>18</v>
      </c>
      <c r="BM9" s="10" t="s">
        <v>80</v>
      </c>
      <c r="BN9" s="2">
        <v>4</v>
      </c>
      <c r="BO9" s="2" t="s">
        <v>80</v>
      </c>
      <c r="BV9" s="9" t="s">
        <v>72</v>
      </c>
    </row>
    <row r="10" spans="1:75" s="2" customFormat="1" ht="15.75" customHeight="1">
      <c r="A10" s="2">
        <v>2023202505</v>
      </c>
      <c r="B10" s="2" t="s">
        <v>185</v>
      </c>
      <c r="C10" s="2" t="s">
        <v>77</v>
      </c>
      <c r="D10" s="2" t="s">
        <v>108</v>
      </c>
      <c r="E10" s="2" t="s">
        <v>108</v>
      </c>
      <c r="F10" s="1">
        <f>SUM(H10:$XET10)</f>
        <v>46.5</v>
      </c>
      <c r="G10" s="10">
        <f>COUNT(H10:$XFD10)</f>
        <v>8</v>
      </c>
      <c r="H10" s="1">
        <v>9</v>
      </c>
      <c r="I10" s="1"/>
      <c r="J10" s="1"/>
      <c r="K10" s="1"/>
      <c r="L10" s="1">
        <v>9</v>
      </c>
      <c r="M10" s="1"/>
      <c r="N10" s="1"/>
      <c r="O10" s="1"/>
      <c r="P10" s="1"/>
      <c r="Q10" s="1"/>
      <c r="R10" s="2">
        <v>0.5</v>
      </c>
      <c r="S10" s="1"/>
      <c r="T10" s="1">
        <v>5</v>
      </c>
      <c r="U10" s="1"/>
      <c r="V10" s="1"/>
      <c r="W10" s="1"/>
      <c r="X10" s="1"/>
      <c r="Y10" s="1"/>
      <c r="Z10" s="1"/>
      <c r="AA10" s="1"/>
      <c r="AB10" s="1"/>
      <c r="AE10" s="2">
        <v>12</v>
      </c>
      <c r="AH10" s="1"/>
      <c r="AI10" s="1"/>
      <c r="AT10" s="9" t="s">
        <v>42</v>
      </c>
      <c r="BD10" s="2">
        <v>5</v>
      </c>
      <c r="BG10" s="10" t="s">
        <v>80</v>
      </c>
      <c r="BH10" s="10" t="s">
        <v>80</v>
      </c>
      <c r="BI10" s="10" t="s">
        <v>80</v>
      </c>
      <c r="BL10" s="1"/>
      <c r="BM10" s="10" t="s">
        <v>80</v>
      </c>
      <c r="BN10" s="2">
        <v>4</v>
      </c>
      <c r="BO10" s="2">
        <v>2</v>
      </c>
      <c r="BV10" s="9" t="s">
        <v>72</v>
      </c>
    </row>
    <row r="11" spans="1:75" s="2" customFormat="1" ht="16" customHeight="1">
      <c r="A11" s="2">
        <v>2023202513</v>
      </c>
      <c r="B11" s="2" t="s">
        <v>186</v>
      </c>
      <c r="C11" s="2" t="s">
        <v>77</v>
      </c>
      <c r="D11" s="2" t="s">
        <v>108</v>
      </c>
      <c r="E11" s="2" t="s">
        <v>108</v>
      </c>
      <c r="F11" s="1">
        <f>SUM(H11:$XET11)</f>
        <v>74.5</v>
      </c>
      <c r="G11" s="10">
        <f>COUNT(H11:$XFD11)</f>
        <v>15</v>
      </c>
      <c r="H11" s="1">
        <v>7</v>
      </c>
      <c r="I11" s="1">
        <v>0</v>
      </c>
      <c r="J11" s="1"/>
      <c r="K11" s="1"/>
      <c r="L11" s="1"/>
      <c r="M11" s="1">
        <v>2</v>
      </c>
      <c r="N11" s="1"/>
      <c r="O11" s="1"/>
      <c r="P11" s="1"/>
      <c r="Q11" s="1"/>
      <c r="R11" s="2">
        <v>0.5</v>
      </c>
      <c r="S11" s="1"/>
      <c r="T11" s="1">
        <v>4</v>
      </c>
      <c r="U11" s="1"/>
      <c r="V11" s="1"/>
      <c r="W11" s="1"/>
      <c r="X11" s="1"/>
      <c r="Y11" s="1"/>
      <c r="Z11" s="1"/>
      <c r="AA11" s="1"/>
      <c r="AB11" s="1"/>
      <c r="AF11" s="2">
        <v>4</v>
      </c>
      <c r="AG11" s="2">
        <v>4</v>
      </c>
      <c r="AH11" s="1"/>
      <c r="AI11" s="1"/>
      <c r="AL11" s="2">
        <v>4</v>
      </c>
      <c r="AM11" s="2">
        <v>4</v>
      </c>
      <c r="AN11" s="2">
        <v>2</v>
      </c>
      <c r="AT11" s="9" t="s">
        <v>42</v>
      </c>
      <c r="AV11" s="2">
        <v>4</v>
      </c>
      <c r="BB11" s="2">
        <v>16</v>
      </c>
      <c r="BG11" s="10" t="s">
        <v>80</v>
      </c>
      <c r="BH11" s="10" t="s">
        <v>80</v>
      </c>
      <c r="BI11" s="10">
        <v>2</v>
      </c>
      <c r="BL11" s="1">
        <v>17</v>
      </c>
      <c r="BM11" s="10" t="s">
        <v>80</v>
      </c>
      <c r="BN11" s="2">
        <v>4</v>
      </c>
      <c r="BO11" s="2" t="s">
        <v>80</v>
      </c>
      <c r="BV11" s="9" t="s">
        <v>72</v>
      </c>
    </row>
    <row r="12" spans="1:75" s="2" customFormat="1" ht="16" customHeight="1">
      <c r="A12" s="2">
        <v>2023202516</v>
      </c>
      <c r="B12" s="13" t="s">
        <v>187</v>
      </c>
      <c r="C12" s="2" t="s">
        <v>82</v>
      </c>
      <c r="D12" s="2" t="s">
        <v>108</v>
      </c>
      <c r="E12" s="2" t="s">
        <v>108</v>
      </c>
      <c r="F12" s="1">
        <f>SUM(H12:$XET12)</f>
        <v>276.5</v>
      </c>
      <c r="G12" s="10">
        <f>COUNT(H12:$XFD12)</f>
        <v>21</v>
      </c>
      <c r="H12" s="1">
        <v>3</v>
      </c>
      <c r="I12" s="1"/>
      <c r="J12" s="1"/>
      <c r="K12" s="1"/>
      <c r="L12" s="1">
        <v>45</v>
      </c>
      <c r="M12" s="1"/>
      <c r="N12" s="1"/>
      <c r="O12" s="1"/>
      <c r="P12" s="1"/>
      <c r="Q12" s="1">
        <v>5</v>
      </c>
      <c r="R12" s="2">
        <v>3</v>
      </c>
      <c r="S12" s="1"/>
      <c r="T12" s="1"/>
      <c r="U12" s="1"/>
      <c r="V12" s="1">
        <v>9</v>
      </c>
      <c r="W12" s="1"/>
      <c r="X12" s="1"/>
      <c r="Y12" s="1"/>
      <c r="Z12" s="1">
        <v>4</v>
      </c>
      <c r="AA12" s="1">
        <v>4</v>
      </c>
      <c r="AB12" s="1"/>
      <c r="AC12" s="2">
        <v>8</v>
      </c>
      <c r="AE12" s="2">
        <v>3</v>
      </c>
      <c r="AF12" s="2">
        <v>4</v>
      </c>
      <c r="AG12" s="2">
        <v>4</v>
      </c>
      <c r="AH12" s="1"/>
      <c r="AI12" s="1"/>
      <c r="AJ12" s="2">
        <v>2</v>
      </c>
      <c r="AL12" s="2">
        <v>4</v>
      </c>
      <c r="AM12" s="2">
        <v>4</v>
      </c>
      <c r="AP12" s="2">
        <v>60</v>
      </c>
      <c r="AT12" s="9" t="s">
        <v>42</v>
      </c>
      <c r="AU12" s="2">
        <v>11</v>
      </c>
      <c r="AY12" s="2">
        <v>3</v>
      </c>
      <c r="BE12" s="2">
        <v>10</v>
      </c>
      <c r="BF12" s="2">
        <v>4</v>
      </c>
      <c r="BG12" s="10" t="s">
        <v>80</v>
      </c>
      <c r="BH12" s="10" t="s">
        <v>80</v>
      </c>
      <c r="BI12" s="10" t="s">
        <v>80</v>
      </c>
      <c r="BK12" s="2">
        <v>2.5</v>
      </c>
      <c r="BL12" s="1"/>
      <c r="BM12" s="10" t="s">
        <v>80</v>
      </c>
      <c r="BN12" s="2" t="s">
        <v>80</v>
      </c>
      <c r="BO12" s="2" t="s">
        <v>80</v>
      </c>
      <c r="BU12" s="2">
        <v>84</v>
      </c>
      <c r="BV12" s="9" t="s">
        <v>72</v>
      </c>
    </row>
    <row r="13" spans="1:75" s="2" customFormat="1" ht="16" customHeight="1">
      <c r="A13" s="2">
        <v>2023202519</v>
      </c>
      <c r="B13" s="2" t="s">
        <v>188</v>
      </c>
      <c r="C13" s="2" t="s">
        <v>77</v>
      </c>
      <c r="D13" s="2" t="s">
        <v>108</v>
      </c>
      <c r="E13" s="2" t="s">
        <v>108</v>
      </c>
      <c r="F13" s="1">
        <f>SUM(H13:$XET13)</f>
        <v>178</v>
      </c>
      <c r="G13" s="10">
        <f>COUNT(H13:$XFD13)</f>
        <v>11</v>
      </c>
      <c r="H13" s="1"/>
      <c r="I13" s="1"/>
      <c r="J13" s="1">
        <v>0.5</v>
      </c>
      <c r="K13" s="1"/>
      <c r="L13" s="1"/>
      <c r="M13" s="1"/>
      <c r="N13" s="1"/>
      <c r="O13" s="1"/>
      <c r="P13" s="1">
        <v>16</v>
      </c>
      <c r="Q13" s="1"/>
      <c r="R13" s="2">
        <v>0.5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F13" s="2">
        <v>4</v>
      </c>
      <c r="AH13" s="1"/>
      <c r="AI13" s="1"/>
      <c r="AL13" s="2">
        <v>4</v>
      </c>
      <c r="AM13" s="2">
        <v>4</v>
      </c>
      <c r="AN13" s="2">
        <v>8</v>
      </c>
      <c r="AP13" s="2">
        <v>120</v>
      </c>
      <c r="AT13" s="9" t="s">
        <v>42</v>
      </c>
      <c r="BB13" s="2">
        <v>16</v>
      </c>
      <c r="BG13" s="10" t="s">
        <v>80</v>
      </c>
      <c r="BH13" s="10" t="s">
        <v>80</v>
      </c>
      <c r="BI13" s="10" t="s">
        <v>80</v>
      </c>
      <c r="BL13" s="1"/>
      <c r="BM13" s="10" t="s">
        <v>80</v>
      </c>
      <c r="BN13" s="2" t="s">
        <v>80</v>
      </c>
      <c r="BO13" s="2">
        <v>4</v>
      </c>
      <c r="BV13" s="9" t="s">
        <v>72</v>
      </c>
      <c r="BW13" s="2">
        <v>1</v>
      </c>
    </row>
    <row r="14" spans="1:75" s="2" customFormat="1" ht="16" customHeight="1">
      <c r="A14" s="2">
        <v>2023202532</v>
      </c>
      <c r="B14" s="13" t="s">
        <v>107</v>
      </c>
      <c r="C14" s="2" t="s">
        <v>77</v>
      </c>
      <c r="D14" s="2" t="s">
        <v>108</v>
      </c>
      <c r="E14" s="2" t="s">
        <v>108</v>
      </c>
      <c r="F14" s="1">
        <f>SUM(H14:$XET14)</f>
        <v>209.5</v>
      </c>
      <c r="G14" s="10">
        <f>COUNT(H14:$XFD14)</f>
        <v>23</v>
      </c>
      <c r="H14" s="1"/>
      <c r="I14" s="1"/>
      <c r="J14" s="1">
        <v>1</v>
      </c>
      <c r="K14" s="1"/>
      <c r="L14" s="1">
        <v>44</v>
      </c>
      <c r="M14" s="1"/>
      <c r="N14" s="1">
        <v>6</v>
      </c>
      <c r="O14" s="1"/>
      <c r="P14" s="1"/>
      <c r="Q14" s="1"/>
      <c r="R14" s="2">
        <v>0.5</v>
      </c>
      <c r="S14" s="1"/>
      <c r="T14" s="1"/>
      <c r="U14" s="1">
        <v>11</v>
      </c>
      <c r="V14" s="1"/>
      <c r="W14" s="1"/>
      <c r="X14" s="1"/>
      <c r="Y14" s="1"/>
      <c r="Z14" s="1"/>
      <c r="AA14" s="1"/>
      <c r="AB14" s="1"/>
      <c r="AC14" s="2">
        <v>4</v>
      </c>
      <c r="AF14" s="2">
        <v>4</v>
      </c>
      <c r="AG14" s="2">
        <v>4</v>
      </c>
      <c r="AH14" s="1"/>
      <c r="AI14" s="1"/>
      <c r="AK14" s="2">
        <v>3</v>
      </c>
      <c r="AL14" s="2">
        <v>4</v>
      </c>
      <c r="AM14" s="2">
        <v>4</v>
      </c>
      <c r="AN14" s="2">
        <v>4</v>
      </c>
      <c r="AR14" s="2">
        <v>26.5</v>
      </c>
      <c r="AS14" s="2">
        <v>32.5</v>
      </c>
      <c r="AT14" s="9" t="s">
        <v>42</v>
      </c>
      <c r="AU14" s="2">
        <v>10</v>
      </c>
      <c r="AY14" s="2">
        <v>5</v>
      </c>
      <c r="BA14" s="2">
        <v>6</v>
      </c>
      <c r="BE14" s="2">
        <v>24</v>
      </c>
      <c r="BG14" s="10" t="s">
        <v>80</v>
      </c>
      <c r="BH14" s="10" t="s">
        <v>80</v>
      </c>
      <c r="BI14" s="10">
        <v>2</v>
      </c>
      <c r="BL14" s="1"/>
      <c r="BM14" s="10">
        <v>5</v>
      </c>
      <c r="BN14" s="2" t="s">
        <v>80</v>
      </c>
      <c r="BO14" s="2">
        <v>2</v>
      </c>
      <c r="BP14" s="2">
        <v>5</v>
      </c>
      <c r="BQ14" s="2">
        <v>2</v>
      </c>
      <c r="BV14" s="9" t="s">
        <v>72</v>
      </c>
    </row>
    <row r="15" spans="1:75" s="2" customFormat="1" ht="16" customHeight="1">
      <c r="A15" s="2">
        <v>2023202503</v>
      </c>
      <c r="B15" s="2" t="s">
        <v>189</v>
      </c>
      <c r="C15" s="2" t="s">
        <v>77</v>
      </c>
      <c r="D15" s="2" t="s">
        <v>108</v>
      </c>
      <c r="E15" s="2" t="s">
        <v>108</v>
      </c>
      <c r="F15" s="1">
        <f>SUM(H15:$XET15)</f>
        <v>41</v>
      </c>
      <c r="G15" s="10">
        <f>COUNT(H15:$XFD15)</f>
        <v>8</v>
      </c>
      <c r="H15" s="1">
        <v>3</v>
      </c>
      <c r="I15" s="1"/>
      <c r="J15" s="1"/>
      <c r="K15" s="1"/>
      <c r="L15" s="1"/>
      <c r="M15" s="1">
        <v>1.5</v>
      </c>
      <c r="N15" s="1"/>
      <c r="O15" s="1"/>
      <c r="P15" s="1"/>
      <c r="Q15" s="1"/>
      <c r="R15" s="2">
        <v>0.5</v>
      </c>
      <c r="S15" s="1"/>
      <c r="T15" s="1"/>
      <c r="U15" s="1">
        <v>20</v>
      </c>
      <c r="V15" s="1"/>
      <c r="W15" s="1"/>
      <c r="X15" s="1"/>
      <c r="Y15" s="1"/>
      <c r="Z15" s="1"/>
      <c r="AA15" s="1"/>
      <c r="AB15" s="1"/>
      <c r="AF15" s="2">
        <v>4</v>
      </c>
      <c r="AH15" s="1"/>
      <c r="AI15" s="1"/>
      <c r="AL15" s="2">
        <v>4</v>
      </c>
      <c r="AM15" s="2">
        <v>4</v>
      </c>
      <c r="AT15" s="9" t="s">
        <v>42</v>
      </c>
      <c r="BG15" s="10" t="s">
        <v>80</v>
      </c>
      <c r="BH15" s="10" t="s">
        <v>80</v>
      </c>
      <c r="BI15" s="10" t="s">
        <v>80</v>
      </c>
      <c r="BL15" s="1"/>
      <c r="BM15" s="10" t="s">
        <v>80</v>
      </c>
      <c r="BN15" s="2">
        <v>4</v>
      </c>
      <c r="BO15" s="2" t="s">
        <v>80</v>
      </c>
      <c r="BV15" s="9" t="s">
        <v>72</v>
      </c>
    </row>
    <row r="16" spans="1:75" s="2" customFormat="1" ht="16" customHeight="1">
      <c r="A16" s="2">
        <v>2023202502</v>
      </c>
      <c r="B16" s="2" t="s">
        <v>190</v>
      </c>
      <c r="C16" s="2" t="s">
        <v>82</v>
      </c>
      <c r="D16" s="2" t="s">
        <v>108</v>
      </c>
      <c r="E16" s="2" t="s">
        <v>108</v>
      </c>
      <c r="F16" s="1">
        <f>SUM(H16:$XET16)</f>
        <v>54.5</v>
      </c>
      <c r="G16" s="10">
        <f>COUNT(H16:$XFD16)</f>
        <v>6</v>
      </c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>
        <v>10</v>
      </c>
      <c r="W16" s="1"/>
      <c r="X16" s="1"/>
      <c r="Y16" s="1"/>
      <c r="Z16" s="1"/>
      <c r="AA16" s="1">
        <v>4</v>
      </c>
      <c r="AB16" s="1"/>
      <c r="AC16" s="2">
        <v>4</v>
      </c>
      <c r="AF16" s="2">
        <v>4</v>
      </c>
      <c r="AG16" s="2">
        <v>4</v>
      </c>
      <c r="AH16" s="1"/>
      <c r="AI16" s="1"/>
      <c r="AS16" s="2">
        <v>28.5</v>
      </c>
      <c r="AT16" s="9" t="s">
        <v>42</v>
      </c>
      <c r="BG16" s="10" t="s">
        <v>80</v>
      </c>
      <c r="BH16" s="10" t="s">
        <v>80</v>
      </c>
      <c r="BI16" s="10" t="s">
        <v>80</v>
      </c>
      <c r="BL16" s="1"/>
      <c r="BM16" s="10" t="s">
        <v>80</v>
      </c>
      <c r="BN16" s="2" t="s">
        <v>80</v>
      </c>
      <c r="BO16" s="2" t="s">
        <v>80</v>
      </c>
      <c r="BV16" s="9" t="s">
        <v>72</v>
      </c>
    </row>
    <row r="17" spans="1:74" s="2" customFormat="1" ht="16" customHeight="1">
      <c r="A17" s="2">
        <v>2023202515</v>
      </c>
      <c r="B17" s="2" t="s">
        <v>191</v>
      </c>
      <c r="C17" s="2" t="s">
        <v>77</v>
      </c>
      <c r="D17" s="2" t="s">
        <v>108</v>
      </c>
      <c r="E17" s="2" t="s">
        <v>108</v>
      </c>
      <c r="F17" s="1">
        <f>SUM(H17:$XET17)</f>
        <v>44.5</v>
      </c>
      <c r="G17" s="10">
        <f>COUNT(H17:$XFD17)</f>
        <v>6</v>
      </c>
      <c r="H17" s="1"/>
      <c r="I17" s="1"/>
      <c r="J17" s="1"/>
      <c r="K17" s="1"/>
      <c r="L17" s="1"/>
      <c r="M17" s="1"/>
      <c r="N17" s="1"/>
      <c r="O17" s="1"/>
      <c r="P17" s="1">
        <v>16</v>
      </c>
      <c r="Q17" s="1"/>
      <c r="R17" s="2">
        <v>0.5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H17" s="1"/>
      <c r="AI17" s="1"/>
      <c r="AL17" s="2">
        <v>4</v>
      </c>
      <c r="AM17" s="2">
        <v>4</v>
      </c>
      <c r="AT17" s="9" t="s">
        <v>42</v>
      </c>
      <c r="BB17" s="2">
        <v>16</v>
      </c>
      <c r="BG17" s="10" t="s">
        <v>80</v>
      </c>
      <c r="BH17" s="10" t="s">
        <v>80</v>
      </c>
      <c r="BI17" s="10" t="s">
        <v>80</v>
      </c>
      <c r="BL17" s="1"/>
      <c r="BM17" s="10" t="s">
        <v>80</v>
      </c>
      <c r="BN17" s="2">
        <v>4</v>
      </c>
      <c r="BO17" s="2" t="s">
        <v>80</v>
      </c>
      <c r="BV17" s="9" t="s">
        <v>72</v>
      </c>
    </row>
    <row r="18" spans="1:74" s="2" customFormat="1" ht="16" customHeight="1">
      <c r="A18" s="2">
        <v>2023202521</v>
      </c>
      <c r="B18" s="2" t="s">
        <v>192</v>
      </c>
      <c r="C18" s="2" t="s">
        <v>77</v>
      </c>
      <c r="D18" s="2" t="s">
        <v>108</v>
      </c>
      <c r="E18" s="2" t="s">
        <v>108</v>
      </c>
      <c r="F18" s="1">
        <f>SUM(H18:$XET18)</f>
        <v>46.5</v>
      </c>
      <c r="G18" s="10">
        <f>COUNT(H18:$XFD18)</f>
        <v>7</v>
      </c>
      <c r="H18" s="1"/>
      <c r="I18" s="1"/>
      <c r="J18" s="1"/>
      <c r="K18" s="1"/>
      <c r="L18" s="1"/>
      <c r="M18" s="1"/>
      <c r="N18" s="1"/>
      <c r="O18" s="1"/>
      <c r="P18" s="1">
        <v>16</v>
      </c>
      <c r="Q18" s="1"/>
      <c r="R18" s="2">
        <v>0.5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H18" s="1"/>
      <c r="AI18" s="1"/>
      <c r="AL18" s="2">
        <v>4</v>
      </c>
      <c r="AM18" s="2">
        <v>4</v>
      </c>
      <c r="AT18" s="9" t="s">
        <v>42</v>
      </c>
      <c r="BB18" s="2">
        <v>16</v>
      </c>
      <c r="BG18" s="10" t="s">
        <v>80</v>
      </c>
      <c r="BH18" s="10" t="s">
        <v>80</v>
      </c>
      <c r="BI18" s="10" t="s">
        <v>80</v>
      </c>
      <c r="BL18" s="1"/>
      <c r="BM18" s="10" t="s">
        <v>80</v>
      </c>
      <c r="BN18" s="2">
        <v>4</v>
      </c>
      <c r="BO18" s="2">
        <v>2</v>
      </c>
      <c r="BV18" s="9" t="s">
        <v>72</v>
      </c>
    </row>
    <row r="19" spans="1:74" s="2" customFormat="1" ht="16" customHeight="1">
      <c r="A19" s="2">
        <v>2023202526</v>
      </c>
      <c r="B19" s="2" t="s">
        <v>193</v>
      </c>
      <c r="C19" s="2" t="s">
        <v>77</v>
      </c>
      <c r="D19" s="2" t="s">
        <v>108</v>
      </c>
      <c r="E19" s="2" t="s">
        <v>108</v>
      </c>
      <c r="F19" s="1">
        <f>SUM(H19:$XET19)</f>
        <v>78</v>
      </c>
      <c r="G19" s="10">
        <f>COUNT(H19:$XFD19)</f>
        <v>12</v>
      </c>
      <c r="H19" s="1"/>
      <c r="I19" s="1"/>
      <c r="J19" s="1">
        <v>0.5</v>
      </c>
      <c r="K19" s="1"/>
      <c r="L19" s="1">
        <v>28</v>
      </c>
      <c r="M19" s="1"/>
      <c r="N19" s="1"/>
      <c r="O19" s="1"/>
      <c r="P19" s="1"/>
      <c r="Q19" s="1"/>
      <c r="R19" s="2">
        <v>0.5</v>
      </c>
      <c r="S19" s="1"/>
      <c r="T19" s="1"/>
      <c r="U19" s="1"/>
      <c r="V19" s="1"/>
      <c r="W19" s="1"/>
      <c r="X19" s="1">
        <v>4</v>
      </c>
      <c r="Y19" s="1"/>
      <c r="Z19" s="1">
        <v>4</v>
      </c>
      <c r="AA19" s="1"/>
      <c r="AB19" s="1"/>
      <c r="AH19" s="1"/>
      <c r="AI19" s="1"/>
      <c r="AL19" s="2">
        <v>4</v>
      </c>
      <c r="AM19" s="2">
        <v>4</v>
      </c>
      <c r="AT19" s="9" t="s">
        <v>42</v>
      </c>
      <c r="AX19" s="2">
        <v>9</v>
      </c>
      <c r="BB19" s="2">
        <v>16</v>
      </c>
      <c r="BG19" s="10" t="s">
        <v>80</v>
      </c>
      <c r="BH19" s="10" t="s">
        <v>80</v>
      </c>
      <c r="BI19" s="10">
        <v>2</v>
      </c>
      <c r="BL19" s="1"/>
      <c r="BM19" s="10" t="s">
        <v>80</v>
      </c>
      <c r="BN19" s="2">
        <v>4</v>
      </c>
      <c r="BO19" s="2">
        <v>2</v>
      </c>
      <c r="BV19" s="9" t="s">
        <v>72</v>
      </c>
    </row>
    <row r="20" spans="1:74" s="2" customFormat="1" ht="16" customHeight="1">
      <c r="A20" s="2">
        <v>2023202524</v>
      </c>
      <c r="B20" s="2" t="s">
        <v>194</v>
      </c>
      <c r="C20" s="2" t="s">
        <v>77</v>
      </c>
      <c r="D20" s="2" t="s">
        <v>108</v>
      </c>
      <c r="E20" s="2" t="s">
        <v>108</v>
      </c>
      <c r="F20" s="1">
        <f>SUM(H20:$XET20)</f>
        <v>145.5</v>
      </c>
      <c r="G20" s="10">
        <f>COUNT(H20:$XFD20)</f>
        <v>12</v>
      </c>
      <c r="H20" s="1">
        <v>3</v>
      </c>
      <c r="I20" s="1"/>
      <c r="J20" s="1"/>
      <c r="K20" s="1"/>
      <c r="L20" s="1"/>
      <c r="M20" s="1">
        <v>2</v>
      </c>
      <c r="N20" s="1"/>
      <c r="O20" s="1"/>
      <c r="P20" s="1"/>
      <c r="Q20" s="1"/>
      <c r="R20" s="2">
        <v>0.5</v>
      </c>
      <c r="S20" s="1"/>
      <c r="T20" s="1"/>
      <c r="U20" s="1">
        <v>20</v>
      </c>
      <c r="V20" s="1"/>
      <c r="W20" s="1">
        <v>3</v>
      </c>
      <c r="X20" s="1"/>
      <c r="Y20" s="1"/>
      <c r="Z20" s="1"/>
      <c r="AA20" s="1"/>
      <c r="AB20" s="1"/>
      <c r="AG20" s="2">
        <v>4</v>
      </c>
      <c r="AH20" s="1"/>
      <c r="AI20" s="1"/>
      <c r="AL20" s="2">
        <v>4</v>
      </c>
      <c r="AM20" s="2">
        <v>4</v>
      </c>
      <c r="AP20" s="2">
        <v>66</v>
      </c>
      <c r="AQ20" s="2">
        <v>12</v>
      </c>
      <c r="AT20" s="9" t="s">
        <v>42</v>
      </c>
      <c r="AU20" s="2">
        <v>11</v>
      </c>
      <c r="BB20" s="2">
        <v>16</v>
      </c>
      <c r="BG20" s="10" t="s">
        <v>80</v>
      </c>
      <c r="BH20" s="10" t="s">
        <v>80</v>
      </c>
      <c r="BI20" s="10" t="s">
        <v>80</v>
      </c>
      <c r="BL20" s="1"/>
      <c r="BM20" s="10" t="s">
        <v>80</v>
      </c>
      <c r="BN20" s="2" t="s">
        <v>80</v>
      </c>
      <c r="BO20" s="2" t="s">
        <v>80</v>
      </c>
      <c r="BV20" s="9" t="s">
        <v>72</v>
      </c>
    </row>
    <row r="21" spans="1:74" s="2" customFormat="1" ht="16" customHeight="1">
      <c r="A21" s="2">
        <v>2023202530</v>
      </c>
      <c r="B21" s="2" t="s">
        <v>195</v>
      </c>
      <c r="C21" s="2" t="s">
        <v>77</v>
      </c>
      <c r="D21" s="2" t="s">
        <v>108</v>
      </c>
      <c r="E21" s="2" t="s">
        <v>108</v>
      </c>
      <c r="F21" s="1">
        <f>SUM(H21:$XET21)</f>
        <v>102.25</v>
      </c>
      <c r="G21" s="10">
        <f>COUNT(H21:$XFD21)</f>
        <v>5</v>
      </c>
      <c r="H21" s="1"/>
      <c r="I21" s="1"/>
      <c r="J21" s="1"/>
      <c r="K21" s="1">
        <v>18</v>
      </c>
      <c r="L21" s="1"/>
      <c r="M21" s="1"/>
      <c r="N21" s="1"/>
      <c r="O21" s="1"/>
      <c r="P21" s="1"/>
      <c r="Q21" s="1"/>
      <c r="R21" s="2">
        <v>0.5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H21" s="1"/>
      <c r="AI21" s="1"/>
      <c r="AP21" s="2">
        <v>78</v>
      </c>
      <c r="AT21" s="9" t="s">
        <v>42</v>
      </c>
      <c r="BG21" s="10" t="s">
        <v>80</v>
      </c>
      <c r="BH21" s="10" t="s">
        <v>80</v>
      </c>
      <c r="BI21" s="10">
        <v>3.75</v>
      </c>
      <c r="BL21" s="1"/>
      <c r="BM21" s="10" t="s">
        <v>80</v>
      </c>
      <c r="BN21" s="2" t="s">
        <v>80</v>
      </c>
      <c r="BO21" s="2">
        <v>2</v>
      </c>
      <c r="BV21" s="9" t="s">
        <v>72</v>
      </c>
    </row>
    <row r="22" spans="1:74" s="2" customFormat="1" ht="16" customHeight="1">
      <c r="A22" s="2">
        <v>2023202528</v>
      </c>
      <c r="B22" s="2" t="s">
        <v>196</v>
      </c>
      <c r="C22" s="2" t="s">
        <v>77</v>
      </c>
      <c r="D22" s="2" t="s">
        <v>108</v>
      </c>
      <c r="E22" s="2" t="s">
        <v>108</v>
      </c>
      <c r="F22" s="1">
        <f>SUM(H22:$XET22)</f>
        <v>104.5</v>
      </c>
      <c r="G22" s="10">
        <f>COUNT(H22:$XFD22)</f>
        <v>18</v>
      </c>
      <c r="H22" s="1"/>
      <c r="I22" s="1"/>
      <c r="J22" s="1">
        <v>0.5</v>
      </c>
      <c r="K22" s="1"/>
      <c r="L22" s="1">
        <v>8</v>
      </c>
      <c r="M22" s="1"/>
      <c r="N22" s="1"/>
      <c r="O22" s="1"/>
      <c r="P22" s="1"/>
      <c r="Q22" s="1"/>
      <c r="R22" s="2">
        <v>0.5</v>
      </c>
      <c r="S22" s="1"/>
      <c r="T22" s="1"/>
      <c r="U22" s="1">
        <v>20</v>
      </c>
      <c r="V22" s="1"/>
      <c r="W22" s="1"/>
      <c r="X22" s="1"/>
      <c r="Y22" s="1"/>
      <c r="Z22" s="1">
        <v>4</v>
      </c>
      <c r="AA22" s="1"/>
      <c r="AB22" s="1"/>
      <c r="AC22" s="2">
        <v>4</v>
      </c>
      <c r="AF22" s="2">
        <v>4</v>
      </c>
      <c r="AG22" s="2">
        <v>4</v>
      </c>
      <c r="AH22" s="1"/>
      <c r="AI22" s="1"/>
      <c r="AL22" s="2">
        <v>4</v>
      </c>
      <c r="AM22" s="2">
        <v>4</v>
      </c>
      <c r="AT22" s="9" t="s">
        <v>42</v>
      </c>
      <c r="AU22" s="2">
        <v>9</v>
      </c>
      <c r="AX22" s="2">
        <v>9</v>
      </c>
      <c r="BB22" s="2">
        <v>16</v>
      </c>
      <c r="BG22" s="10" t="s">
        <v>80</v>
      </c>
      <c r="BH22" s="10" t="s">
        <v>80</v>
      </c>
      <c r="BI22" s="10">
        <v>4</v>
      </c>
      <c r="BK22" s="2">
        <v>1.5</v>
      </c>
      <c r="BL22" s="1">
        <v>6</v>
      </c>
      <c r="BM22" s="10" t="s">
        <v>80</v>
      </c>
      <c r="BN22" s="2">
        <v>4</v>
      </c>
      <c r="BO22" s="2">
        <v>2</v>
      </c>
      <c r="BV22" s="9" t="s">
        <v>72</v>
      </c>
    </row>
    <row r="23" spans="1:74" s="2" customFormat="1" ht="16" customHeight="1">
      <c r="A23" s="2">
        <v>2023202507</v>
      </c>
      <c r="B23" s="2" t="s">
        <v>197</v>
      </c>
      <c r="C23" s="2" t="s">
        <v>77</v>
      </c>
      <c r="D23" s="2" t="s">
        <v>108</v>
      </c>
      <c r="E23" s="2" t="s">
        <v>108</v>
      </c>
      <c r="F23" s="1">
        <f>SUM(H23:$XET23)</f>
        <v>30</v>
      </c>
      <c r="G23" s="10">
        <f>COUNT(H23:$XFD23)</f>
        <v>5</v>
      </c>
      <c r="H23" s="1">
        <v>3</v>
      </c>
      <c r="I23" s="1"/>
      <c r="J23" s="1"/>
      <c r="K23" s="1">
        <v>18</v>
      </c>
      <c r="L23" s="1"/>
      <c r="M23" s="1"/>
      <c r="N23" s="1"/>
      <c r="O23" s="1"/>
      <c r="P23" s="1"/>
      <c r="Q23" s="1"/>
      <c r="R23" s="2">
        <v>0.5</v>
      </c>
      <c r="S23" s="1"/>
      <c r="T23" s="1"/>
      <c r="U23" s="1"/>
      <c r="V23" s="1"/>
      <c r="W23" s="1"/>
      <c r="X23" s="1"/>
      <c r="Y23" s="1"/>
      <c r="Z23" s="1">
        <v>4</v>
      </c>
      <c r="AA23" s="1"/>
      <c r="AB23" s="1"/>
      <c r="AH23" s="1"/>
      <c r="AI23" s="1"/>
      <c r="AT23" s="9" t="s">
        <v>42</v>
      </c>
      <c r="AW23" s="2">
        <v>4.5</v>
      </c>
      <c r="BG23" s="10" t="s">
        <v>80</v>
      </c>
      <c r="BH23" s="10" t="s">
        <v>80</v>
      </c>
      <c r="BI23" s="10" t="s">
        <v>80</v>
      </c>
      <c r="BL23" s="1"/>
      <c r="BM23" s="10" t="s">
        <v>80</v>
      </c>
      <c r="BN23" s="2" t="s">
        <v>80</v>
      </c>
      <c r="BO23" s="2" t="s">
        <v>80</v>
      </c>
      <c r="BV23" s="9" t="s">
        <v>72</v>
      </c>
    </row>
    <row r="24" spans="1:74" s="2" customFormat="1" ht="16" customHeight="1">
      <c r="A24" s="2">
        <v>2023202522</v>
      </c>
      <c r="B24" s="2" t="s">
        <v>198</v>
      </c>
      <c r="C24" s="2" t="s">
        <v>77</v>
      </c>
      <c r="D24" s="2" t="s">
        <v>108</v>
      </c>
      <c r="E24" s="2" t="s">
        <v>108</v>
      </c>
      <c r="F24" s="1">
        <f>SUM(H24:$XET24)</f>
        <v>214</v>
      </c>
      <c r="G24" s="10">
        <f>COUNT(H24:$XFD24)</f>
        <v>20</v>
      </c>
      <c r="H24" s="1">
        <v>3</v>
      </c>
      <c r="I24" s="1"/>
      <c r="J24" s="1">
        <v>2.5</v>
      </c>
      <c r="K24" s="1"/>
      <c r="L24" s="1"/>
      <c r="M24" s="1"/>
      <c r="N24" s="1"/>
      <c r="O24" s="1"/>
      <c r="P24" s="1"/>
      <c r="Q24" s="1"/>
      <c r="R24" s="2">
        <v>3.5</v>
      </c>
      <c r="S24" s="1"/>
      <c r="T24" s="1">
        <v>5</v>
      </c>
      <c r="U24" s="1">
        <v>24.5</v>
      </c>
      <c r="V24" s="1"/>
      <c r="W24" s="1"/>
      <c r="X24" s="1"/>
      <c r="Y24" s="1"/>
      <c r="Z24" s="1">
        <v>5</v>
      </c>
      <c r="AA24" s="1"/>
      <c r="AB24" s="1"/>
      <c r="AC24" s="2">
        <v>4</v>
      </c>
      <c r="AD24" s="2">
        <v>98</v>
      </c>
      <c r="AF24" s="2">
        <v>4</v>
      </c>
      <c r="AH24" s="1"/>
      <c r="AI24" s="1">
        <v>8</v>
      </c>
      <c r="AL24" s="2">
        <v>4</v>
      </c>
      <c r="AM24" s="2">
        <v>4</v>
      </c>
      <c r="AN24" s="2">
        <v>2</v>
      </c>
      <c r="AT24" s="9" t="s">
        <v>42</v>
      </c>
      <c r="AU24" s="2">
        <v>11</v>
      </c>
      <c r="AW24" s="2">
        <v>4.5</v>
      </c>
      <c r="AX24" s="2">
        <v>20</v>
      </c>
      <c r="AY24" s="2">
        <v>2</v>
      </c>
      <c r="BG24" s="10">
        <v>3</v>
      </c>
      <c r="BH24" s="10" t="s">
        <v>80</v>
      </c>
      <c r="BI24" s="10">
        <v>2</v>
      </c>
      <c r="BL24" s="1"/>
      <c r="BM24" s="10" t="s">
        <v>80</v>
      </c>
      <c r="BN24" s="2" t="s">
        <v>80</v>
      </c>
      <c r="BO24" s="2" t="s">
        <v>80</v>
      </c>
      <c r="BU24" s="2">
        <v>4</v>
      </c>
      <c r="BV24" s="9" t="s">
        <v>72</v>
      </c>
    </row>
    <row r="25" spans="1:74" s="2" customFormat="1" ht="16" customHeight="1">
      <c r="A25" s="2">
        <v>2023202511</v>
      </c>
      <c r="B25" s="13" t="s">
        <v>199</v>
      </c>
      <c r="C25" s="2" t="s">
        <v>82</v>
      </c>
      <c r="D25" s="2" t="s">
        <v>200</v>
      </c>
      <c r="E25" s="2" t="s">
        <v>108</v>
      </c>
      <c r="F25" s="1">
        <f>SUM(H25:$XET25)</f>
        <v>180</v>
      </c>
      <c r="G25" s="10">
        <f>COUNT(H25:$XFD25)</f>
        <v>14</v>
      </c>
      <c r="H25" s="1"/>
      <c r="I25" s="1"/>
      <c r="J25" s="1">
        <v>0.5</v>
      </c>
      <c r="K25" s="1"/>
      <c r="L25" s="1">
        <v>12</v>
      </c>
      <c r="M25" s="1"/>
      <c r="N25" s="1"/>
      <c r="O25" s="1"/>
      <c r="P25" s="1"/>
      <c r="Q25" s="1"/>
      <c r="R25" s="2">
        <v>0.5</v>
      </c>
      <c r="S25" s="1"/>
      <c r="T25" s="1"/>
      <c r="U25" s="1"/>
      <c r="V25" s="1"/>
      <c r="W25" s="1"/>
      <c r="X25" s="1"/>
      <c r="Y25" s="1"/>
      <c r="Z25" s="1">
        <v>4</v>
      </c>
      <c r="AA25" s="1">
        <v>4</v>
      </c>
      <c r="AB25" s="1"/>
      <c r="AG25" s="2">
        <v>4</v>
      </c>
      <c r="AH25" s="1"/>
      <c r="AI25" s="1">
        <v>6</v>
      </c>
      <c r="AL25" s="2">
        <v>4</v>
      </c>
      <c r="AM25" s="2">
        <v>4</v>
      </c>
      <c r="AN25" s="2">
        <v>2</v>
      </c>
      <c r="AP25" s="2">
        <v>120</v>
      </c>
      <c r="AT25" s="9" t="s">
        <v>42</v>
      </c>
      <c r="AU25" s="2">
        <v>12</v>
      </c>
      <c r="BG25" s="10" t="s">
        <v>80</v>
      </c>
      <c r="BH25" s="10" t="s">
        <v>80</v>
      </c>
      <c r="BI25" s="10" t="s">
        <v>80</v>
      </c>
      <c r="BK25" s="2">
        <v>3</v>
      </c>
      <c r="BL25" s="1"/>
      <c r="BM25" s="10" t="s">
        <v>80</v>
      </c>
      <c r="BN25" s="2">
        <v>4</v>
      </c>
      <c r="BO25" s="2" t="s">
        <v>80</v>
      </c>
      <c r="BV25" s="9" t="s">
        <v>72</v>
      </c>
    </row>
    <row r="26" spans="1:74" s="2" customFormat="1" ht="16" customHeight="1">
      <c r="A26" s="2">
        <v>2023202508</v>
      </c>
      <c r="B26" s="2" t="s">
        <v>201</v>
      </c>
      <c r="C26" s="2" t="s">
        <v>77</v>
      </c>
      <c r="D26" s="2" t="s">
        <v>108</v>
      </c>
      <c r="E26" s="2" t="s">
        <v>108</v>
      </c>
      <c r="F26" s="1">
        <f>SUM(H26:$XET26)</f>
        <v>53</v>
      </c>
      <c r="G26" s="10">
        <f>COUNT(H26:$XFD26)</f>
        <v>9</v>
      </c>
      <c r="H26" s="1">
        <v>3</v>
      </c>
      <c r="I26" s="1"/>
      <c r="J26" s="1">
        <v>0.5</v>
      </c>
      <c r="K26" s="1"/>
      <c r="L26" s="1"/>
      <c r="M26" s="1"/>
      <c r="N26" s="1"/>
      <c r="O26" s="1"/>
      <c r="P26" s="1"/>
      <c r="Q26" s="1"/>
      <c r="R26" s="2">
        <v>0.5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G26" s="2">
        <v>4</v>
      </c>
      <c r="AH26" s="1"/>
      <c r="AI26" s="1"/>
      <c r="AL26" s="2">
        <v>4</v>
      </c>
      <c r="AQ26" s="2">
        <v>12</v>
      </c>
      <c r="AT26" s="9" t="s">
        <v>42</v>
      </c>
      <c r="AX26" s="2">
        <v>9</v>
      </c>
      <c r="BB26" s="2">
        <v>16</v>
      </c>
      <c r="BG26" s="10" t="s">
        <v>80</v>
      </c>
      <c r="BH26" s="10" t="s">
        <v>80</v>
      </c>
      <c r="BI26" s="10" t="s">
        <v>80</v>
      </c>
      <c r="BL26" s="1"/>
      <c r="BM26" s="10" t="s">
        <v>80</v>
      </c>
      <c r="BN26" s="2">
        <v>4</v>
      </c>
      <c r="BO26" s="2" t="s">
        <v>80</v>
      </c>
      <c r="BV26" s="9" t="s">
        <v>72</v>
      </c>
    </row>
    <row r="27" spans="1:74" s="2" customFormat="1" ht="16" customHeight="1">
      <c r="A27" s="2">
        <v>2023202529</v>
      </c>
      <c r="B27" s="2" t="s">
        <v>202</v>
      </c>
      <c r="C27" s="2" t="s">
        <v>77</v>
      </c>
      <c r="D27" s="2" t="s">
        <v>108</v>
      </c>
      <c r="E27" s="2" t="s">
        <v>108</v>
      </c>
      <c r="F27" s="1">
        <f>SUM(H27:$XET27)</f>
        <v>118</v>
      </c>
      <c r="G27" s="10">
        <f>COUNT(H27:$XFD27)</f>
        <v>13</v>
      </c>
      <c r="H27" s="1"/>
      <c r="I27" s="1"/>
      <c r="J27" s="1">
        <v>0.5</v>
      </c>
      <c r="K27" s="1">
        <v>13</v>
      </c>
      <c r="L27" s="1"/>
      <c r="M27" s="1"/>
      <c r="N27" s="1"/>
      <c r="O27" s="1"/>
      <c r="P27" s="1"/>
      <c r="Q27" s="1"/>
      <c r="R27" s="2">
        <v>0.5</v>
      </c>
      <c r="S27" s="1"/>
      <c r="T27" s="1"/>
      <c r="U27" s="1">
        <v>20</v>
      </c>
      <c r="V27" s="1"/>
      <c r="W27" s="1">
        <v>7</v>
      </c>
      <c r="X27" s="1">
        <v>4</v>
      </c>
      <c r="Y27" s="1"/>
      <c r="Z27" s="1"/>
      <c r="AA27" s="1"/>
      <c r="AB27" s="1"/>
      <c r="AG27" s="2">
        <v>4</v>
      </c>
      <c r="AH27" s="1"/>
      <c r="AI27" s="1"/>
      <c r="AL27" s="2">
        <v>4</v>
      </c>
      <c r="AM27" s="2">
        <v>4</v>
      </c>
      <c r="AT27" s="9" t="s">
        <v>42</v>
      </c>
      <c r="BG27" s="10" t="s">
        <v>80</v>
      </c>
      <c r="BH27" s="10" t="s">
        <v>80</v>
      </c>
      <c r="BI27" s="10" t="s">
        <v>80</v>
      </c>
      <c r="BL27" s="1"/>
      <c r="BM27" s="10" t="s">
        <v>80</v>
      </c>
      <c r="BN27" s="2">
        <v>4</v>
      </c>
      <c r="BO27" s="2" t="s">
        <v>80</v>
      </c>
      <c r="BR27" s="2">
        <v>25</v>
      </c>
      <c r="BS27" s="2">
        <v>32</v>
      </c>
      <c r="BT27" s="2">
        <v>0</v>
      </c>
      <c r="BV27" s="9" t="s">
        <v>72</v>
      </c>
    </row>
    <row r="28" spans="1:74" s="2" customFormat="1" ht="16" customHeight="1">
      <c r="A28" s="2">
        <v>2023202520</v>
      </c>
      <c r="B28" s="2" t="s">
        <v>203</v>
      </c>
      <c r="C28" s="2" t="s">
        <v>77</v>
      </c>
      <c r="D28" s="2" t="s">
        <v>108</v>
      </c>
      <c r="E28" s="2" t="s">
        <v>108</v>
      </c>
      <c r="F28" s="1">
        <f>SUM(H28:$XET28)</f>
        <v>93.5</v>
      </c>
      <c r="G28" s="10">
        <f>COUNT(H28:$XFD28)</f>
        <v>8</v>
      </c>
      <c r="H28" s="1">
        <v>3</v>
      </c>
      <c r="I28" s="1"/>
      <c r="J28" s="1"/>
      <c r="K28" s="1"/>
      <c r="L28" s="1"/>
      <c r="M28" s="1"/>
      <c r="N28" s="1"/>
      <c r="O28" s="1">
        <v>27.5</v>
      </c>
      <c r="P28" s="1"/>
      <c r="Q28" s="1"/>
      <c r="R28" s="2">
        <v>0.5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H28" s="1"/>
      <c r="AI28" s="1">
        <v>4</v>
      </c>
      <c r="AL28" s="2">
        <v>4</v>
      </c>
      <c r="AS28" s="2">
        <v>20.5</v>
      </c>
      <c r="AT28" s="9" t="s">
        <v>42</v>
      </c>
      <c r="AW28" s="2">
        <v>4</v>
      </c>
      <c r="BG28" s="10" t="s">
        <v>80</v>
      </c>
      <c r="BH28" s="10" t="s">
        <v>80</v>
      </c>
      <c r="BI28" s="10" t="s">
        <v>80</v>
      </c>
      <c r="BL28" s="1">
        <v>30</v>
      </c>
      <c r="BM28" s="10" t="s">
        <v>80</v>
      </c>
      <c r="BN28" s="2" t="s">
        <v>80</v>
      </c>
      <c r="BO28" s="2" t="s">
        <v>80</v>
      </c>
      <c r="BV28" s="9" t="s">
        <v>72</v>
      </c>
    </row>
    <row r="29" spans="1:74" s="2" customFormat="1" ht="16" customHeight="1">
      <c r="A29" s="2">
        <v>2023202501</v>
      </c>
      <c r="B29" s="2" t="s">
        <v>204</v>
      </c>
      <c r="C29" s="2" t="s">
        <v>77</v>
      </c>
      <c r="D29" s="2" t="s">
        <v>108</v>
      </c>
      <c r="E29" s="2" t="s">
        <v>108</v>
      </c>
      <c r="F29" s="1">
        <f>SUM(H29:$XET29)</f>
        <v>82</v>
      </c>
      <c r="G29" s="10">
        <f>COUNT(H29:$XFD29)</f>
        <v>12</v>
      </c>
      <c r="H29" s="1">
        <v>7</v>
      </c>
      <c r="I29" s="1"/>
      <c r="J29" s="1">
        <v>0.5</v>
      </c>
      <c r="K29" s="1">
        <v>20</v>
      </c>
      <c r="L29" s="1"/>
      <c r="M29" s="1"/>
      <c r="N29" s="1"/>
      <c r="O29" s="1"/>
      <c r="P29" s="1">
        <v>16</v>
      </c>
      <c r="Q29" s="1"/>
      <c r="R29" s="2">
        <v>0.5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E29" s="2">
        <v>7</v>
      </c>
      <c r="AH29" s="1"/>
      <c r="AI29" s="1"/>
      <c r="AL29" s="2">
        <v>4</v>
      </c>
      <c r="AN29" s="2">
        <v>2</v>
      </c>
      <c r="AT29" s="9" t="s">
        <v>42</v>
      </c>
      <c r="BB29" s="2">
        <v>16</v>
      </c>
      <c r="BG29" s="10" t="s">
        <v>80</v>
      </c>
      <c r="BH29" s="10">
        <v>3</v>
      </c>
      <c r="BI29" s="10" t="s">
        <v>80</v>
      </c>
      <c r="BL29" s="1"/>
      <c r="BM29" s="10" t="s">
        <v>80</v>
      </c>
      <c r="BN29" s="2">
        <v>4</v>
      </c>
      <c r="BO29" s="2">
        <v>2</v>
      </c>
      <c r="BV29" s="9" t="s">
        <v>72</v>
      </c>
    </row>
    <row r="30" spans="1:74" s="2" customFormat="1" ht="16" customHeight="1">
      <c r="A30" s="2">
        <v>2023202512</v>
      </c>
      <c r="B30" s="2" t="s">
        <v>205</v>
      </c>
      <c r="C30" s="2" t="s">
        <v>77</v>
      </c>
      <c r="D30" s="2" t="s">
        <v>108</v>
      </c>
      <c r="E30" s="2" t="s">
        <v>108</v>
      </c>
      <c r="F30" s="1">
        <f>SUM(H30:$XET30)</f>
        <v>125.5</v>
      </c>
      <c r="G30" s="10">
        <f>COUNT(H30:$XFD30)</f>
        <v>15</v>
      </c>
      <c r="H30" s="1">
        <v>3</v>
      </c>
      <c r="I30" s="1"/>
      <c r="J30" s="1">
        <v>0.5</v>
      </c>
      <c r="K30" s="1"/>
      <c r="L30" s="1"/>
      <c r="M30" s="1"/>
      <c r="N30" s="1"/>
      <c r="O30" s="1"/>
      <c r="P30" s="1">
        <v>16</v>
      </c>
      <c r="Q30" s="1"/>
      <c r="R30" s="2">
        <v>0.5</v>
      </c>
      <c r="S30" s="1"/>
      <c r="T30" s="1"/>
      <c r="U30" s="1">
        <v>31.5</v>
      </c>
      <c r="V30" s="1"/>
      <c r="W30" s="1"/>
      <c r="X30" s="1"/>
      <c r="Y30" s="1"/>
      <c r="Z30" s="1"/>
      <c r="AA30" s="1"/>
      <c r="AB30" s="1"/>
      <c r="AG30" s="2">
        <v>4</v>
      </c>
      <c r="AH30" s="1"/>
      <c r="AI30" s="1"/>
      <c r="AJ30" s="2">
        <v>1</v>
      </c>
      <c r="AL30" s="2">
        <v>4</v>
      </c>
      <c r="AM30" s="2">
        <v>4</v>
      </c>
      <c r="AN30" s="2">
        <v>2</v>
      </c>
      <c r="AT30" s="9" t="s">
        <v>42</v>
      </c>
      <c r="AX30" s="2">
        <v>9</v>
      </c>
      <c r="BB30" s="2">
        <v>16</v>
      </c>
      <c r="BG30" s="10" t="s">
        <v>80</v>
      </c>
      <c r="BH30" s="10" t="s">
        <v>80</v>
      </c>
      <c r="BI30" s="10" t="s">
        <v>80</v>
      </c>
      <c r="BL30" s="1">
        <v>28</v>
      </c>
      <c r="BM30" s="10" t="s">
        <v>80</v>
      </c>
      <c r="BN30" s="2">
        <v>4</v>
      </c>
      <c r="BO30" s="2">
        <v>2</v>
      </c>
      <c r="BV30" s="9" t="s">
        <v>72</v>
      </c>
    </row>
    <row r="31" spans="1:74" s="2" customFormat="1" ht="16" customHeight="1">
      <c r="A31" s="2">
        <v>2023202518</v>
      </c>
      <c r="B31" s="2" t="s">
        <v>206</v>
      </c>
      <c r="C31" s="2" t="s">
        <v>77</v>
      </c>
      <c r="D31" s="2" t="s">
        <v>108</v>
      </c>
      <c r="E31" s="2" t="s">
        <v>108</v>
      </c>
      <c r="F31" s="1">
        <f>SUM(H31:$XET31)</f>
        <v>92</v>
      </c>
      <c r="G31" s="10">
        <f>COUNT(H31:$XFD31)</f>
        <v>12</v>
      </c>
      <c r="H31" s="1"/>
      <c r="I31" s="1"/>
      <c r="J31" s="1"/>
      <c r="K31" s="1"/>
      <c r="L31" s="1"/>
      <c r="M31" s="1"/>
      <c r="N31" s="1"/>
      <c r="O31" s="1">
        <v>14</v>
      </c>
      <c r="P31" s="1">
        <v>16</v>
      </c>
      <c r="Q31" s="1"/>
      <c r="R31" s="2">
        <v>0.5</v>
      </c>
      <c r="S31" s="1"/>
      <c r="T31" s="1">
        <v>3</v>
      </c>
      <c r="U31" s="1"/>
      <c r="V31" s="1"/>
      <c r="W31" s="1"/>
      <c r="X31" s="1"/>
      <c r="Y31" s="1"/>
      <c r="Z31" s="1"/>
      <c r="AA31" s="1"/>
      <c r="AB31" s="1"/>
      <c r="AC31" s="2">
        <v>4</v>
      </c>
      <c r="AG31" s="2">
        <v>4</v>
      </c>
      <c r="AH31" s="1"/>
      <c r="AI31" s="1"/>
      <c r="AL31" s="2">
        <v>4</v>
      </c>
      <c r="AS31" s="2">
        <v>13.5</v>
      </c>
      <c r="AT31" s="9" t="s">
        <v>42</v>
      </c>
      <c r="AV31" s="2">
        <v>4</v>
      </c>
      <c r="AX31" s="2">
        <v>9</v>
      </c>
      <c r="BB31" s="2">
        <v>16</v>
      </c>
      <c r="BG31" s="10" t="s">
        <v>80</v>
      </c>
      <c r="BH31" s="10" t="s">
        <v>80</v>
      </c>
      <c r="BI31" s="10" t="s">
        <v>80</v>
      </c>
      <c r="BL31" s="1"/>
      <c r="BM31" s="10" t="s">
        <v>80</v>
      </c>
      <c r="BN31" s="2" t="s">
        <v>80</v>
      </c>
      <c r="BO31" s="2" t="s">
        <v>80</v>
      </c>
      <c r="BU31" s="2">
        <v>4</v>
      </c>
      <c r="BV31" s="9" t="s">
        <v>72</v>
      </c>
    </row>
    <row r="32" spans="1:74" s="2" customFormat="1" ht="16" customHeight="1">
      <c r="A32" s="2">
        <v>2023202504</v>
      </c>
      <c r="B32" s="2" t="s">
        <v>207</v>
      </c>
      <c r="C32" s="2" t="s">
        <v>77</v>
      </c>
      <c r="D32" s="2" t="s">
        <v>108</v>
      </c>
      <c r="E32" s="2" t="s">
        <v>108</v>
      </c>
      <c r="F32" s="1">
        <f>SUM(H32:$XET32)</f>
        <v>97.5</v>
      </c>
      <c r="G32" s="10">
        <f>COUNT(H32:$XFD32)</f>
        <v>6</v>
      </c>
      <c r="H32" s="1"/>
      <c r="I32" s="1"/>
      <c r="J32" s="1">
        <v>1</v>
      </c>
      <c r="K32" s="1"/>
      <c r="L32" s="1"/>
      <c r="M32" s="1"/>
      <c r="N32" s="1"/>
      <c r="O32" s="1"/>
      <c r="P32" s="1"/>
      <c r="Q32" s="1"/>
      <c r="R32" s="2">
        <v>0.5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H32" s="1"/>
      <c r="AI32" s="1"/>
      <c r="AL32" s="2">
        <v>4</v>
      </c>
      <c r="AM32" s="2">
        <v>4</v>
      </c>
      <c r="AP32" s="2">
        <v>84</v>
      </c>
      <c r="AT32" s="9" t="s">
        <v>42</v>
      </c>
      <c r="BG32" s="10" t="s">
        <v>80</v>
      </c>
      <c r="BH32" s="10" t="s">
        <v>80</v>
      </c>
      <c r="BI32" s="10" t="s">
        <v>80</v>
      </c>
      <c r="BL32" s="1"/>
      <c r="BM32" s="10" t="s">
        <v>80</v>
      </c>
      <c r="BN32" s="2">
        <v>4</v>
      </c>
      <c r="BO32" s="2" t="s">
        <v>80</v>
      </c>
      <c r="BV32" s="9" t="s">
        <v>72</v>
      </c>
    </row>
    <row r="33" spans="1:76" s="2" customFormat="1" ht="16" customHeight="1">
      <c r="A33" s="2">
        <v>2023202510</v>
      </c>
      <c r="B33" s="2" t="s">
        <v>208</v>
      </c>
      <c r="C33" s="2" t="s">
        <v>77</v>
      </c>
      <c r="D33" s="2" t="s">
        <v>108</v>
      </c>
      <c r="E33" s="2" t="s">
        <v>108</v>
      </c>
      <c r="F33" s="1">
        <f>SUM(H33:$XET33)</f>
        <v>100</v>
      </c>
      <c r="G33" s="10">
        <f>COUNT(H33:$XFD33)</f>
        <v>15</v>
      </c>
      <c r="H33" s="1">
        <v>40</v>
      </c>
      <c r="I33" s="1"/>
      <c r="J33" s="1">
        <v>0.5</v>
      </c>
      <c r="K33" s="1"/>
      <c r="L33" s="1"/>
      <c r="M33" s="1"/>
      <c r="N33" s="1">
        <v>2</v>
      </c>
      <c r="O33" s="1"/>
      <c r="P33" s="1"/>
      <c r="Q33" s="1"/>
      <c r="R33" s="2">
        <v>0.5</v>
      </c>
      <c r="S33" s="1"/>
      <c r="T33" s="1"/>
      <c r="U33" s="1">
        <v>24.5</v>
      </c>
      <c r="V33" s="1"/>
      <c r="W33" s="1"/>
      <c r="X33" s="1"/>
      <c r="Y33" s="1"/>
      <c r="Z33" s="1"/>
      <c r="AA33" s="1"/>
      <c r="AB33" s="1"/>
      <c r="AG33" s="2">
        <v>4</v>
      </c>
      <c r="AH33" s="1"/>
      <c r="AI33" s="1">
        <v>6</v>
      </c>
      <c r="AL33" s="2">
        <v>4</v>
      </c>
      <c r="AM33" s="2">
        <v>4</v>
      </c>
      <c r="AR33" s="2">
        <v>1.5</v>
      </c>
      <c r="AT33" s="9" t="s">
        <v>42</v>
      </c>
      <c r="AV33" s="2">
        <v>0.5</v>
      </c>
      <c r="AZ33" s="2">
        <v>2</v>
      </c>
      <c r="BC33" s="2">
        <v>4</v>
      </c>
      <c r="BD33" s="2">
        <v>5</v>
      </c>
      <c r="BG33" s="10" t="s">
        <v>80</v>
      </c>
      <c r="BH33" s="10" t="s">
        <v>80</v>
      </c>
      <c r="BI33" s="10" t="s">
        <v>80</v>
      </c>
      <c r="BL33" s="1"/>
      <c r="BM33" s="10">
        <v>1.5</v>
      </c>
      <c r="BN33" s="2" t="s">
        <v>80</v>
      </c>
      <c r="BO33" s="2" t="s">
        <v>80</v>
      </c>
      <c r="BV33" s="9" t="s">
        <v>72</v>
      </c>
    </row>
    <row r="34" spans="1:76" s="2" customFormat="1" ht="16" customHeight="1">
      <c r="A34" s="2">
        <v>2023202509</v>
      </c>
      <c r="B34" s="2" t="s">
        <v>209</v>
      </c>
      <c r="C34" s="2" t="s">
        <v>77</v>
      </c>
      <c r="D34" s="2" t="s">
        <v>108</v>
      </c>
      <c r="E34" s="2" t="s">
        <v>108</v>
      </c>
      <c r="F34" s="1">
        <f>SUM(H34:$XET34)</f>
        <v>102</v>
      </c>
      <c r="G34" s="10">
        <f>COUNT(H34:$XFD34)</f>
        <v>7</v>
      </c>
      <c r="H34" s="1">
        <v>3</v>
      </c>
      <c r="I34" s="1"/>
      <c r="J34" s="1">
        <v>1</v>
      </c>
      <c r="K34" s="1"/>
      <c r="L34" s="1"/>
      <c r="M34" s="1"/>
      <c r="N34" s="1"/>
      <c r="O34" s="1">
        <v>3</v>
      </c>
      <c r="P34" s="1"/>
      <c r="Q34" s="1"/>
      <c r="S34" s="1">
        <v>2</v>
      </c>
      <c r="T34" s="1">
        <v>5</v>
      </c>
      <c r="U34" s="1"/>
      <c r="V34" s="1"/>
      <c r="W34" s="1"/>
      <c r="X34" s="1"/>
      <c r="Y34" s="1"/>
      <c r="Z34" s="1"/>
      <c r="AA34" s="1"/>
      <c r="AB34" s="1"/>
      <c r="AD34" s="2">
        <v>84</v>
      </c>
      <c r="AH34" s="1"/>
      <c r="AI34" s="1"/>
      <c r="AL34" s="2">
        <v>4</v>
      </c>
      <c r="AT34" s="9" t="s">
        <v>42</v>
      </c>
      <c r="BG34" s="10" t="s">
        <v>80</v>
      </c>
      <c r="BH34" s="10" t="s">
        <v>80</v>
      </c>
      <c r="BI34" s="10" t="s">
        <v>80</v>
      </c>
      <c r="BL34" s="1"/>
      <c r="BM34" s="10" t="s">
        <v>80</v>
      </c>
      <c r="BN34" s="2" t="s">
        <v>80</v>
      </c>
      <c r="BO34" s="2" t="s">
        <v>80</v>
      </c>
      <c r="BV34" s="9" t="s">
        <v>72</v>
      </c>
    </row>
    <row r="35" spans="1:76" s="2" customFormat="1" ht="16" customHeight="1">
      <c r="A35" s="2">
        <v>2023202500</v>
      </c>
      <c r="B35" s="2" t="s">
        <v>210</v>
      </c>
      <c r="C35" s="2" t="s">
        <v>77</v>
      </c>
      <c r="D35" s="2" t="s">
        <v>108</v>
      </c>
      <c r="E35" s="2" t="s">
        <v>108</v>
      </c>
      <c r="F35" s="1">
        <f>SUM(H35:$XET35)</f>
        <v>73.5</v>
      </c>
      <c r="G35" s="10">
        <f>COUNT(H35:$XFD35)</f>
        <v>11</v>
      </c>
      <c r="H35" s="1"/>
      <c r="I35" s="1"/>
      <c r="J35" s="1">
        <v>2.5</v>
      </c>
      <c r="K35" s="1"/>
      <c r="L35" s="1"/>
      <c r="M35" s="1"/>
      <c r="N35" s="1"/>
      <c r="O35" s="1"/>
      <c r="P35" s="1"/>
      <c r="Q35" s="1"/>
      <c r="R35" s="2">
        <v>0.5</v>
      </c>
      <c r="S35" s="1"/>
      <c r="T35" s="1">
        <v>4</v>
      </c>
      <c r="U35" s="1">
        <v>22</v>
      </c>
      <c r="V35" s="1"/>
      <c r="W35" s="1"/>
      <c r="X35" s="1"/>
      <c r="Y35" s="1"/>
      <c r="Z35" s="1"/>
      <c r="AA35" s="1"/>
      <c r="AB35" s="1">
        <v>5</v>
      </c>
      <c r="AC35" s="2">
        <v>4</v>
      </c>
      <c r="AE35" s="2">
        <v>11</v>
      </c>
      <c r="AG35" s="2">
        <v>4</v>
      </c>
      <c r="AH35" s="1"/>
      <c r="AI35" s="1"/>
      <c r="AL35" s="2">
        <v>4</v>
      </c>
      <c r="AS35" s="2">
        <v>12.5</v>
      </c>
      <c r="AT35" s="9" t="s">
        <v>42</v>
      </c>
      <c r="BD35" s="2">
        <v>4</v>
      </c>
      <c r="BG35" s="10" t="s">
        <v>80</v>
      </c>
      <c r="BH35" s="10" t="s">
        <v>80</v>
      </c>
      <c r="BI35" s="10" t="s">
        <v>80</v>
      </c>
      <c r="BL35" s="1"/>
      <c r="BM35" s="10" t="s">
        <v>80</v>
      </c>
      <c r="BN35" s="2" t="s">
        <v>80</v>
      </c>
      <c r="BO35" s="2" t="s">
        <v>80</v>
      </c>
      <c r="BV35" s="9" t="s">
        <v>72</v>
      </c>
    </row>
    <row r="36" spans="1:76" s="2" customFormat="1" ht="16" customHeight="1">
      <c r="A36" s="2">
        <v>2023202506</v>
      </c>
      <c r="B36" s="2" t="s">
        <v>211</v>
      </c>
      <c r="C36" s="2" t="s">
        <v>77</v>
      </c>
      <c r="D36" s="2" t="s">
        <v>108</v>
      </c>
      <c r="E36" s="2" t="s">
        <v>108</v>
      </c>
      <c r="F36" s="1">
        <f>SUM(H36:$XET36)</f>
        <v>37</v>
      </c>
      <c r="G36" s="10">
        <f>COUNT(H36:$XFD36)</f>
        <v>4</v>
      </c>
      <c r="H36" s="1"/>
      <c r="I36" s="1"/>
      <c r="J36" s="1">
        <v>1</v>
      </c>
      <c r="K36" s="1"/>
      <c r="L36" s="1"/>
      <c r="M36" s="1"/>
      <c r="N36" s="1"/>
      <c r="O36" s="1">
        <v>23.5</v>
      </c>
      <c r="P36" s="1"/>
      <c r="Q36" s="1"/>
      <c r="R36" s="2">
        <v>0.5</v>
      </c>
      <c r="S36" s="1"/>
      <c r="T36" s="1"/>
      <c r="U36" s="1"/>
      <c r="V36" s="1"/>
      <c r="W36" s="1"/>
      <c r="X36" s="1"/>
      <c r="Y36" s="1"/>
      <c r="Z36" s="1"/>
      <c r="AA36" s="1">
        <v>12</v>
      </c>
      <c r="AB36" s="1"/>
      <c r="AH36" s="1"/>
      <c r="AI36" s="1"/>
      <c r="AT36" s="9" t="s">
        <v>42</v>
      </c>
      <c r="BG36" s="10" t="s">
        <v>80</v>
      </c>
      <c r="BH36" s="10" t="s">
        <v>80</v>
      </c>
      <c r="BI36" s="10" t="s">
        <v>80</v>
      </c>
      <c r="BL36" s="1"/>
      <c r="BM36" s="10" t="s">
        <v>80</v>
      </c>
      <c r="BN36" s="2" t="s">
        <v>80</v>
      </c>
      <c r="BO36" s="2" t="s">
        <v>80</v>
      </c>
      <c r="BV36" s="9" t="s">
        <v>72</v>
      </c>
    </row>
    <row r="37" spans="1:76" ht="14">
      <c r="BM37" s="4"/>
      <c r="BX37" s="2"/>
    </row>
    <row r="38" spans="1:76">
      <c r="BX38" s="2"/>
    </row>
    <row r="39" spans="1:76">
      <c r="BX39" s="2"/>
    </row>
    <row r="40" spans="1:76">
      <c r="BX40" s="2"/>
    </row>
    <row r="41" spans="1:76">
      <c r="BX41" s="2"/>
    </row>
    <row r="42" spans="1:76">
      <c r="BX42" s="2"/>
    </row>
    <row r="43" spans="1:76">
      <c r="BX43" s="2"/>
    </row>
    <row r="44" spans="1:76">
      <c r="BX44" s="2"/>
    </row>
    <row r="45" spans="1:76">
      <c r="BX45" s="2"/>
    </row>
    <row r="46" spans="1:76">
      <c r="BX46" s="2"/>
    </row>
    <row r="47" spans="1:76">
      <c r="BX47" s="2"/>
    </row>
    <row r="48" spans="1:76">
      <c r="BX48" s="2"/>
    </row>
    <row r="49" spans="76:76">
      <c r="BX49" s="2"/>
    </row>
    <row r="50" spans="76:76">
      <c r="BX50" s="2"/>
    </row>
    <row r="51" spans="76:76">
      <c r="BX51" s="2"/>
    </row>
    <row r="52" spans="76:76">
      <c r="BX52" s="2"/>
    </row>
    <row r="53" spans="76:76">
      <c r="BX53" s="2"/>
    </row>
    <row r="54" spans="76:76">
      <c r="BX54" s="2"/>
    </row>
    <row r="55" spans="76:76">
      <c r="BX55" s="2"/>
    </row>
    <row r="56" spans="76:76">
      <c r="BX56" s="2"/>
    </row>
  </sheetData>
  <phoneticPr fontId="13" type="noConversion"/>
  <pageMargins left="0.75" right="0.75" top="1" bottom="1" header="0.5" foot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56"/>
  <sheetViews>
    <sheetView zoomScale="86" zoomScaleNormal="86" workbookViewId="0">
      <pane xSplit="7" ySplit="1" topLeftCell="BI2" activePane="bottomRight" state="frozen"/>
      <selection pane="topRight"/>
      <selection pane="bottomLeft"/>
      <selection pane="bottomRight" activeCell="BM1" sqref="BM1:BM1048576"/>
    </sheetView>
  </sheetViews>
  <sheetFormatPr baseColWidth="10" defaultColWidth="9.6640625" defaultRowHeight="14"/>
  <cols>
    <col min="1" max="1" width="13" style="4" hidden="1" customWidth="1"/>
    <col min="2" max="2" width="12.33203125" style="4" customWidth="1"/>
    <col min="3" max="3" width="7.83203125" style="4"/>
    <col min="4" max="4" width="24.33203125" style="4" customWidth="1"/>
    <col min="5" max="6" width="7.83203125" style="4"/>
    <col min="7" max="7" width="9.6640625" style="4"/>
    <col min="8" max="8" width="20.5" style="4" customWidth="1"/>
    <col min="9" max="9" width="10.83203125" style="4" customWidth="1"/>
    <col min="10" max="10" width="19.5" style="4" customWidth="1"/>
    <col min="11" max="11" width="11" style="4" customWidth="1"/>
    <col min="12" max="13" width="11.5" style="4" customWidth="1"/>
    <col min="14" max="14" width="18.83203125" style="4" customWidth="1"/>
    <col min="15" max="15" width="9.5" style="4" customWidth="1"/>
    <col min="16" max="16" width="11.5" style="4" customWidth="1"/>
    <col min="17" max="17" width="20.5" style="4" customWidth="1"/>
    <col min="18" max="18" width="14.83203125" style="4" customWidth="1"/>
    <col min="19" max="19" width="14.33203125" style="4" customWidth="1"/>
    <col min="20" max="20" width="9.6640625" style="4" customWidth="1"/>
    <col min="21" max="21" width="7.83203125" style="4"/>
    <col min="22" max="22" width="10.6640625" style="4" customWidth="1"/>
    <col min="23" max="23" width="10.33203125" style="4" customWidth="1"/>
    <col min="24" max="24" width="20" style="4" customWidth="1"/>
    <col min="25" max="25" width="7.83203125" style="4"/>
    <col min="26" max="27" width="15" style="4" customWidth="1"/>
    <col min="28" max="28" width="10.5" style="4" customWidth="1"/>
    <col min="29" max="29" width="14.1640625" style="4" customWidth="1"/>
    <col min="30" max="37" width="9.6640625" style="4"/>
    <col min="38" max="38" width="8.6640625" style="4" customWidth="1"/>
    <col min="39" max="40" width="9.6640625" style="4"/>
    <col min="41" max="41" width="14.6640625" style="4" customWidth="1"/>
    <col min="42" max="42" width="11.33203125" style="4" customWidth="1"/>
    <col min="43" max="43" width="13" style="4" customWidth="1"/>
    <col min="44" max="50" width="9.6640625" style="4"/>
    <col min="51" max="51" width="13.33203125" style="4" customWidth="1"/>
    <col min="52" max="54" width="9.6640625" style="4"/>
    <col min="55" max="55" width="16.6640625" style="4" customWidth="1"/>
    <col min="56" max="56" width="15.6640625" style="4" customWidth="1"/>
    <col min="57" max="57" width="16.1640625" style="4" customWidth="1"/>
    <col min="58" max="60" width="9.6640625" style="4"/>
    <col min="61" max="61" width="10.83203125" style="4" customWidth="1"/>
    <col min="62" max="62" width="13.5" style="4" customWidth="1"/>
    <col min="63" max="63" width="8.6640625" style="4" customWidth="1"/>
    <col min="64" max="16384" width="9.6640625" style="4"/>
  </cols>
  <sheetData>
    <row r="1" spans="1:64" s="1" customFormat="1" ht="23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1" t="s">
        <v>212</v>
      </c>
      <c r="J1" s="1" t="s">
        <v>8</v>
      </c>
      <c r="K1" s="1" t="s">
        <v>9</v>
      </c>
      <c r="L1" s="1" t="s">
        <v>168</v>
      </c>
      <c r="M1" s="1" t="s">
        <v>12</v>
      </c>
      <c r="N1" s="1" t="s">
        <v>13</v>
      </c>
      <c r="O1" s="1" t="s">
        <v>111</v>
      </c>
      <c r="P1" s="1" t="s">
        <v>17</v>
      </c>
      <c r="Q1" s="1" t="s">
        <v>169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113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116</v>
      </c>
      <c r="AI1" s="1" t="s">
        <v>38</v>
      </c>
      <c r="AJ1" s="1" t="s">
        <v>40</v>
      </c>
      <c r="AK1" s="1" t="s">
        <v>41</v>
      </c>
      <c r="AL1" s="9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49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2" t="s">
        <v>56</v>
      </c>
      <c r="AY1" s="10" t="s">
        <v>61</v>
      </c>
      <c r="AZ1" s="10" t="s">
        <v>62</v>
      </c>
      <c r="BA1" s="10" t="s">
        <v>63</v>
      </c>
      <c r="BB1" s="1" t="s">
        <v>64</v>
      </c>
      <c r="BC1" s="1" t="s">
        <v>65</v>
      </c>
      <c r="BD1" s="1" t="s">
        <v>66</v>
      </c>
      <c r="BE1" s="1" t="s">
        <v>213</v>
      </c>
      <c r="BF1" s="1" t="s">
        <v>67</v>
      </c>
      <c r="BG1" s="1" t="s">
        <v>69</v>
      </c>
      <c r="BH1" s="1" t="s">
        <v>214</v>
      </c>
      <c r="BI1" s="1" t="s">
        <v>215</v>
      </c>
      <c r="BJ1" s="1" t="s">
        <v>216</v>
      </c>
      <c r="BK1" s="9" t="s">
        <v>72</v>
      </c>
      <c r="BL1" s="1" t="s">
        <v>75</v>
      </c>
    </row>
    <row r="2" spans="1:64" s="2" customFormat="1" ht="16" customHeight="1">
      <c r="A2" s="2">
        <v>2023202534</v>
      </c>
      <c r="B2" s="2" t="s">
        <v>217</v>
      </c>
      <c r="C2" s="2" t="s">
        <v>82</v>
      </c>
      <c r="D2" s="2" t="s">
        <v>164</v>
      </c>
      <c r="E2" s="2" t="s">
        <v>218</v>
      </c>
      <c r="F2" s="1">
        <f>SUM(H2:$XEQ2)</f>
        <v>37.5</v>
      </c>
      <c r="G2" s="10">
        <f>COUNT(H2:$XFA2)</f>
        <v>8</v>
      </c>
      <c r="H2" s="1"/>
      <c r="I2" s="1">
        <v>2</v>
      </c>
      <c r="J2" s="1"/>
      <c r="K2" s="1"/>
      <c r="L2" s="1"/>
      <c r="M2" s="1"/>
      <c r="N2" s="1">
        <v>16</v>
      </c>
      <c r="O2" s="2">
        <v>0.5</v>
      </c>
      <c r="P2" s="1">
        <v>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E2" s="2">
        <v>4</v>
      </c>
      <c r="AG2" s="2">
        <v>2</v>
      </c>
      <c r="AL2" s="9" t="s">
        <v>42</v>
      </c>
      <c r="AY2" s="10" t="s">
        <v>80</v>
      </c>
      <c r="AZ2" s="10" t="s">
        <v>80</v>
      </c>
      <c r="BC2" s="1"/>
      <c r="BD2" s="2" t="s">
        <v>80</v>
      </c>
      <c r="BF2" s="2">
        <v>2</v>
      </c>
      <c r="BK2" s="9" t="s">
        <v>72</v>
      </c>
      <c r="BL2" s="2">
        <v>6</v>
      </c>
    </row>
    <row r="3" spans="1:64" s="2" customFormat="1" ht="16" customHeight="1">
      <c r="A3" s="2">
        <v>2023202544</v>
      </c>
      <c r="B3" s="2" t="s">
        <v>219</v>
      </c>
      <c r="C3" s="2" t="s">
        <v>77</v>
      </c>
      <c r="D3" s="2" t="s">
        <v>164</v>
      </c>
      <c r="E3" s="2" t="s">
        <v>218</v>
      </c>
      <c r="F3" s="1">
        <f>SUM(H3:$XEQ3)</f>
        <v>91.5</v>
      </c>
      <c r="G3" s="10">
        <f>COUNT(H3:$XFA3)</f>
        <v>15</v>
      </c>
      <c r="H3" s="1">
        <v>4</v>
      </c>
      <c r="I3" s="1"/>
      <c r="J3" s="1">
        <v>0.5</v>
      </c>
      <c r="K3" s="1">
        <v>18</v>
      </c>
      <c r="L3" s="1"/>
      <c r="M3" s="1"/>
      <c r="N3" s="1">
        <v>16</v>
      </c>
      <c r="O3" s="2">
        <v>0.5</v>
      </c>
      <c r="P3" s="1">
        <v>2</v>
      </c>
      <c r="Q3" s="1"/>
      <c r="R3" s="1">
        <v>5</v>
      </c>
      <c r="S3" s="1"/>
      <c r="T3" s="1"/>
      <c r="U3" s="1"/>
      <c r="V3" s="1"/>
      <c r="W3" s="1"/>
      <c r="X3" s="1">
        <v>4</v>
      </c>
      <c r="Y3" s="1"/>
      <c r="Z3" s="1"/>
      <c r="AA3" s="1"/>
      <c r="AB3" s="1"/>
      <c r="AC3" s="1">
        <v>1</v>
      </c>
      <c r="AE3" s="2">
        <v>4</v>
      </c>
      <c r="AF3" s="2">
        <v>4</v>
      </c>
      <c r="AG3" s="2">
        <v>2</v>
      </c>
      <c r="AJ3" s="2">
        <v>24.5</v>
      </c>
      <c r="AL3" s="9" t="s">
        <v>42</v>
      </c>
      <c r="AY3" s="10" t="s">
        <v>80</v>
      </c>
      <c r="AZ3" s="10" t="s">
        <v>80</v>
      </c>
      <c r="BC3" s="1"/>
      <c r="BD3" s="2">
        <v>4</v>
      </c>
      <c r="BF3" s="2">
        <v>2</v>
      </c>
      <c r="BK3" s="9" t="s">
        <v>72</v>
      </c>
    </row>
    <row r="4" spans="1:64" s="2" customFormat="1" ht="16" customHeight="1">
      <c r="A4" s="2">
        <v>2023202552</v>
      </c>
      <c r="B4" s="13" t="s">
        <v>163</v>
      </c>
      <c r="C4" s="2" t="s">
        <v>77</v>
      </c>
      <c r="D4" s="2" t="s">
        <v>164</v>
      </c>
      <c r="E4" s="2" t="s">
        <v>218</v>
      </c>
      <c r="F4" s="1">
        <f>SUM(H4:$XEQ4)</f>
        <v>9.5</v>
      </c>
      <c r="G4" s="10">
        <f>COUNT(H4:$XFA4)</f>
        <v>2</v>
      </c>
      <c r="H4" s="1"/>
      <c r="I4" s="1"/>
      <c r="J4" s="1"/>
      <c r="K4" s="1"/>
      <c r="L4" s="1"/>
      <c r="M4" s="1"/>
      <c r="N4" s="1"/>
      <c r="O4" s="2">
        <v>0.5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L4" s="9" t="s">
        <v>42</v>
      </c>
      <c r="AM4" s="2">
        <v>9</v>
      </c>
      <c r="AY4" s="10" t="s">
        <v>80</v>
      </c>
      <c r="AZ4" s="10" t="s">
        <v>80</v>
      </c>
      <c r="BC4" s="1"/>
      <c r="BD4" s="2" t="s">
        <v>80</v>
      </c>
      <c r="BF4" s="2" t="s">
        <v>80</v>
      </c>
      <c r="BK4" s="9" t="s">
        <v>72</v>
      </c>
    </row>
    <row r="5" spans="1:64" s="2" customFormat="1" ht="14" customHeight="1">
      <c r="A5" s="2">
        <v>2023202546</v>
      </c>
      <c r="B5" s="2" t="s">
        <v>220</v>
      </c>
      <c r="C5" s="2" t="s">
        <v>82</v>
      </c>
      <c r="D5" s="2" t="s">
        <v>164</v>
      </c>
      <c r="E5" s="2" t="s">
        <v>218</v>
      </c>
      <c r="F5" s="1">
        <f>SUM(H5:$XEQ5)</f>
        <v>71.5</v>
      </c>
      <c r="G5" s="10">
        <f>COUNT(H5:$XFA5)</f>
        <v>12</v>
      </c>
      <c r="H5" s="1"/>
      <c r="I5" s="1"/>
      <c r="J5" s="1"/>
      <c r="K5" s="1"/>
      <c r="L5" s="1"/>
      <c r="M5" s="1"/>
      <c r="N5" s="1">
        <v>16</v>
      </c>
      <c r="O5" s="2">
        <v>0.5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E5" s="2">
        <v>4</v>
      </c>
      <c r="AF5" s="2">
        <v>4</v>
      </c>
      <c r="AG5" s="2">
        <v>2</v>
      </c>
      <c r="AH5" s="2">
        <v>4</v>
      </c>
      <c r="AL5" s="9" t="s">
        <v>42</v>
      </c>
      <c r="AU5" s="2">
        <v>16</v>
      </c>
      <c r="AY5" s="10" t="s">
        <v>80</v>
      </c>
      <c r="AZ5" s="10" t="s">
        <v>80</v>
      </c>
      <c r="BB5" s="2">
        <v>5</v>
      </c>
      <c r="BC5" s="1"/>
      <c r="BD5" s="2">
        <v>4</v>
      </c>
      <c r="BE5" s="2">
        <v>10</v>
      </c>
      <c r="BF5" s="2">
        <v>4</v>
      </c>
      <c r="BI5" s="2">
        <v>2</v>
      </c>
      <c r="BK5" s="9" t="s">
        <v>72</v>
      </c>
    </row>
    <row r="6" spans="1:64" s="2" customFormat="1" ht="16" customHeight="1">
      <c r="A6" s="2">
        <v>2023202543</v>
      </c>
      <c r="B6" s="2" t="s">
        <v>221</v>
      </c>
      <c r="C6" s="2" t="s">
        <v>82</v>
      </c>
      <c r="D6" s="2" t="s">
        <v>164</v>
      </c>
      <c r="E6" s="2" t="s">
        <v>218</v>
      </c>
      <c r="F6" s="1">
        <f>SUM(H6:$XEQ6)</f>
        <v>11.5</v>
      </c>
      <c r="G6" s="10">
        <f>COUNT(H6:$XFA6)</f>
        <v>3</v>
      </c>
      <c r="H6" s="1"/>
      <c r="I6" s="1"/>
      <c r="J6" s="1"/>
      <c r="K6" s="1"/>
      <c r="L6" s="1"/>
      <c r="M6" s="1"/>
      <c r="N6" s="1"/>
      <c r="O6" s="2">
        <v>0.5</v>
      </c>
      <c r="P6" s="1">
        <v>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L6" s="9" t="s">
        <v>42</v>
      </c>
      <c r="AW6" s="2">
        <v>6</v>
      </c>
      <c r="AY6" s="10" t="s">
        <v>80</v>
      </c>
      <c r="AZ6" s="10" t="s">
        <v>80</v>
      </c>
      <c r="BC6" s="1"/>
      <c r="BD6" s="2" t="s">
        <v>80</v>
      </c>
      <c r="BF6" s="2" t="s">
        <v>80</v>
      </c>
      <c r="BK6" s="9" t="s">
        <v>72</v>
      </c>
    </row>
    <row r="7" spans="1:64" s="2" customFormat="1" ht="16" customHeight="1">
      <c r="A7" s="2">
        <v>2023202539</v>
      </c>
      <c r="B7" s="2" t="s">
        <v>222</v>
      </c>
      <c r="C7" s="2" t="s">
        <v>77</v>
      </c>
      <c r="D7" s="2" t="s">
        <v>164</v>
      </c>
      <c r="E7" s="2" t="s">
        <v>218</v>
      </c>
      <c r="F7" s="1">
        <f>SUM(H7:$XEQ7)</f>
        <v>76.5</v>
      </c>
      <c r="G7" s="10">
        <f>COUNT(H7:$XFA7)</f>
        <v>11</v>
      </c>
      <c r="H7" s="1"/>
      <c r="I7" s="1"/>
      <c r="J7" s="1"/>
      <c r="K7" s="1"/>
      <c r="L7" s="1"/>
      <c r="M7" s="1"/>
      <c r="N7" s="1"/>
      <c r="O7" s="2">
        <v>0.5</v>
      </c>
      <c r="P7" s="1">
        <v>5</v>
      </c>
      <c r="Q7" s="1">
        <v>20</v>
      </c>
      <c r="R7" s="1"/>
      <c r="S7" s="1"/>
      <c r="T7" s="1">
        <v>3</v>
      </c>
      <c r="U7" s="1">
        <v>4</v>
      </c>
      <c r="V7" s="1"/>
      <c r="W7" s="1"/>
      <c r="X7" s="1">
        <v>6</v>
      </c>
      <c r="Y7" s="1"/>
      <c r="Z7" s="1"/>
      <c r="AA7" s="1"/>
      <c r="AB7" s="1"/>
      <c r="AC7" s="1"/>
      <c r="AE7" s="2">
        <v>4</v>
      </c>
      <c r="AF7" s="2">
        <v>4</v>
      </c>
      <c r="AK7" s="2">
        <v>24</v>
      </c>
      <c r="AL7" s="9" t="s">
        <v>42</v>
      </c>
      <c r="AR7" s="2">
        <v>2</v>
      </c>
      <c r="AY7" s="10" t="s">
        <v>80</v>
      </c>
      <c r="AZ7" s="10" t="s">
        <v>80</v>
      </c>
      <c r="BC7" s="1"/>
      <c r="BD7" s="2">
        <v>4</v>
      </c>
      <c r="BF7" s="2" t="s">
        <v>80</v>
      </c>
      <c r="BK7" s="9" t="s">
        <v>72</v>
      </c>
    </row>
    <row r="8" spans="1:64" s="2" customFormat="1" ht="16" customHeight="1">
      <c r="A8" s="2">
        <v>2023202536</v>
      </c>
      <c r="B8" s="2" t="s">
        <v>223</v>
      </c>
      <c r="C8" s="2" t="s">
        <v>77</v>
      </c>
      <c r="D8" s="2" t="s">
        <v>164</v>
      </c>
      <c r="E8" s="2" t="s">
        <v>218</v>
      </c>
      <c r="F8" s="1">
        <f>SUM(H8:$XEQ8)</f>
        <v>115.5</v>
      </c>
      <c r="G8" s="10">
        <f>COUNT(H8:$XFA8)</f>
        <v>11</v>
      </c>
      <c r="H8" s="1"/>
      <c r="I8" s="1"/>
      <c r="J8" s="1">
        <v>0.5</v>
      </c>
      <c r="K8" s="1"/>
      <c r="L8" s="1"/>
      <c r="M8" s="1"/>
      <c r="N8" s="1"/>
      <c r="O8" s="2">
        <v>3.5</v>
      </c>
      <c r="P8" s="1">
        <v>5</v>
      </c>
      <c r="Q8" s="1">
        <v>20</v>
      </c>
      <c r="R8" s="1"/>
      <c r="S8" s="1"/>
      <c r="T8" s="1"/>
      <c r="U8" s="1"/>
      <c r="V8" s="1"/>
      <c r="W8" s="1"/>
      <c r="X8" s="1">
        <v>4</v>
      </c>
      <c r="Y8" s="1"/>
      <c r="Z8" s="1"/>
      <c r="AA8" s="1"/>
      <c r="AB8" s="1"/>
      <c r="AC8" s="1"/>
      <c r="AE8" s="2">
        <v>4</v>
      </c>
      <c r="AG8" s="2">
        <v>4</v>
      </c>
      <c r="AL8" s="9" t="s">
        <v>42</v>
      </c>
      <c r="AM8" s="2">
        <v>10</v>
      </c>
      <c r="AR8" s="2">
        <v>0.5</v>
      </c>
      <c r="AY8" s="10" t="s">
        <v>80</v>
      </c>
      <c r="AZ8" s="10" t="s">
        <v>80</v>
      </c>
      <c r="BC8" s="1">
        <v>60</v>
      </c>
      <c r="BD8" s="2" t="s">
        <v>80</v>
      </c>
      <c r="BF8" s="2">
        <v>4</v>
      </c>
      <c r="BK8" s="9" t="s">
        <v>72</v>
      </c>
    </row>
    <row r="9" spans="1:64" s="2" customFormat="1" ht="16" customHeight="1">
      <c r="A9" s="2">
        <v>2023202541</v>
      </c>
      <c r="B9" s="2" t="s">
        <v>224</v>
      </c>
      <c r="C9" s="2" t="s">
        <v>82</v>
      </c>
      <c r="D9" s="2" t="s">
        <v>164</v>
      </c>
      <c r="E9" s="2" t="s">
        <v>218</v>
      </c>
      <c r="F9" s="1">
        <f>SUM(H9:$XEQ9)</f>
        <v>48</v>
      </c>
      <c r="G9" s="10">
        <f>COUNT(H9:$XFA9)</f>
        <v>7</v>
      </c>
      <c r="H9" s="1"/>
      <c r="I9" s="1"/>
      <c r="J9" s="1"/>
      <c r="K9" s="1"/>
      <c r="L9" s="1"/>
      <c r="M9" s="1"/>
      <c r="N9" s="1">
        <v>16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E9" s="2">
        <v>4</v>
      </c>
      <c r="AF9" s="2">
        <v>4</v>
      </c>
      <c r="AG9" s="2">
        <v>2</v>
      </c>
      <c r="AL9" s="9" t="s">
        <v>42</v>
      </c>
      <c r="AU9" s="2">
        <v>16</v>
      </c>
      <c r="AY9" s="10" t="s">
        <v>80</v>
      </c>
      <c r="AZ9" s="10" t="s">
        <v>80</v>
      </c>
      <c r="BC9" s="1"/>
      <c r="BD9" s="2">
        <v>4</v>
      </c>
      <c r="BF9" s="2">
        <v>2</v>
      </c>
      <c r="BK9" s="9" t="s">
        <v>72</v>
      </c>
    </row>
    <row r="10" spans="1:64" s="2" customFormat="1" ht="16" customHeight="1">
      <c r="A10" s="2">
        <v>2023202549</v>
      </c>
      <c r="B10" s="2" t="s">
        <v>225</v>
      </c>
      <c r="C10" s="2" t="s">
        <v>82</v>
      </c>
      <c r="D10" s="2" t="s">
        <v>164</v>
      </c>
      <c r="E10" s="2" t="s">
        <v>218</v>
      </c>
      <c r="F10" s="1">
        <f>SUM(H10:$XEQ10)</f>
        <v>20.5</v>
      </c>
      <c r="G10" s="10">
        <f>COUNT(H10:$XFA10)</f>
        <v>4</v>
      </c>
      <c r="H10" s="1"/>
      <c r="I10" s="1"/>
      <c r="J10" s="1"/>
      <c r="K10" s="1"/>
      <c r="L10" s="1"/>
      <c r="M10" s="1"/>
      <c r="N10" s="1">
        <v>16</v>
      </c>
      <c r="O10" s="2">
        <v>0.5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G10" s="2">
        <v>2</v>
      </c>
      <c r="AL10" s="9" t="s">
        <v>42</v>
      </c>
      <c r="AY10" s="10" t="s">
        <v>80</v>
      </c>
      <c r="AZ10" s="10" t="s">
        <v>80</v>
      </c>
      <c r="BC10" s="1"/>
      <c r="BD10" s="2" t="s">
        <v>80</v>
      </c>
      <c r="BF10" s="2">
        <v>2</v>
      </c>
      <c r="BK10" s="9" t="s">
        <v>72</v>
      </c>
    </row>
    <row r="11" spans="1:64" s="2" customFormat="1" ht="16" customHeight="1">
      <c r="A11" s="2">
        <v>2023202550</v>
      </c>
      <c r="B11" s="2" t="s">
        <v>226</v>
      </c>
      <c r="C11" s="2" t="s">
        <v>77</v>
      </c>
      <c r="D11" s="2" t="s">
        <v>164</v>
      </c>
      <c r="E11" s="2" t="s">
        <v>218</v>
      </c>
      <c r="F11" s="1">
        <f>SUM(H11:$XEQ11)</f>
        <v>126</v>
      </c>
      <c r="G11" s="10">
        <f>COUNT(H11:$XFA11)</f>
        <v>8</v>
      </c>
      <c r="H11" s="1"/>
      <c r="I11" s="1"/>
      <c r="J11" s="1">
        <v>0.5</v>
      </c>
      <c r="K11" s="1"/>
      <c r="L11" s="1"/>
      <c r="M11" s="1"/>
      <c r="N11" s="1">
        <v>16</v>
      </c>
      <c r="O11" s="2">
        <v>0.5</v>
      </c>
      <c r="P11" s="1"/>
      <c r="Q11" s="1">
        <v>20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K11" s="2">
        <v>60</v>
      </c>
      <c r="AL11" s="9" t="s">
        <v>42</v>
      </c>
      <c r="AP11" s="2">
        <v>9</v>
      </c>
      <c r="AU11" s="2">
        <v>16</v>
      </c>
      <c r="AV11" s="2">
        <v>4</v>
      </c>
      <c r="AY11" s="10" t="s">
        <v>80</v>
      </c>
      <c r="AZ11" s="10" t="s">
        <v>80</v>
      </c>
      <c r="BC11" s="1"/>
      <c r="BD11" s="2" t="s">
        <v>80</v>
      </c>
      <c r="BF11" s="2" t="s">
        <v>80</v>
      </c>
      <c r="BK11" s="9" t="s">
        <v>72</v>
      </c>
    </row>
    <row r="12" spans="1:64" s="2" customFormat="1" ht="16" customHeight="1">
      <c r="A12" s="2">
        <v>2023202555</v>
      </c>
      <c r="B12" s="2" t="s">
        <v>227</v>
      </c>
      <c r="C12" s="2" t="s">
        <v>82</v>
      </c>
      <c r="D12" s="2" t="s">
        <v>164</v>
      </c>
      <c r="E12" s="2" t="s">
        <v>218</v>
      </c>
      <c r="F12" s="1">
        <f>SUM(H12:$XEQ12)</f>
        <v>0</v>
      </c>
      <c r="G12" s="10">
        <f>COUNT(H12:$XFA12)</f>
        <v>0</v>
      </c>
      <c r="H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L12" s="9" t="s">
        <v>42</v>
      </c>
      <c r="AY12" s="10" t="s">
        <v>80</v>
      </c>
      <c r="AZ12" s="10" t="s">
        <v>80</v>
      </c>
      <c r="BC12" s="1"/>
      <c r="BD12" s="2" t="s">
        <v>80</v>
      </c>
      <c r="BF12" s="2" t="s">
        <v>80</v>
      </c>
      <c r="BK12" s="9" t="s">
        <v>72</v>
      </c>
    </row>
    <row r="13" spans="1:64" s="2" customFormat="1" ht="16" customHeight="1">
      <c r="A13" s="2">
        <v>2023202548</v>
      </c>
      <c r="B13" s="2" t="s">
        <v>228</v>
      </c>
      <c r="C13" s="2" t="s">
        <v>82</v>
      </c>
      <c r="D13" s="2" t="s">
        <v>164</v>
      </c>
      <c r="E13" s="2" t="s">
        <v>218</v>
      </c>
      <c r="F13" s="1">
        <f>SUM(H13:$XEQ13)</f>
        <v>63.5</v>
      </c>
      <c r="G13" s="10">
        <f>COUNT(H13:$XFA13)</f>
        <v>11</v>
      </c>
      <c r="H13" s="1"/>
      <c r="I13" s="1"/>
      <c r="J13" s="1"/>
      <c r="K13" s="1"/>
      <c r="L13" s="1"/>
      <c r="M13" s="1">
        <v>5</v>
      </c>
      <c r="N13" s="1"/>
      <c r="O13" s="2">
        <v>0.5</v>
      </c>
      <c r="P13" s="1"/>
      <c r="Q13" s="1"/>
      <c r="R13" s="1"/>
      <c r="S13" s="1">
        <v>10</v>
      </c>
      <c r="T13" s="1"/>
      <c r="U13" s="1"/>
      <c r="V13" s="1"/>
      <c r="W13" s="1"/>
      <c r="X13" s="1">
        <v>4</v>
      </c>
      <c r="Y13" s="1"/>
      <c r="Z13" s="1"/>
      <c r="AA13" s="1"/>
      <c r="AB13" s="1"/>
      <c r="AC13" s="1"/>
      <c r="AE13" s="2">
        <v>4</v>
      </c>
      <c r="AF13" s="2">
        <v>4</v>
      </c>
      <c r="AG13" s="2">
        <v>2</v>
      </c>
      <c r="AI13" s="2">
        <v>12</v>
      </c>
      <c r="AL13" s="9" t="s">
        <v>42</v>
      </c>
      <c r="AU13" s="2">
        <v>16</v>
      </c>
      <c r="AY13" s="10" t="s">
        <v>80</v>
      </c>
      <c r="AZ13" s="10" t="s">
        <v>80</v>
      </c>
      <c r="BC13" s="1"/>
      <c r="BD13" s="2">
        <v>4</v>
      </c>
      <c r="BF13" s="2">
        <v>2</v>
      </c>
      <c r="BK13" s="9" t="s">
        <v>72</v>
      </c>
    </row>
    <row r="14" spans="1:64" s="2" customFormat="1" ht="15.75" customHeight="1">
      <c r="A14" s="2">
        <v>2023202553</v>
      </c>
      <c r="B14" s="2" t="s">
        <v>229</v>
      </c>
      <c r="C14" s="2" t="s">
        <v>82</v>
      </c>
      <c r="D14" s="2" t="s">
        <v>164</v>
      </c>
      <c r="E14" s="2" t="s">
        <v>218</v>
      </c>
      <c r="F14" s="1">
        <f>SUM(H14:$XEQ14)</f>
        <v>82</v>
      </c>
      <c r="G14" s="10">
        <f>COUNT(H14:$XFA14)</f>
        <v>2</v>
      </c>
      <c r="H14" s="1"/>
      <c r="I14" s="1"/>
      <c r="J14" s="1"/>
      <c r="K14" s="1"/>
      <c r="L14" s="1"/>
      <c r="M14" s="1"/>
      <c r="N14" s="1"/>
      <c r="P14" s="1"/>
      <c r="Q14" s="1"/>
      <c r="R14" s="1"/>
      <c r="S14" s="1"/>
      <c r="T14" s="1"/>
      <c r="U14" s="1"/>
      <c r="V14" s="1"/>
      <c r="W14" s="1"/>
      <c r="X14" s="1">
        <v>4</v>
      </c>
      <c r="Y14" s="1"/>
      <c r="Z14" s="1"/>
      <c r="AA14" s="1"/>
      <c r="AB14" s="1"/>
      <c r="AC14" s="1"/>
      <c r="AK14" s="2">
        <v>78</v>
      </c>
      <c r="AL14" s="9" t="s">
        <v>42</v>
      </c>
      <c r="AY14" s="10" t="s">
        <v>80</v>
      </c>
      <c r="AZ14" s="10" t="s">
        <v>80</v>
      </c>
      <c r="BC14" s="1"/>
      <c r="BD14" s="2" t="s">
        <v>80</v>
      </c>
      <c r="BF14" s="2" t="s">
        <v>80</v>
      </c>
      <c r="BK14" s="9" t="s">
        <v>72</v>
      </c>
    </row>
    <row r="15" spans="1:64" s="2" customFormat="1" ht="15.75" customHeight="1">
      <c r="A15" s="2">
        <v>2023202545</v>
      </c>
      <c r="B15" s="2" t="s">
        <v>230</v>
      </c>
      <c r="C15" s="2" t="s">
        <v>77</v>
      </c>
      <c r="D15" s="2" t="s">
        <v>164</v>
      </c>
      <c r="E15" s="2" t="s">
        <v>218</v>
      </c>
      <c r="F15" s="1">
        <f>SUM(H15:$XEQ15)</f>
        <v>49.5</v>
      </c>
      <c r="G15" s="10">
        <f>COUNT(H15:$XFA15)</f>
        <v>12</v>
      </c>
      <c r="H15" s="1"/>
      <c r="I15" s="1"/>
      <c r="J15" s="1">
        <v>0.5</v>
      </c>
      <c r="K15" s="1"/>
      <c r="L15" s="1"/>
      <c r="M15" s="1"/>
      <c r="N15" s="1"/>
      <c r="O15" s="2">
        <v>0.5</v>
      </c>
      <c r="P15" s="1">
        <v>5</v>
      </c>
      <c r="Q15" s="1"/>
      <c r="R15" s="1"/>
      <c r="S15" s="1"/>
      <c r="T15" s="1"/>
      <c r="U15" s="1">
        <v>4</v>
      </c>
      <c r="V15" s="1"/>
      <c r="W15" s="1"/>
      <c r="X15" s="1"/>
      <c r="Y15" s="1"/>
      <c r="Z15" s="1"/>
      <c r="AA15" s="1"/>
      <c r="AB15" s="1"/>
      <c r="AC15" s="1"/>
      <c r="AE15" s="2">
        <v>4</v>
      </c>
      <c r="AK15" s="2">
        <v>14</v>
      </c>
      <c r="AL15" s="9" t="s">
        <v>42</v>
      </c>
      <c r="AO15" s="2">
        <v>3</v>
      </c>
      <c r="AR15" s="2">
        <v>1.5</v>
      </c>
      <c r="AV15" s="2">
        <v>4</v>
      </c>
      <c r="AW15" s="2">
        <v>5</v>
      </c>
      <c r="AX15" s="2">
        <v>6</v>
      </c>
      <c r="AY15" s="10" t="s">
        <v>80</v>
      </c>
      <c r="AZ15" s="10">
        <v>2</v>
      </c>
      <c r="BC15" s="1"/>
      <c r="BD15" s="2" t="s">
        <v>80</v>
      </c>
      <c r="BF15" s="2" t="s">
        <v>80</v>
      </c>
      <c r="BK15" s="9" t="s">
        <v>72</v>
      </c>
    </row>
    <row r="16" spans="1:64" s="2" customFormat="1" ht="16" customHeight="1">
      <c r="A16" s="2">
        <v>2023202537</v>
      </c>
      <c r="B16" s="2" t="s">
        <v>231</v>
      </c>
      <c r="C16" s="2" t="s">
        <v>82</v>
      </c>
      <c r="D16" s="2" t="s">
        <v>164</v>
      </c>
      <c r="E16" s="2" t="s">
        <v>218</v>
      </c>
      <c r="F16" s="1">
        <f>SUM(H16:$XEQ16)</f>
        <v>44</v>
      </c>
      <c r="G16" s="10">
        <f>COUNT(H16:$XFA16)</f>
        <v>8</v>
      </c>
      <c r="H16" s="1">
        <v>4</v>
      </c>
      <c r="I16" s="1"/>
      <c r="J16" s="1"/>
      <c r="K16" s="1"/>
      <c r="L16" s="1"/>
      <c r="M16" s="1"/>
      <c r="N16" s="1"/>
      <c r="P16" s="1"/>
      <c r="Q16" s="1">
        <v>20</v>
      </c>
      <c r="R16" s="1"/>
      <c r="S16" s="1"/>
      <c r="T16" s="1"/>
      <c r="U16" s="1"/>
      <c r="V16" s="1"/>
      <c r="W16" s="1"/>
      <c r="X16" s="1">
        <v>4</v>
      </c>
      <c r="Y16" s="1"/>
      <c r="Z16" s="1"/>
      <c r="AA16" s="1"/>
      <c r="AB16" s="1"/>
      <c r="AC16" s="1"/>
      <c r="AE16" s="2">
        <v>4</v>
      </c>
      <c r="AF16" s="2">
        <v>4</v>
      </c>
      <c r="AG16" s="2">
        <v>2</v>
      </c>
      <c r="AL16" s="9" t="s">
        <v>42</v>
      </c>
      <c r="AY16" s="10" t="s">
        <v>80</v>
      </c>
      <c r="AZ16" s="10" t="s">
        <v>80</v>
      </c>
      <c r="BC16" s="1"/>
      <c r="BD16" s="2">
        <v>4</v>
      </c>
      <c r="BF16" s="2">
        <v>2</v>
      </c>
      <c r="BK16" s="9" t="s">
        <v>72</v>
      </c>
    </row>
    <row r="17" spans="1:65" s="2" customFormat="1" ht="16" customHeight="1">
      <c r="A17" s="2">
        <v>2023202554</v>
      </c>
      <c r="B17" s="2" t="s">
        <v>232</v>
      </c>
      <c r="C17" s="2" t="s">
        <v>82</v>
      </c>
      <c r="D17" s="2" t="s">
        <v>164</v>
      </c>
      <c r="E17" s="2" t="s">
        <v>218</v>
      </c>
      <c r="F17" s="1">
        <f>SUM(H17:$XEQ17)</f>
        <v>16.5</v>
      </c>
      <c r="G17" s="10">
        <f>COUNT(H17:$XFA17)</f>
        <v>5</v>
      </c>
      <c r="H17" s="1"/>
      <c r="I17" s="1"/>
      <c r="J17" s="1"/>
      <c r="K17" s="1"/>
      <c r="L17" s="1"/>
      <c r="M17" s="1"/>
      <c r="N17" s="1"/>
      <c r="O17" s="2">
        <v>0.5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v>4</v>
      </c>
      <c r="AB17" s="1">
        <v>4</v>
      </c>
      <c r="AC17" s="1"/>
      <c r="AG17" s="2">
        <v>4</v>
      </c>
      <c r="AL17" s="9" t="s">
        <v>42</v>
      </c>
      <c r="AY17" s="10" t="s">
        <v>80</v>
      </c>
      <c r="AZ17" s="10" t="s">
        <v>80</v>
      </c>
      <c r="BC17" s="1"/>
      <c r="BD17" s="2" t="s">
        <v>80</v>
      </c>
      <c r="BF17" s="2">
        <v>4</v>
      </c>
      <c r="BK17" s="9" t="s">
        <v>72</v>
      </c>
    </row>
    <row r="18" spans="1:65" s="2" customFormat="1" ht="16" customHeight="1">
      <c r="A18" s="2">
        <v>2023202540</v>
      </c>
      <c r="B18" s="2" t="s">
        <v>233</v>
      </c>
      <c r="C18" s="2" t="s">
        <v>82</v>
      </c>
      <c r="D18" s="2" t="s">
        <v>164</v>
      </c>
      <c r="E18" s="2" t="s">
        <v>218</v>
      </c>
      <c r="F18" s="1">
        <f>SUM(H18:$XEQ18)</f>
        <v>120</v>
      </c>
      <c r="G18" s="10">
        <f>COUNT(H18:$XFA18)</f>
        <v>11</v>
      </c>
      <c r="H18" s="1">
        <v>4</v>
      </c>
      <c r="I18" s="1">
        <v>2</v>
      </c>
      <c r="J18" s="1"/>
      <c r="K18" s="1"/>
      <c r="L18" s="1"/>
      <c r="M18" s="1">
        <v>18</v>
      </c>
      <c r="N18" s="1"/>
      <c r="P18" s="1"/>
      <c r="Q18" s="1"/>
      <c r="R18" s="1"/>
      <c r="S18" s="1"/>
      <c r="T18" s="1"/>
      <c r="U18" s="1">
        <v>4</v>
      </c>
      <c r="V18" s="1"/>
      <c r="W18" s="1"/>
      <c r="X18" s="1">
        <v>4</v>
      </c>
      <c r="Y18" s="1"/>
      <c r="Z18" s="1"/>
      <c r="AA18" s="1"/>
      <c r="AB18" s="1"/>
      <c r="AC18" s="1"/>
      <c r="AE18" s="2">
        <v>4</v>
      </c>
      <c r="AF18" s="2">
        <v>4</v>
      </c>
      <c r="AG18" s="2">
        <v>2</v>
      </c>
      <c r="AL18" s="9" t="s">
        <v>42</v>
      </c>
      <c r="AY18" s="10" t="s">
        <v>80</v>
      </c>
      <c r="AZ18" s="10" t="s">
        <v>80</v>
      </c>
      <c r="BC18" s="1"/>
      <c r="BD18" s="2">
        <v>4</v>
      </c>
      <c r="BF18" s="2">
        <v>2</v>
      </c>
      <c r="BG18" s="2">
        <v>72</v>
      </c>
      <c r="BK18" s="9" t="s">
        <v>72</v>
      </c>
    </row>
    <row r="19" spans="1:65" s="2" customFormat="1" ht="16" customHeight="1">
      <c r="A19" s="2">
        <v>2023202542</v>
      </c>
      <c r="B19" s="2" t="s">
        <v>234</v>
      </c>
      <c r="C19" s="2" t="s">
        <v>77</v>
      </c>
      <c r="D19" s="2" t="s">
        <v>164</v>
      </c>
      <c r="E19" s="2" t="s">
        <v>218</v>
      </c>
      <c r="F19" s="1">
        <f>SUM(H19:$XEQ19)</f>
        <v>44.5</v>
      </c>
      <c r="G19" s="10">
        <f>COUNT(H19:$XFA19)</f>
        <v>6</v>
      </c>
      <c r="H19" s="1"/>
      <c r="I19" s="1"/>
      <c r="J19" s="1"/>
      <c r="K19" s="1"/>
      <c r="L19" s="1"/>
      <c r="M19" s="1"/>
      <c r="N19" s="1">
        <v>16</v>
      </c>
      <c r="O19" s="2">
        <v>0.5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E19" s="2">
        <v>4</v>
      </c>
      <c r="AF19" s="2">
        <v>4</v>
      </c>
      <c r="AL19" s="9" t="s">
        <v>42</v>
      </c>
      <c r="AU19" s="2">
        <v>16</v>
      </c>
      <c r="AY19" s="10" t="s">
        <v>80</v>
      </c>
      <c r="AZ19" s="10" t="s">
        <v>80</v>
      </c>
      <c r="BC19" s="1"/>
      <c r="BD19" s="2">
        <v>4</v>
      </c>
      <c r="BF19" s="2" t="s">
        <v>80</v>
      </c>
      <c r="BK19" s="9" t="s">
        <v>72</v>
      </c>
    </row>
    <row r="20" spans="1:65" s="2" customFormat="1" ht="16" customHeight="1">
      <c r="A20" s="2">
        <v>2023202556</v>
      </c>
      <c r="B20" s="2" t="s">
        <v>235</v>
      </c>
      <c r="C20" s="2" t="s">
        <v>77</v>
      </c>
      <c r="D20" s="2" t="s">
        <v>164</v>
      </c>
      <c r="E20" s="2" t="s">
        <v>218</v>
      </c>
      <c r="F20" s="1">
        <f>SUM(H20:$XEQ20)</f>
        <v>34</v>
      </c>
      <c r="G20" s="10">
        <f>COUNT(H20:$XFA20)</f>
        <v>6</v>
      </c>
      <c r="H20" s="1"/>
      <c r="I20" s="1"/>
      <c r="J20" s="1">
        <v>7.5</v>
      </c>
      <c r="K20" s="1"/>
      <c r="L20" s="1"/>
      <c r="M20" s="1"/>
      <c r="N20" s="1"/>
      <c r="O20" s="2">
        <v>0.5</v>
      </c>
      <c r="P20" s="1"/>
      <c r="Q20" s="1"/>
      <c r="R20" s="1"/>
      <c r="S20" s="1"/>
      <c r="T20" s="1"/>
      <c r="U20" s="1"/>
      <c r="V20" s="1"/>
      <c r="W20" s="1"/>
      <c r="X20" s="1">
        <v>4</v>
      </c>
      <c r="Y20" s="1"/>
      <c r="Z20" s="1">
        <v>4</v>
      </c>
      <c r="AA20" s="1"/>
      <c r="AB20" s="1"/>
      <c r="AC20" s="1"/>
      <c r="AE20" s="2">
        <v>4</v>
      </c>
      <c r="AL20" s="9" t="s">
        <v>42</v>
      </c>
      <c r="AX20" s="2">
        <v>14</v>
      </c>
      <c r="AY20" s="10" t="s">
        <v>80</v>
      </c>
      <c r="AZ20" s="10" t="s">
        <v>80</v>
      </c>
      <c r="BC20" s="1"/>
      <c r="BD20" s="2" t="s">
        <v>80</v>
      </c>
      <c r="BF20" s="2" t="s">
        <v>80</v>
      </c>
      <c r="BK20" s="9" t="s">
        <v>72</v>
      </c>
    </row>
    <row r="21" spans="1:65" s="2" customFormat="1" ht="16" customHeight="1">
      <c r="A21" s="2">
        <v>2023202538</v>
      </c>
      <c r="B21" s="2" t="s">
        <v>236</v>
      </c>
      <c r="C21" s="2" t="s">
        <v>77</v>
      </c>
      <c r="D21" s="2" t="s">
        <v>164</v>
      </c>
      <c r="E21" s="2" t="s">
        <v>218</v>
      </c>
      <c r="F21" s="1">
        <f>SUM(H21:$XEQ21)</f>
        <v>33.5</v>
      </c>
      <c r="G21" s="10">
        <f>COUNT(H21:$XFA21)</f>
        <v>8</v>
      </c>
      <c r="H21" s="1"/>
      <c r="I21" s="1"/>
      <c r="J21" s="1"/>
      <c r="K21" s="1"/>
      <c r="L21" s="1">
        <v>10</v>
      </c>
      <c r="M21" s="1"/>
      <c r="N21" s="1"/>
      <c r="O21" s="2">
        <v>0.5</v>
      </c>
      <c r="P21" s="1"/>
      <c r="Q21" s="1"/>
      <c r="R21" s="1"/>
      <c r="S21" s="1"/>
      <c r="T21" s="1"/>
      <c r="U21" s="1"/>
      <c r="V21" s="1"/>
      <c r="W21" s="1"/>
      <c r="X21" s="1">
        <v>4</v>
      </c>
      <c r="Y21" s="1"/>
      <c r="Z21" s="1"/>
      <c r="AA21" s="1"/>
      <c r="AB21" s="1"/>
      <c r="AC21" s="1"/>
      <c r="AE21" s="2">
        <v>4</v>
      </c>
      <c r="AL21" s="9" t="s">
        <v>42</v>
      </c>
      <c r="AQ21" s="2">
        <v>2</v>
      </c>
      <c r="AY21" s="10" t="s">
        <v>80</v>
      </c>
      <c r="AZ21" s="10" t="s">
        <v>80</v>
      </c>
      <c r="BC21" s="1"/>
      <c r="BD21" s="2">
        <v>4</v>
      </c>
      <c r="BF21" s="2" t="s">
        <v>80</v>
      </c>
      <c r="BH21" s="2">
        <v>5</v>
      </c>
      <c r="BJ21" s="2">
        <v>4</v>
      </c>
      <c r="BK21" s="9" t="s">
        <v>72</v>
      </c>
    </row>
    <row r="22" spans="1:65" s="2" customFormat="1" ht="16" customHeight="1">
      <c r="A22" s="2">
        <v>2023202551</v>
      </c>
      <c r="B22" s="2" t="s">
        <v>237</v>
      </c>
      <c r="C22" s="2" t="s">
        <v>77</v>
      </c>
      <c r="D22" s="2" t="s">
        <v>164</v>
      </c>
      <c r="E22" s="2" t="s">
        <v>218</v>
      </c>
      <c r="F22" s="1">
        <f>SUM(H22:$XEQ22)</f>
        <v>30.5</v>
      </c>
      <c r="G22" s="10">
        <f>COUNT(H22:$XFA22)</f>
        <v>5</v>
      </c>
      <c r="H22" s="1"/>
      <c r="I22" s="1"/>
      <c r="J22" s="1"/>
      <c r="K22" s="1"/>
      <c r="L22" s="1"/>
      <c r="M22" s="1"/>
      <c r="N22" s="1"/>
      <c r="O22" s="2">
        <v>0.5</v>
      </c>
      <c r="P22" s="1"/>
      <c r="Q22" s="1"/>
      <c r="R22" s="1"/>
      <c r="S22" s="1"/>
      <c r="T22" s="1"/>
      <c r="U22" s="1"/>
      <c r="V22" s="1"/>
      <c r="W22" s="1"/>
      <c r="X22" s="1"/>
      <c r="Y22" s="1">
        <v>18</v>
      </c>
      <c r="Z22" s="1"/>
      <c r="AA22" s="1">
        <v>4</v>
      </c>
      <c r="AB22" s="1">
        <v>4</v>
      </c>
      <c r="AC22" s="1"/>
      <c r="AG22" s="2">
        <v>4</v>
      </c>
      <c r="AL22" s="9" t="s">
        <v>42</v>
      </c>
      <c r="AY22" s="10" t="s">
        <v>80</v>
      </c>
      <c r="AZ22" s="10" t="s">
        <v>80</v>
      </c>
      <c r="BC22" s="1"/>
      <c r="BD22" s="2" t="s">
        <v>80</v>
      </c>
      <c r="BF22" s="2" t="s">
        <v>80</v>
      </c>
      <c r="BK22" s="9" t="s">
        <v>72</v>
      </c>
    </row>
    <row r="23" spans="1:65" s="2" customFormat="1" ht="16" customHeight="1">
      <c r="A23" s="2">
        <v>2023202535</v>
      </c>
      <c r="B23" s="2" t="s">
        <v>238</v>
      </c>
      <c r="C23" s="2" t="s">
        <v>77</v>
      </c>
      <c r="D23" s="2" t="s">
        <v>164</v>
      </c>
      <c r="E23" s="2" t="s">
        <v>218</v>
      </c>
      <c r="F23" s="1">
        <f>SUM(H23:$XEQ23)</f>
        <v>86.5</v>
      </c>
      <c r="G23" s="10">
        <f>COUNT(H23:$XFA23)</f>
        <v>9</v>
      </c>
      <c r="H23" s="1">
        <v>20</v>
      </c>
      <c r="I23" s="1"/>
      <c r="J23" s="1"/>
      <c r="K23" s="1">
        <v>26</v>
      </c>
      <c r="L23" s="1"/>
      <c r="M23" s="1"/>
      <c r="N23" s="1"/>
      <c r="O23" s="2">
        <v>0.5</v>
      </c>
      <c r="P23" s="1"/>
      <c r="Q23" s="1"/>
      <c r="R23" s="1"/>
      <c r="S23" s="1"/>
      <c r="T23" s="1"/>
      <c r="U23" s="1"/>
      <c r="V23" s="1"/>
      <c r="W23" s="1"/>
      <c r="X23" s="1">
        <v>4</v>
      </c>
      <c r="Y23" s="1"/>
      <c r="Z23" s="1"/>
      <c r="AA23" s="1"/>
      <c r="AB23" s="1"/>
      <c r="AC23" s="1"/>
      <c r="AE23" s="2">
        <v>4</v>
      </c>
      <c r="AF23" s="2">
        <v>4</v>
      </c>
      <c r="AL23" s="9" t="s">
        <v>42</v>
      </c>
      <c r="AN23" s="2">
        <v>4</v>
      </c>
      <c r="AY23" s="10" t="s">
        <v>80</v>
      </c>
      <c r="AZ23" s="10" t="s">
        <v>80</v>
      </c>
      <c r="BC23" s="1">
        <v>20</v>
      </c>
      <c r="BD23" s="2">
        <v>4</v>
      </c>
      <c r="BF23" s="2" t="s">
        <v>80</v>
      </c>
      <c r="BK23" s="9" t="s">
        <v>72</v>
      </c>
    </row>
    <row r="24" spans="1:65" s="2" customFormat="1" ht="16" customHeight="1">
      <c r="A24" s="2">
        <v>2023202557</v>
      </c>
      <c r="B24" s="2" t="s">
        <v>239</v>
      </c>
      <c r="C24" s="2" t="s">
        <v>77</v>
      </c>
      <c r="D24" s="2" t="s">
        <v>164</v>
      </c>
      <c r="E24" s="2" t="s">
        <v>218</v>
      </c>
      <c r="F24" s="1">
        <f>SUM(H24:$XEQ24)</f>
        <v>29</v>
      </c>
      <c r="G24" s="10">
        <f>COUNT(H24:$XFA24)</f>
        <v>5</v>
      </c>
      <c r="H24" s="1"/>
      <c r="I24" s="1"/>
      <c r="J24" s="1"/>
      <c r="K24" s="1"/>
      <c r="L24" s="1"/>
      <c r="M24" s="1"/>
      <c r="N24" s="1"/>
      <c r="O24" s="2">
        <v>0.5</v>
      </c>
      <c r="P24" s="1"/>
      <c r="Q24" s="1"/>
      <c r="R24" s="1"/>
      <c r="S24" s="1"/>
      <c r="T24" s="1"/>
      <c r="U24" s="1"/>
      <c r="V24" s="1"/>
      <c r="W24" s="1"/>
      <c r="X24" s="1">
        <v>4</v>
      </c>
      <c r="Y24" s="1"/>
      <c r="Z24" s="1"/>
      <c r="AA24" s="1"/>
      <c r="AB24" s="1"/>
      <c r="AC24" s="1"/>
      <c r="AE24" s="2">
        <v>4</v>
      </c>
      <c r="AL24" s="9" t="s">
        <v>42</v>
      </c>
      <c r="AT24" s="2">
        <v>16.5</v>
      </c>
      <c r="AY24" s="10" t="s">
        <v>80</v>
      </c>
      <c r="AZ24" s="10" t="s">
        <v>80</v>
      </c>
      <c r="BC24" s="1"/>
      <c r="BD24" s="2">
        <v>4</v>
      </c>
      <c r="BF24" s="2" t="s">
        <v>80</v>
      </c>
      <c r="BK24" s="9" t="s">
        <v>72</v>
      </c>
    </row>
    <row r="25" spans="1:65" s="2" customFormat="1" ht="16" customHeight="1">
      <c r="A25" s="2">
        <v>2023202533</v>
      </c>
      <c r="B25" s="2" t="s">
        <v>240</v>
      </c>
      <c r="C25" s="2" t="s">
        <v>77</v>
      </c>
      <c r="D25" s="2" t="s">
        <v>164</v>
      </c>
      <c r="E25" s="2" t="s">
        <v>218</v>
      </c>
      <c r="F25" s="1">
        <f>SUM(H25:$XEQ25)</f>
        <v>0.5</v>
      </c>
      <c r="G25" s="10">
        <f>COUNT(H25:$XFA25)</f>
        <v>1</v>
      </c>
      <c r="H25" s="1"/>
      <c r="I25" s="1"/>
      <c r="J25" s="1"/>
      <c r="K25" s="1"/>
      <c r="L25" s="1"/>
      <c r="M25" s="1"/>
      <c r="N25" s="1"/>
      <c r="O25" s="2">
        <v>0.5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L25" s="9" t="s">
        <v>42</v>
      </c>
      <c r="AY25" s="10" t="s">
        <v>80</v>
      </c>
      <c r="AZ25" s="10" t="s">
        <v>80</v>
      </c>
      <c r="BC25" s="1"/>
      <c r="BD25" s="2" t="s">
        <v>80</v>
      </c>
      <c r="BF25" s="2" t="s">
        <v>80</v>
      </c>
      <c r="BK25" s="9" t="s">
        <v>72</v>
      </c>
    </row>
    <row r="26" spans="1:65" s="2" customFormat="1" ht="16" customHeight="1">
      <c r="A26" s="2">
        <v>2023202547</v>
      </c>
      <c r="B26" s="2" t="s">
        <v>241</v>
      </c>
      <c r="C26" s="2" t="s">
        <v>82</v>
      </c>
      <c r="D26" s="2" t="s">
        <v>164</v>
      </c>
      <c r="E26" s="2" t="s">
        <v>218</v>
      </c>
      <c r="F26" s="1">
        <f>SUM(H26:$XEQ26)</f>
        <v>53.5</v>
      </c>
      <c r="G26" s="10">
        <f>COUNT(H26:$XFA26)</f>
        <v>14</v>
      </c>
      <c r="H26" s="1"/>
      <c r="I26" s="1"/>
      <c r="J26" s="1">
        <v>0.5</v>
      </c>
      <c r="K26" s="1"/>
      <c r="L26" s="1"/>
      <c r="M26" s="1"/>
      <c r="N26" s="1"/>
      <c r="O26" s="2">
        <v>0.5</v>
      </c>
      <c r="P26" s="1">
        <v>4</v>
      </c>
      <c r="Q26" s="1"/>
      <c r="R26" s="1"/>
      <c r="S26" s="1"/>
      <c r="T26" s="1"/>
      <c r="U26" s="1">
        <v>4</v>
      </c>
      <c r="V26" s="1"/>
      <c r="W26" s="1"/>
      <c r="X26" s="1"/>
      <c r="Y26" s="1"/>
      <c r="Z26" s="1"/>
      <c r="AA26" s="1"/>
      <c r="AB26" s="1"/>
      <c r="AC26" s="1"/>
      <c r="AE26" s="2">
        <v>4</v>
      </c>
      <c r="AG26" s="2">
        <v>2</v>
      </c>
      <c r="AL26" s="9" t="s">
        <v>42</v>
      </c>
      <c r="AP26" s="2">
        <v>10</v>
      </c>
      <c r="AS26" s="2">
        <v>3</v>
      </c>
      <c r="AV26" s="2">
        <v>4</v>
      </c>
      <c r="AW26" s="2">
        <v>6</v>
      </c>
      <c r="AY26" s="10">
        <v>6.5</v>
      </c>
      <c r="AZ26" s="10">
        <v>2</v>
      </c>
      <c r="BC26" s="1"/>
      <c r="BD26" s="2" t="s">
        <v>80</v>
      </c>
      <c r="BF26" s="2">
        <v>2</v>
      </c>
      <c r="BH26" s="2">
        <v>5</v>
      </c>
      <c r="BK26" s="9" t="s">
        <v>72</v>
      </c>
    </row>
    <row r="27" spans="1:65">
      <c r="BM27" s="2"/>
    </row>
    <row r="28" spans="1:65">
      <c r="BM28" s="2"/>
    </row>
    <row r="29" spans="1:65">
      <c r="BM29" s="2"/>
    </row>
    <row r="30" spans="1:65">
      <c r="BM30" s="2"/>
    </row>
    <row r="31" spans="1:65">
      <c r="BM31" s="2"/>
    </row>
    <row r="32" spans="1:65">
      <c r="BM32" s="2"/>
    </row>
    <row r="33" spans="65:65">
      <c r="BM33" s="2"/>
    </row>
    <row r="34" spans="65:65">
      <c r="BM34" s="2"/>
    </row>
    <row r="35" spans="65:65">
      <c r="BM35" s="2"/>
    </row>
    <row r="36" spans="65:65">
      <c r="BM36" s="2"/>
    </row>
    <row r="37" spans="65:65">
      <c r="BM37" s="2"/>
    </row>
    <row r="38" spans="65:65">
      <c r="BM38" s="2"/>
    </row>
    <row r="39" spans="65:65">
      <c r="BM39" s="2"/>
    </row>
    <row r="40" spans="65:65">
      <c r="BM40" s="2"/>
    </row>
    <row r="41" spans="65:65">
      <c r="BM41" s="2"/>
    </row>
    <row r="42" spans="65:65">
      <c r="BM42" s="2"/>
    </row>
    <row r="43" spans="65:65">
      <c r="BM43" s="2"/>
    </row>
    <row r="44" spans="65:65">
      <c r="BM44" s="2"/>
    </row>
    <row r="45" spans="65:65">
      <c r="BM45" s="2"/>
    </row>
    <row r="46" spans="65:65">
      <c r="BM46" s="2"/>
    </row>
    <row r="47" spans="65:65">
      <c r="BM47" s="2"/>
    </row>
    <row r="48" spans="65:65">
      <c r="BM48" s="2"/>
    </row>
    <row r="49" spans="65:65">
      <c r="BM49" s="2"/>
    </row>
    <row r="50" spans="65:65">
      <c r="BM50" s="2"/>
    </row>
    <row r="51" spans="65:65">
      <c r="BM51" s="2"/>
    </row>
    <row r="52" spans="65:65">
      <c r="BM52" s="2"/>
    </row>
    <row r="53" spans="65:65">
      <c r="BM53" s="2"/>
    </row>
    <row r="54" spans="65:65">
      <c r="BM54" s="2"/>
    </row>
    <row r="55" spans="65:65">
      <c r="BM55" s="2"/>
    </row>
    <row r="56" spans="65:65">
      <c r="BM56" s="2"/>
    </row>
  </sheetData>
  <sheetProtection formatCells="0" insertHyperlinks="0" autoFilter="0"/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56"/>
  <sheetViews>
    <sheetView zoomScale="67" zoomScaleNormal="67" workbookViewId="0">
      <pane xSplit="7" ySplit="1" topLeftCell="AS2" activePane="bottomRight" state="frozen"/>
      <selection pane="topRight"/>
      <selection pane="bottomLeft"/>
      <selection pane="bottomRight" activeCell="BE1" sqref="BE1:BE1048576"/>
    </sheetView>
  </sheetViews>
  <sheetFormatPr baseColWidth="10" defaultColWidth="9.6640625" defaultRowHeight="14"/>
  <cols>
    <col min="1" max="1" width="13.33203125" style="4" hidden="1" customWidth="1"/>
    <col min="2" max="2" width="10.5" style="4" customWidth="1"/>
    <col min="3" max="3" width="10.33203125" style="4" customWidth="1"/>
    <col min="4" max="4" width="17" style="4" customWidth="1"/>
    <col min="5" max="6" width="7.83203125" style="4"/>
    <col min="7" max="7" width="9.6640625" style="4"/>
    <col min="8" max="8" width="16.33203125" style="4" customWidth="1"/>
    <col min="9" max="9" width="19.33203125" style="4" customWidth="1"/>
    <col min="10" max="13" width="11.5" style="4" customWidth="1"/>
    <col min="14" max="14" width="17.6640625" style="4" customWidth="1"/>
    <col min="15" max="15" width="9.5" style="4" customWidth="1"/>
    <col min="16" max="16" width="7.33203125" style="4"/>
    <col min="17" max="17" width="16.5" style="4" customWidth="1"/>
    <col min="18" max="18" width="19.33203125" style="4" customWidth="1"/>
    <col min="19" max="19" width="7.83203125" style="4"/>
    <col min="20" max="20" width="12.6640625" style="4" customWidth="1"/>
    <col min="21" max="21" width="15.6640625" style="4" customWidth="1"/>
    <col min="22" max="22" width="10.5" style="4" customWidth="1"/>
    <col min="23" max="23" width="10.83203125" style="4" customWidth="1"/>
    <col min="24" max="24" width="7.83203125" style="4"/>
    <col min="25" max="26" width="9.83203125" style="4" customWidth="1"/>
    <col min="27" max="27" width="20" style="4" customWidth="1"/>
    <col min="28" max="28" width="14.33203125" style="4" customWidth="1"/>
    <col min="29" max="30" width="10.5" style="4" customWidth="1"/>
    <col min="31" max="37" width="9.6640625" style="4"/>
    <col min="38" max="38" width="9.33203125" style="4" customWidth="1"/>
    <col min="39" max="39" width="8.6640625" style="4" customWidth="1"/>
    <col min="40" max="46" width="9.6640625" style="4"/>
    <col min="47" max="47" width="11.33203125" style="4" customWidth="1"/>
    <col min="48" max="49" width="9.6640625" style="4"/>
    <col min="50" max="50" width="16.33203125" style="4" customWidth="1"/>
    <col min="51" max="51" width="14.5" style="4" customWidth="1"/>
    <col min="52" max="52" width="9.6640625" style="4"/>
    <col min="53" max="53" width="11.33203125" style="4" customWidth="1"/>
    <col min="54" max="54" width="9.6640625" style="4"/>
    <col min="55" max="55" width="8.6640625" style="4" customWidth="1"/>
    <col min="56" max="16384" width="9.6640625" style="4"/>
  </cols>
  <sheetData>
    <row r="1" spans="1:57" customFormat="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9</v>
      </c>
      <c r="K1" s="10" t="s">
        <v>168</v>
      </c>
      <c r="L1" s="10" t="s">
        <v>10</v>
      </c>
      <c r="M1" s="10" t="s">
        <v>12</v>
      </c>
      <c r="N1" s="10" t="s">
        <v>13</v>
      </c>
      <c r="O1" s="4" t="s">
        <v>111</v>
      </c>
      <c r="P1" s="4" t="s">
        <v>242</v>
      </c>
      <c r="Q1" s="4" t="s">
        <v>17</v>
      </c>
      <c r="R1" s="4" t="s">
        <v>18</v>
      </c>
      <c r="S1" s="4" t="s">
        <v>170</v>
      </c>
      <c r="T1" s="4" t="s">
        <v>114</v>
      </c>
      <c r="U1" s="4" t="s">
        <v>21</v>
      </c>
      <c r="V1" s="4" t="s">
        <v>23</v>
      </c>
      <c r="W1" s="4" t="s">
        <v>243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30</v>
      </c>
      <c r="AC1" s="4" t="s">
        <v>31</v>
      </c>
      <c r="AD1" s="10" t="s">
        <v>32</v>
      </c>
      <c r="AE1" s="26" t="s">
        <v>33</v>
      </c>
      <c r="AF1" s="10" t="s">
        <v>34</v>
      </c>
      <c r="AG1" s="10" t="s">
        <v>35</v>
      </c>
      <c r="AH1" s="10" t="s">
        <v>36</v>
      </c>
      <c r="AI1" s="10" t="s">
        <v>37</v>
      </c>
      <c r="AJ1" s="10" t="s">
        <v>116</v>
      </c>
      <c r="AK1" s="27" t="s">
        <v>38</v>
      </c>
      <c r="AL1" s="28" t="s">
        <v>41</v>
      </c>
      <c r="AM1" s="9" t="s">
        <v>42</v>
      </c>
      <c r="AN1" s="29" t="s">
        <v>43</v>
      </c>
      <c r="AO1" s="10" t="s">
        <v>49</v>
      </c>
      <c r="AP1" s="10" t="s">
        <v>52</v>
      </c>
      <c r="AQ1" s="10" t="s">
        <v>53</v>
      </c>
      <c r="AR1" s="10" t="s">
        <v>55</v>
      </c>
      <c r="AS1" s="2" t="s">
        <v>56</v>
      </c>
      <c r="AT1" s="10" t="s">
        <v>244</v>
      </c>
      <c r="AU1" s="10" t="s">
        <v>60</v>
      </c>
      <c r="AV1" s="10" t="s">
        <v>62</v>
      </c>
      <c r="AW1" s="1" t="s">
        <v>64</v>
      </c>
      <c r="AX1" s="4" t="s">
        <v>65</v>
      </c>
      <c r="AY1" t="s">
        <v>66</v>
      </c>
      <c r="AZ1" t="s">
        <v>67</v>
      </c>
      <c r="BA1" t="s">
        <v>245</v>
      </c>
      <c r="BB1" s="30" t="s">
        <v>176</v>
      </c>
      <c r="BC1" s="9" t="s">
        <v>72</v>
      </c>
      <c r="BD1" t="s">
        <v>75</v>
      </c>
      <c r="BE1" s="1"/>
    </row>
    <row r="2" spans="1:57" s="25" customFormat="1" ht="16" customHeight="1">
      <c r="A2" s="31">
        <v>2023202725</v>
      </c>
      <c r="B2" s="32" t="s">
        <v>246</v>
      </c>
      <c r="C2" s="31" t="s">
        <v>77</v>
      </c>
      <c r="D2" s="31" t="s">
        <v>247</v>
      </c>
      <c r="E2" s="31" t="s">
        <v>248</v>
      </c>
      <c r="F2" s="10">
        <f>SUM(H2:$XEO2)</f>
        <v>138.5</v>
      </c>
      <c r="G2" s="10">
        <f>COUNT(H2:$XEX2)</f>
        <v>11</v>
      </c>
      <c r="H2" s="27"/>
      <c r="I2" s="27">
        <v>3</v>
      </c>
      <c r="J2" s="10"/>
      <c r="K2" s="10"/>
      <c r="L2" s="10"/>
      <c r="M2" s="10"/>
      <c r="N2" s="10"/>
      <c r="O2" s="10">
        <v>0.5</v>
      </c>
      <c r="P2" s="10"/>
      <c r="Q2" s="10">
        <v>8</v>
      </c>
      <c r="R2" s="10"/>
      <c r="S2" s="10"/>
      <c r="T2" s="10">
        <v>3</v>
      </c>
      <c r="U2" s="10"/>
      <c r="V2" s="10"/>
      <c r="W2" s="10"/>
      <c r="X2" s="10">
        <v>4</v>
      </c>
      <c r="Y2" s="10"/>
      <c r="Z2" s="10">
        <v>6</v>
      </c>
      <c r="AA2" s="10"/>
      <c r="AB2" s="10"/>
      <c r="AC2" s="10"/>
      <c r="AD2" s="10"/>
      <c r="AE2" s="10"/>
      <c r="AF2" s="10"/>
      <c r="AG2" s="10">
        <v>4</v>
      </c>
      <c r="AH2" s="10"/>
      <c r="AI2" s="10">
        <v>2</v>
      </c>
      <c r="AJ2" s="10"/>
      <c r="AK2" s="27"/>
      <c r="AL2" s="10">
        <v>51</v>
      </c>
      <c r="AM2" s="9" t="s">
        <v>42</v>
      </c>
      <c r="AO2" s="10"/>
      <c r="AP2" s="10"/>
      <c r="AQ2" s="10"/>
      <c r="AR2" s="10"/>
      <c r="AS2" s="10"/>
      <c r="AT2" s="10"/>
      <c r="AU2" s="10" t="s">
        <v>80</v>
      </c>
      <c r="AV2" s="10">
        <v>2</v>
      </c>
      <c r="AX2" s="27"/>
      <c r="AY2" s="2" t="s">
        <v>80</v>
      </c>
      <c r="AZ2" s="2" t="s">
        <v>80</v>
      </c>
      <c r="BB2" s="25">
        <v>55</v>
      </c>
      <c r="BC2" s="9" t="s">
        <v>72</v>
      </c>
      <c r="BE2" s="2"/>
    </row>
    <row r="3" spans="1:57" s="25" customFormat="1" ht="16" customHeight="1">
      <c r="A3" s="31">
        <v>2023202728</v>
      </c>
      <c r="B3" s="31" t="s">
        <v>249</v>
      </c>
      <c r="C3" s="31" t="s">
        <v>82</v>
      </c>
      <c r="D3" s="31" t="s">
        <v>247</v>
      </c>
      <c r="E3" s="31" t="s">
        <v>248</v>
      </c>
      <c r="F3" s="10">
        <f>SUM(H3:$XEO3)</f>
        <v>0.5</v>
      </c>
      <c r="G3" s="10">
        <f>COUNT(H3:$XEX3)</f>
        <v>1</v>
      </c>
      <c r="H3" s="27"/>
      <c r="I3" s="27"/>
      <c r="J3" s="10"/>
      <c r="K3" s="10"/>
      <c r="L3" s="10"/>
      <c r="M3" s="10"/>
      <c r="N3" s="10"/>
      <c r="O3" s="10">
        <v>0.5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27"/>
      <c r="AL3" s="10"/>
      <c r="AM3" s="9" t="s">
        <v>42</v>
      </c>
      <c r="AO3" s="10"/>
      <c r="AP3" s="10"/>
      <c r="AQ3" s="10"/>
      <c r="AR3" s="10"/>
      <c r="AS3" s="10"/>
      <c r="AT3" s="10"/>
      <c r="AU3" s="10" t="s">
        <v>80</v>
      </c>
      <c r="AV3" s="10" t="s">
        <v>80</v>
      </c>
      <c r="AX3" s="27"/>
      <c r="AY3" s="2" t="s">
        <v>80</v>
      </c>
      <c r="AZ3" s="2" t="s">
        <v>80</v>
      </c>
      <c r="BC3" s="9" t="s">
        <v>72</v>
      </c>
      <c r="BE3" s="2"/>
    </row>
    <row r="4" spans="1:57" s="25" customFormat="1" ht="16" customHeight="1">
      <c r="A4" s="31">
        <v>2023202744</v>
      </c>
      <c r="B4" s="31" t="s">
        <v>250</v>
      </c>
      <c r="C4" s="31" t="s">
        <v>77</v>
      </c>
      <c r="D4" s="31" t="s">
        <v>247</v>
      </c>
      <c r="E4" s="31" t="s">
        <v>248</v>
      </c>
      <c r="F4" s="10">
        <f>SUM(H4:$XEO4)</f>
        <v>0</v>
      </c>
      <c r="G4" s="10">
        <f>COUNT(H4:$XEX4)</f>
        <v>0</v>
      </c>
      <c r="H4" s="27"/>
      <c r="I4" s="2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7"/>
      <c r="AL4" s="10"/>
      <c r="AM4" s="9" t="s">
        <v>42</v>
      </c>
      <c r="AO4" s="10"/>
      <c r="AP4" s="10"/>
      <c r="AQ4" s="10"/>
      <c r="AR4" s="10"/>
      <c r="AS4" s="10"/>
      <c r="AT4" s="10"/>
      <c r="AU4" s="10" t="s">
        <v>80</v>
      </c>
      <c r="AV4" s="10" t="s">
        <v>80</v>
      </c>
      <c r="AX4" s="27"/>
      <c r="AY4" s="2" t="s">
        <v>80</v>
      </c>
      <c r="AZ4" s="2" t="s">
        <v>80</v>
      </c>
      <c r="BC4" s="9" t="s">
        <v>72</v>
      </c>
      <c r="BE4" s="2"/>
    </row>
    <row r="5" spans="1:57" s="25" customFormat="1" ht="16" customHeight="1">
      <c r="A5" s="31">
        <v>2023202733</v>
      </c>
      <c r="B5" s="31" t="s">
        <v>251</v>
      </c>
      <c r="C5" s="31" t="s">
        <v>77</v>
      </c>
      <c r="D5" s="31" t="s">
        <v>247</v>
      </c>
      <c r="E5" s="31" t="s">
        <v>248</v>
      </c>
      <c r="F5" s="10">
        <f>SUM(H5:$XEO5)</f>
        <v>36.5</v>
      </c>
      <c r="G5" s="10">
        <f>COUNT(H5:$XEX5)</f>
        <v>10</v>
      </c>
      <c r="H5" s="27"/>
      <c r="I5" s="27">
        <v>2.5</v>
      </c>
      <c r="J5" s="10"/>
      <c r="K5" s="10"/>
      <c r="L5" s="10">
        <v>2</v>
      </c>
      <c r="M5" s="10"/>
      <c r="N5" s="10"/>
      <c r="O5" s="10">
        <v>0.5</v>
      </c>
      <c r="P5" s="10"/>
      <c r="Q5" s="10"/>
      <c r="R5" s="10"/>
      <c r="S5" s="10"/>
      <c r="T5" s="10">
        <v>10.5</v>
      </c>
      <c r="U5" s="10">
        <v>4</v>
      </c>
      <c r="V5" s="10"/>
      <c r="W5" s="10"/>
      <c r="X5" s="10">
        <v>4</v>
      </c>
      <c r="Y5" s="10"/>
      <c r="Z5" s="10"/>
      <c r="AA5" s="10"/>
      <c r="AB5" s="10"/>
      <c r="AC5" s="10"/>
      <c r="AD5" s="10"/>
      <c r="AE5" s="10"/>
      <c r="AF5" s="10"/>
      <c r="AG5" s="10">
        <v>4</v>
      </c>
      <c r="AH5" s="10"/>
      <c r="AI5" s="10"/>
      <c r="AJ5" s="10"/>
      <c r="AK5" s="27"/>
      <c r="AL5" s="10"/>
      <c r="AM5" s="9" t="s">
        <v>42</v>
      </c>
      <c r="AO5" s="10"/>
      <c r="AP5" s="10"/>
      <c r="AQ5" s="10"/>
      <c r="AR5" s="10"/>
      <c r="AS5" s="10"/>
      <c r="AT5" s="10"/>
      <c r="AU5" s="10" t="s">
        <v>80</v>
      </c>
      <c r="AV5" s="10">
        <v>2</v>
      </c>
      <c r="AX5" s="27"/>
      <c r="AY5" s="2" t="s">
        <v>80</v>
      </c>
      <c r="AZ5" s="2">
        <v>2</v>
      </c>
      <c r="BC5" s="9" t="s">
        <v>72</v>
      </c>
      <c r="BD5" s="25">
        <v>5</v>
      </c>
      <c r="BE5" s="2"/>
    </row>
    <row r="6" spans="1:57" s="25" customFormat="1" ht="16" customHeight="1">
      <c r="A6" s="31">
        <v>2023202740</v>
      </c>
      <c r="B6" s="31" t="s">
        <v>252</v>
      </c>
      <c r="C6" s="31" t="s">
        <v>82</v>
      </c>
      <c r="D6" s="31" t="s">
        <v>247</v>
      </c>
      <c r="E6" s="31" t="s">
        <v>248</v>
      </c>
      <c r="F6" s="10">
        <f>SUM(H6:$XEO6)</f>
        <v>6.5</v>
      </c>
      <c r="G6" s="10">
        <f>COUNT(H6:$XEX6)</f>
        <v>3</v>
      </c>
      <c r="H6" s="27"/>
      <c r="I6" s="27"/>
      <c r="J6" s="10"/>
      <c r="K6" s="10"/>
      <c r="L6" s="10"/>
      <c r="M6" s="10"/>
      <c r="N6" s="10"/>
      <c r="O6" s="10">
        <v>0.5</v>
      </c>
      <c r="P6" s="10"/>
      <c r="Q6" s="10"/>
      <c r="R6" s="10"/>
      <c r="S6" s="10"/>
      <c r="T6" s="10"/>
      <c r="U6" s="10"/>
      <c r="V6" s="10"/>
      <c r="W6" s="10"/>
      <c r="X6" s="10">
        <v>4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>
        <v>2</v>
      </c>
      <c r="AJ6" s="10"/>
      <c r="AK6" s="27"/>
      <c r="AL6" s="10"/>
      <c r="AM6" s="9" t="s">
        <v>42</v>
      </c>
      <c r="AO6" s="10"/>
      <c r="AP6" s="10"/>
      <c r="AQ6" s="10"/>
      <c r="AR6" s="10"/>
      <c r="AS6" s="10"/>
      <c r="AT6" s="10"/>
      <c r="AU6" s="10" t="s">
        <v>80</v>
      </c>
      <c r="AV6" s="10" t="s">
        <v>80</v>
      </c>
      <c r="AX6" s="27"/>
      <c r="AY6" s="2" t="s">
        <v>80</v>
      </c>
      <c r="AZ6" s="2" t="s">
        <v>80</v>
      </c>
      <c r="BC6" s="9" t="s">
        <v>72</v>
      </c>
      <c r="BE6" s="2"/>
    </row>
    <row r="7" spans="1:57" s="25" customFormat="1" ht="16" customHeight="1">
      <c r="A7" s="31">
        <v>2023202731</v>
      </c>
      <c r="B7" s="31" t="s">
        <v>253</v>
      </c>
      <c r="C7" s="31" t="s">
        <v>82</v>
      </c>
      <c r="D7" s="31" t="s">
        <v>247</v>
      </c>
      <c r="E7" s="31" t="s">
        <v>248</v>
      </c>
      <c r="F7" s="10">
        <f>SUM(H7:$XEO7)</f>
        <v>4</v>
      </c>
      <c r="G7" s="10">
        <f>COUNT(H7:$XEX7)</f>
        <v>2</v>
      </c>
      <c r="H7" s="27"/>
      <c r="I7" s="2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>
        <v>2</v>
      </c>
      <c r="AJ7" s="10"/>
      <c r="AK7" s="27"/>
      <c r="AL7" s="10"/>
      <c r="AM7" s="9" t="s">
        <v>42</v>
      </c>
      <c r="AO7" s="10"/>
      <c r="AP7" s="10"/>
      <c r="AQ7" s="10"/>
      <c r="AR7" s="10"/>
      <c r="AS7" s="10"/>
      <c r="AT7" s="10"/>
      <c r="AU7" s="10" t="s">
        <v>80</v>
      </c>
      <c r="AV7" s="10" t="s">
        <v>80</v>
      </c>
      <c r="AX7" s="27"/>
      <c r="AY7" s="2" t="s">
        <v>80</v>
      </c>
      <c r="AZ7" s="2">
        <v>2</v>
      </c>
      <c r="BC7" s="9" t="s">
        <v>72</v>
      </c>
      <c r="BE7" s="2"/>
    </row>
    <row r="8" spans="1:57" s="25" customFormat="1" ht="16" customHeight="1">
      <c r="A8" s="31">
        <v>2023202727</v>
      </c>
      <c r="B8" s="31" t="s">
        <v>254</v>
      </c>
      <c r="C8" s="31" t="s">
        <v>77</v>
      </c>
      <c r="D8" s="31" t="s">
        <v>247</v>
      </c>
      <c r="E8" s="31" t="s">
        <v>248</v>
      </c>
      <c r="F8" s="10">
        <f>SUM(H8:$XEO8)</f>
        <v>118.5</v>
      </c>
      <c r="G8" s="10">
        <f>COUNT(H8:$XEX8)</f>
        <v>11</v>
      </c>
      <c r="H8" s="27"/>
      <c r="I8" s="27">
        <v>3</v>
      </c>
      <c r="J8" s="10">
        <v>26</v>
      </c>
      <c r="K8" s="10"/>
      <c r="L8" s="10"/>
      <c r="M8" s="10">
        <v>22.5</v>
      </c>
      <c r="N8" s="10"/>
      <c r="O8" s="10">
        <v>0.5</v>
      </c>
      <c r="P8" s="10"/>
      <c r="Q8" s="10"/>
      <c r="R8" s="10"/>
      <c r="S8" s="10"/>
      <c r="T8" s="10">
        <v>3</v>
      </c>
      <c r="U8" s="10"/>
      <c r="V8" s="10"/>
      <c r="W8" s="10"/>
      <c r="X8" s="10">
        <v>4</v>
      </c>
      <c r="Y8" s="10"/>
      <c r="Z8" s="10"/>
      <c r="AA8" s="10"/>
      <c r="AB8" s="10"/>
      <c r="AC8" s="10"/>
      <c r="AD8" s="10"/>
      <c r="AE8" s="10"/>
      <c r="AF8" s="10"/>
      <c r="AG8" s="10">
        <v>4</v>
      </c>
      <c r="AH8" s="10"/>
      <c r="AI8" s="10"/>
      <c r="AJ8" s="10"/>
      <c r="AK8" s="27"/>
      <c r="AL8" s="10"/>
      <c r="AM8" s="9" t="s">
        <v>42</v>
      </c>
      <c r="AO8" s="10"/>
      <c r="AP8" s="10">
        <v>16.5</v>
      </c>
      <c r="AQ8" s="10"/>
      <c r="AR8" s="10"/>
      <c r="AS8" s="10"/>
      <c r="AT8" s="10">
        <v>5</v>
      </c>
      <c r="AU8" s="10" t="s">
        <v>80</v>
      </c>
      <c r="AV8" s="10" t="s">
        <v>80</v>
      </c>
      <c r="AX8" s="27"/>
      <c r="AY8" s="2" t="s">
        <v>80</v>
      </c>
      <c r="AZ8" s="2">
        <v>2</v>
      </c>
      <c r="BB8" s="25">
        <v>32</v>
      </c>
      <c r="BC8" s="9" t="s">
        <v>72</v>
      </c>
      <c r="BE8" s="2"/>
    </row>
    <row r="9" spans="1:57" s="25" customFormat="1" ht="16" customHeight="1">
      <c r="A9" s="31">
        <v>2023202742</v>
      </c>
      <c r="B9" s="31" t="s">
        <v>255</v>
      </c>
      <c r="C9" s="31" t="s">
        <v>77</v>
      </c>
      <c r="D9" s="31" t="s">
        <v>247</v>
      </c>
      <c r="E9" s="31" t="s">
        <v>248</v>
      </c>
      <c r="F9" s="10">
        <f>SUM(H9:$XEO9)</f>
        <v>40.5</v>
      </c>
      <c r="G9" s="10">
        <f>COUNT(H9:$XEX9)</f>
        <v>7</v>
      </c>
      <c r="H9" s="27"/>
      <c r="I9" s="27">
        <v>1</v>
      </c>
      <c r="J9" s="10"/>
      <c r="K9" s="10"/>
      <c r="L9" s="10"/>
      <c r="M9" s="10"/>
      <c r="N9" s="10">
        <v>16</v>
      </c>
      <c r="O9" s="10">
        <v>0.5</v>
      </c>
      <c r="P9" s="10"/>
      <c r="Q9" s="10"/>
      <c r="R9" s="10"/>
      <c r="S9" s="10">
        <v>11</v>
      </c>
      <c r="T9" s="10"/>
      <c r="U9" s="10"/>
      <c r="V9" s="10"/>
      <c r="W9" s="10"/>
      <c r="X9" s="10">
        <v>4</v>
      </c>
      <c r="Y9" s="10"/>
      <c r="Z9" s="10"/>
      <c r="AA9" s="10"/>
      <c r="AB9" s="10">
        <v>4</v>
      </c>
      <c r="AC9" s="10"/>
      <c r="AD9" s="10"/>
      <c r="AE9" s="10"/>
      <c r="AF9" s="10"/>
      <c r="AG9" s="10">
        <v>4</v>
      </c>
      <c r="AH9" s="10"/>
      <c r="AI9" s="10"/>
      <c r="AJ9" s="10"/>
      <c r="AK9" s="27"/>
      <c r="AL9" s="10"/>
      <c r="AM9" s="9" t="s">
        <v>42</v>
      </c>
      <c r="AO9" s="10"/>
      <c r="AP9" s="10"/>
      <c r="AQ9" s="10"/>
      <c r="AR9" s="10"/>
      <c r="AS9" s="10"/>
      <c r="AT9" s="10"/>
      <c r="AU9" s="10" t="s">
        <v>80</v>
      </c>
      <c r="AV9" s="10" t="s">
        <v>80</v>
      </c>
      <c r="AX9" s="27"/>
      <c r="AY9" s="2" t="s">
        <v>80</v>
      </c>
      <c r="AZ9" s="2" t="s">
        <v>80</v>
      </c>
      <c r="BC9" s="9" t="s">
        <v>72</v>
      </c>
      <c r="BE9" s="2"/>
    </row>
    <row r="10" spans="1:57" s="25" customFormat="1" ht="16" customHeight="1">
      <c r="A10" s="31">
        <v>2023202743</v>
      </c>
      <c r="B10" s="31" t="s">
        <v>256</v>
      </c>
      <c r="C10" s="31" t="s">
        <v>82</v>
      </c>
      <c r="D10" s="31" t="s">
        <v>247</v>
      </c>
      <c r="E10" s="31" t="s">
        <v>248</v>
      </c>
      <c r="F10" s="10">
        <f>SUM(H10:$XEO10)</f>
        <v>54</v>
      </c>
      <c r="G10" s="10">
        <f>COUNT(H10:$XEX10)</f>
        <v>9</v>
      </c>
      <c r="H10" s="27">
        <v>8</v>
      </c>
      <c r="I10" s="2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4</v>
      </c>
      <c r="W10" s="10"/>
      <c r="X10" s="10"/>
      <c r="Y10" s="10"/>
      <c r="Z10" s="10"/>
      <c r="AA10" s="10">
        <v>4</v>
      </c>
      <c r="AB10" s="10">
        <v>4</v>
      </c>
      <c r="AC10" s="10"/>
      <c r="AD10" s="10"/>
      <c r="AE10" s="10"/>
      <c r="AF10" s="10"/>
      <c r="AG10" s="10">
        <v>4</v>
      </c>
      <c r="AH10" s="10">
        <v>4</v>
      </c>
      <c r="AI10" s="10"/>
      <c r="AJ10" s="10"/>
      <c r="AK10" s="27"/>
      <c r="AL10" s="10"/>
      <c r="AM10" s="9" t="s">
        <v>42</v>
      </c>
      <c r="AO10" s="10"/>
      <c r="AP10" s="10"/>
      <c r="AQ10" s="10"/>
      <c r="AR10" s="10"/>
      <c r="AS10" s="10">
        <v>14</v>
      </c>
      <c r="AT10" s="10"/>
      <c r="AU10" s="10" t="s">
        <v>80</v>
      </c>
      <c r="AV10" s="10" t="s">
        <v>80</v>
      </c>
      <c r="AX10" s="27">
        <v>8</v>
      </c>
      <c r="AY10" s="2">
        <v>4</v>
      </c>
      <c r="AZ10" s="2" t="s">
        <v>80</v>
      </c>
      <c r="BC10" s="9" t="s">
        <v>72</v>
      </c>
      <c r="BE10" s="2"/>
    </row>
    <row r="11" spans="1:57" s="25" customFormat="1" ht="16" customHeight="1">
      <c r="A11" s="31">
        <v>2023202726</v>
      </c>
      <c r="B11" s="31" t="s">
        <v>257</v>
      </c>
      <c r="C11" s="31" t="s">
        <v>77</v>
      </c>
      <c r="D11" s="31" t="s">
        <v>247</v>
      </c>
      <c r="E11" s="31" t="s">
        <v>248</v>
      </c>
      <c r="F11" s="10">
        <f>SUM(H11:$XEO11)</f>
        <v>42.5</v>
      </c>
      <c r="G11" s="10">
        <f>COUNT(H11:$XEX11)</f>
        <v>11</v>
      </c>
      <c r="H11" s="27"/>
      <c r="I11" s="27">
        <v>0.5</v>
      </c>
      <c r="J11" s="10"/>
      <c r="K11" s="10"/>
      <c r="L11" s="10"/>
      <c r="M11" s="10"/>
      <c r="N11" s="10"/>
      <c r="O11" s="10">
        <v>0.5</v>
      </c>
      <c r="P11" s="10">
        <v>2</v>
      </c>
      <c r="Q11" s="10"/>
      <c r="R11" s="10"/>
      <c r="S11" s="10"/>
      <c r="T11" s="10"/>
      <c r="U11" s="10"/>
      <c r="V11" s="10"/>
      <c r="W11" s="10"/>
      <c r="X11" s="10">
        <v>4</v>
      </c>
      <c r="Y11" s="10"/>
      <c r="Z11" s="10"/>
      <c r="AA11" s="10"/>
      <c r="AB11" s="10"/>
      <c r="AC11" s="10"/>
      <c r="AD11" s="10"/>
      <c r="AE11" s="10"/>
      <c r="AF11" s="10"/>
      <c r="AG11" s="10">
        <v>4</v>
      </c>
      <c r="AH11" s="10">
        <v>4</v>
      </c>
      <c r="AI11" s="10">
        <v>4</v>
      </c>
      <c r="AJ11" s="10"/>
      <c r="AK11" s="27"/>
      <c r="AL11" s="10"/>
      <c r="AM11" s="9" t="s">
        <v>42</v>
      </c>
      <c r="AO11" s="10"/>
      <c r="AP11" s="10"/>
      <c r="AQ11" s="10"/>
      <c r="AR11" s="10"/>
      <c r="AS11" s="10"/>
      <c r="AT11" s="10">
        <v>9.5</v>
      </c>
      <c r="AU11" s="10" t="s">
        <v>80</v>
      </c>
      <c r="AV11" s="10" t="s">
        <v>80</v>
      </c>
      <c r="AX11" s="27"/>
      <c r="AY11" s="2">
        <v>4</v>
      </c>
      <c r="AZ11" s="2">
        <v>4</v>
      </c>
      <c r="BA11" s="25">
        <v>6</v>
      </c>
      <c r="BC11" s="9" t="s">
        <v>72</v>
      </c>
      <c r="BE11" s="2"/>
    </row>
    <row r="12" spans="1:57" s="25" customFormat="1" ht="16" customHeight="1">
      <c r="A12" s="31">
        <v>2023202735</v>
      </c>
      <c r="B12" s="31" t="s">
        <v>258</v>
      </c>
      <c r="C12" s="31" t="s">
        <v>82</v>
      </c>
      <c r="D12" s="31" t="s">
        <v>247</v>
      </c>
      <c r="E12" s="31" t="s">
        <v>248</v>
      </c>
      <c r="F12" s="10">
        <f>SUM(H12:$XEO12)</f>
        <v>78</v>
      </c>
      <c r="G12" s="10">
        <f>COUNT(H12:$XEX12)</f>
        <v>15</v>
      </c>
      <c r="H12" s="27">
        <v>5</v>
      </c>
      <c r="I12" s="27">
        <v>0.5</v>
      </c>
      <c r="J12" s="10"/>
      <c r="K12" s="10"/>
      <c r="L12" s="10"/>
      <c r="M12" s="10"/>
      <c r="N12" s="10"/>
      <c r="O12" s="10">
        <v>0.5</v>
      </c>
      <c r="P12" s="10"/>
      <c r="Q12" s="10"/>
      <c r="R12" s="10">
        <v>14</v>
      </c>
      <c r="S12" s="10"/>
      <c r="T12" s="10"/>
      <c r="U12" s="10"/>
      <c r="V12" s="10"/>
      <c r="W12" s="10">
        <v>5</v>
      </c>
      <c r="X12" s="10">
        <v>4.5</v>
      </c>
      <c r="Y12" s="10"/>
      <c r="Z12" s="10">
        <v>5</v>
      </c>
      <c r="AA12" s="10"/>
      <c r="AB12" s="10">
        <v>4</v>
      </c>
      <c r="AC12" s="10"/>
      <c r="AD12" s="10"/>
      <c r="AE12" s="10"/>
      <c r="AF12" s="10"/>
      <c r="AG12" s="10">
        <v>4</v>
      </c>
      <c r="AH12" s="10">
        <v>4</v>
      </c>
      <c r="AI12" s="10">
        <v>4</v>
      </c>
      <c r="AJ12" s="10"/>
      <c r="AK12" s="27"/>
      <c r="AL12" s="10">
        <v>8</v>
      </c>
      <c r="AM12" s="9" t="s">
        <v>42</v>
      </c>
      <c r="AO12" s="10"/>
      <c r="AP12" s="10"/>
      <c r="AQ12" s="10"/>
      <c r="AR12" s="10"/>
      <c r="AS12" s="10"/>
      <c r="AT12" s="10">
        <v>11.5</v>
      </c>
      <c r="AU12" s="10" t="s">
        <v>80</v>
      </c>
      <c r="AV12" s="10" t="s">
        <v>80</v>
      </c>
      <c r="AX12" s="27"/>
      <c r="AY12" s="2">
        <v>4</v>
      </c>
      <c r="AZ12" s="2">
        <v>4</v>
      </c>
      <c r="BC12" s="9" t="s">
        <v>72</v>
      </c>
      <c r="BE12" s="2"/>
    </row>
    <row r="13" spans="1:57" s="25" customFormat="1" ht="16" customHeight="1">
      <c r="A13" s="31">
        <v>2023202739</v>
      </c>
      <c r="B13" s="32" t="s">
        <v>259</v>
      </c>
      <c r="C13" s="31" t="s">
        <v>82</v>
      </c>
      <c r="D13" s="31" t="s">
        <v>247</v>
      </c>
      <c r="E13" s="31" t="s">
        <v>248</v>
      </c>
      <c r="F13" s="10">
        <f>SUM(H13:$XEO13)</f>
        <v>38.5</v>
      </c>
      <c r="G13" s="10">
        <f>COUNT(H13:$XEX13)</f>
        <v>5</v>
      </c>
      <c r="H13" s="27"/>
      <c r="I13" s="27"/>
      <c r="J13" s="10"/>
      <c r="K13" s="10"/>
      <c r="L13" s="10"/>
      <c r="M13" s="10"/>
      <c r="N13" s="10">
        <v>16</v>
      </c>
      <c r="O13" s="10">
        <v>0.5</v>
      </c>
      <c r="P13" s="10"/>
      <c r="Q13" s="10"/>
      <c r="R13" s="10"/>
      <c r="S13" s="10"/>
      <c r="T13" s="10"/>
      <c r="U13" s="10"/>
      <c r="V13" s="10">
        <v>2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4</v>
      </c>
      <c r="AH13" s="10"/>
      <c r="AI13" s="10"/>
      <c r="AJ13" s="10"/>
      <c r="AK13" s="27"/>
      <c r="AL13" s="10"/>
      <c r="AM13" s="9" t="s">
        <v>42</v>
      </c>
      <c r="AO13" s="10"/>
      <c r="AP13" s="10"/>
      <c r="AQ13" s="10">
        <v>16</v>
      </c>
      <c r="AR13" s="10"/>
      <c r="AS13" s="10"/>
      <c r="AT13" s="10"/>
      <c r="AU13" s="10" t="s">
        <v>80</v>
      </c>
      <c r="AV13" s="10" t="s">
        <v>80</v>
      </c>
      <c r="AX13" s="27"/>
      <c r="AY13" s="2" t="s">
        <v>80</v>
      </c>
      <c r="AZ13" s="2" t="s">
        <v>80</v>
      </c>
      <c r="BC13" s="9" t="s">
        <v>72</v>
      </c>
      <c r="BE13" s="2"/>
    </row>
    <row r="14" spans="1:57" s="25" customFormat="1" ht="16" customHeight="1">
      <c r="A14" s="31">
        <v>2023202736</v>
      </c>
      <c r="B14" s="31" t="s">
        <v>260</v>
      </c>
      <c r="C14" s="31" t="s">
        <v>77</v>
      </c>
      <c r="D14" s="31" t="s">
        <v>247</v>
      </c>
      <c r="E14" s="31" t="s">
        <v>248</v>
      </c>
      <c r="F14" s="10">
        <f>SUM(H14:$XEO14)</f>
        <v>38.5</v>
      </c>
      <c r="G14" s="10">
        <f>COUNT(H14:$XEX14)</f>
        <v>5</v>
      </c>
      <c r="H14" s="27"/>
      <c r="I14" s="27"/>
      <c r="J14" s="10"/>
      <c r="K14" s="10"/>
      <c r="L14" s="10"/>
      <c r="M14" s="10"/>
      <c r="N14" s="10">
        <v>16</v>
      </c>
      <c r="O14" s="10">
        <v>0.5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6</v>
      </c>
      <c r="AA14" s="10"/>
      <c r="AB14" s="10"/>
      <c r="AC14" s="10"/>
      <c r="AD14" s="10"/>
      <c r="AE14" s="10"/>
      <c r="AF14" s="10"/>
      <c r="AG14" s="10">
        <v>4</v>
      </c>
      <c r="AH14" s="10"/>
      <c r="AI14" s="10"/>
      <c r="AJ14" s="10"/>
      <c r="AK14" s="27"/>
      <c r="AL14" s="10"/>
      <c r="AM14" s="9" t="s">
        <v>42</v>
      </c>
      <c r="AN14" s="25">
        <v>12</v>
      </c>
      <c r="AO14" s="10"/>
      <c r="AP14" s="10"/>
      <c r="AQ14" s="10"/>
      <c r="AR14" s="10"/>
      <c r="AS14" s="10"/>
      <c r="AT14" s="10"/>
      <c r="AU14" s="10" t="s">
        <v>80</v>
      </c>
      <c r="AV14" s="10" t="s">
        <v>80</v>
      </c>
      <c r="AX14" s="27"/>
      <c r="AY14" s="2" t="s">
        <v>80</v>
      </c>
      <c r="AZ14" s="2" t="s">
        <v>80</v>
      </c>
      <c r="BC14" s="9" t="s">
        <v>72</v>
      </c>
      <c r="BE14" s="2"/>
    </row>
    <row r="15" spans="1:57" s="25" customFormat="1" ht="16" customHeight="1">
      <c r="A15" s="31">
        <v>2023202723</v>
      </c>
      <c r="B15" s="31" t="s">
        <v>261</v>
      </c>
      <c r="C15" s="31" t="s">
        <v>77</v>
      </c>
      <c r="D15" s="31" t="s">
        <v>247</v>
      </c>
      <c r="E15" s="31" t="s">
        <v>248</v>
      </c>
      <c r="F15" s="10">
        <f>SUM(H15:$XEO15)</f>
        <v>36</v>
      </c>
      <c r="G15" s="10">
        <f>COUNT(H15:$XEX15)</f>
        <v>10</v>
      </c>
      <c r="H15" s="27"/>
      <c r="I15" s="27">
        <v>0.5</v>
      </c>
      <c r="J15" s="10"/>
      <c r="K15" s="10"/>
      <c r="L15" s="10">
        <v>2</v>
      </c>
      <c r="M15" s="10"/>
      <c r="N15" s="10"/>
      <c r="O15" s="10">
        <v>0.5</v>
      </c>
      <c r="P15" s="10"/>
      <c r="Q15" s="10"/>
      <c r="R15" s="10"/>
      <c r="S15" s="10">
        <v>11</v>
      </c>
      <c r="T15" s="10">
        <v>3</v>
      </c>
      <c r="U15" s="10"/>
      <c r="V15" s="10"/>
      <c r="W15" s="10"/>
      <c r="X15" s="10">
        <v>4</v>
      </c>
      <c r="Y15" s="10"/>
      <c r="Z15" s="10"/>
      <c r="AA15" s="10">
        <v>7</v>
      </c>
      <c r="AB15" s="10"/>
      <c r="AC15" s="10"/>
      <c r="AD15" s="10"/>
      <c r="AE15" s="10"/>
      <c r="AF15" s="10"/>
      <c r="AG15" s="10">
        <v>4</v>
      </c>
      <c r="AH15" s="10"/>
      <c r="AI15" s="10">
        <v>2</v>
      </c>
      <c r="AJ15" s="10"/>
      <c r="AK15" s="27"/>
      <c r="AL15" s="10"/>
      <c r="AM15" s="9" t="s">
        <v>42</v>
      </c>
      <c r="AO15" s="10"/>
      <c r="AP15" s="10"/>
      <c r="AQ15" s="10"/>
      <c r="AR15" s="10"/>
      <c r="AS15" s="10"/>
      <c r="AT15" s="10"/>
      <c r="AU15" s="10" t="s">
        <v>80</v>
      </c>
      <c r="AV15" s="10" t="s">
        <v>80</v>
      </c>
      <c r="AX15" s="27"/>
      <c r="AY15" s="2" t="s">
        <v>80</v>
      </c>
      <c r="AZ15" s="2">
        <v>2</v>
      </c>
      <c r="BC15" s="9" t="s">
        <v>72</v>
      </c>
      <c r="BE15" s="2"/>
    </row>
    <row r="16" spans="1:57" s="25" customFormat="1" ht="16" customHeight="1">
      <c r="A16" s="31">
        <v>2023202730</v>
      </c>
      <c r="B16" s="31" t="s">
        <v>262</v>
      </c>
      <c r="C16" s="31" t="s">
        <v>77</v>
      </c>
      <c r="D16" s="31" t="s">
        <v>247</v>
      </c>
      <c r="E16" s="31" t="s">
        <v>248</v>
      </c>
      <c r="F16" s="10">
        <f>SUM(H16:$XEO16)</f>
        <v>29</v>
      </c>
      <c r="G16" s="10">
        <f>COUNT(H16:$XEX16)</f>
        <v>8</v>
      </c>
      <c r="H16" s="27"/>
      <c r="I16" s="27">
        <v>0.5</v>
      </c>
      <c r="J16" s="10"/>
      <c r="K16" s="10"/>
      <c r="L16" s="10"/>
      <c r="M16" s="10"/>
      <c r="N16" s="10"/>
      <c r="O16" s="10">
        <v>0.5</v>
      </c>
      <c r="P16" s="10"/>
      <c r="Q16" s="10"/>
      <c r="R16" s="10"/>
      <c r="S16" s="10"/>
      <c r="T16" s="10"/>
      <c r="U16" s="10"/>
      <c r="V16" s="10">
        <v>10</v>
      </c>
      <c r="W16" s="10"/>
      <c r="X16" s="10">
        <v>4</v>
      </c>
      <c r="Y16" s="10"/>
      <c r="Z16" s="10"/>
      <c r="AA16" s="10">
        <v>4</v>
      </c>
      <c r="AB16" s="10"/>
      <c r="AC16" s="10">
        <v>4</v>
      </c>
      <c r="AD16" s="10"/>
      <c r="AE16" s="10"/>
      <c r="AF16" s="10"/>
      <c r="AG16" s="10">
        <v>4</v>
      </c>
      <c r="AH16" s="10"/>
      <c r="AI16" s="10">
        <v>2</v>
      </c>
      <c r="AJ16" s="10"/>
      <c r="AK16" s="27"/>
      <c r="AL16" s="10"/>
      <c r="AM16" s="9" t="s">
        <v>42</v>
      </c>
      <c r="AO16" s="10"/>
      <c r="AP16" s="10"/>
      <c r="AQ16" s="10"/>
      <c r="AR16" s="10"/>
      <c r="AS16" s="10"/>
      <c r="AT16" s="10"/>
      <c r="AU16" s="10" t="s">
        <v>80</v>
      </c>
      <c r="AV16" s="10" t="s">
        <v>80</v>
      </c>
      <c r="AX16" s="27"/>
      <c r="AY16" s="2" t="s">
        <v>80</v>
      </c>
      <c r="AZ16" s="2" t="s">
        <v>80</v>
      </c>
      <c r="BC16" s="9" t="s">
        <v>72</v>
      </c>
      <c r="BE16" s="2"/>
    </row>
    <row r="17" spans="1:57" s="25" customFormat="1" ht="16" customHeight="1">
      <c r="A17" s="31">
        <v>2023202732</v>
      </c>
      <c r="B17" s="31" t="s">
        <v>263</v>
      </c>
      <c r="C17" s="31" t="s">
        <v>82</v>
      </c>
      <c r="D17" s="31" t="s">
        <v>247</v>
      </c>
      <c r="E17" s="31" t="s">
        <v>248</v>
      </c>
      <c r="F17" s="10">
        <f>SUM(H17:$XEO17)</f>
        <v>29.5</v>
      </c>
      <c r="G17" s="10">
        <f>COUNT(H17:$XEX17)</f>
        <v>4</v>
      </c>
      <c r="H17" s="27"/>
      <c r="I17" s="27"/>
      <c r="J17" s="10"/>
      <c r="K17" s="10"/>
      <c r="L17" s="10"/>
      <c r="M17" s="10"/>
      <c r="N17" s="10"/>
      <c r="O17" s="10">
        <v>0.5</v>
      </c>
      <c r="P17" s="10"/>
      <c r="Q17" s="10"/>
      <c r="R17" s="10">
        <v>20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27"/>
      <c r="AL17" s="10"/>
      <c r="AM17" s="9" t="s">
        <v>42</v>
      </c>
      <c r="AO17" s="10"/>
      <c r="AP17" s="10"/>
      <c r="AQ17" s="10"/>
      <c r="AR17" s="10"/>
      <c r="AS17" s="10"/>
      <c r="AT17" s="10"/>
      <c r="AU17" s="10" t="s">
        <v>80</v>
      </c>
      <c r="AV17" s="10" t="s">
        <v>80</v>
      </c>
      <c r="AX17" s="27">
        <v>6</v>
      </c>
      <c r="AY17" s="2" t="s">
        <v>80</v>
      </c>
      <c r="AZ17" s="2" t="s">
        <v>80</v>
      </c>
      <c r="BC17" s="9" t="s">
        <v>72</v>
      </c>
      <c r="BD17" s="25">
        <v>3</v>
      </c>
      <c r="BE17" s="2"/>
    </row>
    <row r="18" spans="1:57" s="25" customFormat="1" ht="16" customHeight="1">
      <c r="A18" s="31">
        <v>2023202745</v>
      </c>
      <c r="B18" s="31" t="s">
        <v>264</v>
      </c>
      <c r="C18" s="31" t="s">
        <v>82</v>
      </c>
      <c r="D18" s="31" t="s">
        <v>247</v>
      </c>
      <c r="E18" s="31" t="s">
        <v>248</v>
      </c>
      <c r="F18" s="10">
        <f>SUM(H18:$XEO18)</f>
        <v>0</v>
      </c>
      <c r="G18" s="10">
        <f>COUNT(H18:$XEX18)</f>
        <v>0</v>
      </c>
      <c r="H18" s="27"/>
      <c r="I18" s="2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27"/>
      <c r="AL18" s="10"/>
      <c r="AM18" s="9" t="s">
        <v>42</v>
      </c>
      <c r="AO18" s="10"/>
      <c r="AP18" s="10"/>
      <c r="AQ18" s="10"/>
      <c r="AR18" s="10"/>
      <c r="AS18" s="10"/>
      <c r="AT18" s="10"/>
      <c r="AU18" s="10" t="s">
        <v>80</v>
      </c>
      <c r="AV18" s="10" t="s">
        <v>80</v>
      </c>
      <c r="AX18" s="27"/>
      <c r="AY18" s="2" t="s">
        <v>80</v>
      </c>
      <c r="AZ18" s="2" t="s">
        <v>80</v>
      </c>
      <c r="BC18" s="9" t="s">
        <v>72</v>
      </c>
      <c r="BE18" s="2"/>
    </row>
    <row r="19" spans="1:57" s="25" customFormat="1" ht="16" customHeight="1">
      <c r="A19" s="31">
        <v>2023202734</v>
      </c>
      <c r="B19" s="31" t="s">
        <v>265</v>
      </c>
      <c r="C19" s="31" t="s">
        <v>82</v>
      </c>
      <c r="D19" s="31" t="s">
        <v>247</v>
      </c>
      <c r="E19" s="31" t="s">
        <v>248</v>
      </c>
      <c r="F19" s="10">
        <f>SUM(H19:$XEO19)</f>
        <v>36.5</v>
      </c>
      <c r="G19" s="10">
        <f>COUNT(H19:$XEX19)</f>
        <v>7</v>
      </c>
      <c r="H19" s="27"/>
      <c r="I19" s="27"/>
      <c r="J19" s="10">
        <v>19</v>
      </c>
      <c r="K19" s="10"/>
      <c r="L19" s="10"/>
      <c r="M19" s="10">
        <v>3</v>
      </c>
      <c r="N19" s="10"/>
      <c r="O19" s="10">
        <v>0.5</v>
      </c>
      <c r="P19" s="10"/>
      <c r="Q19" s="10"/>
      <c r="R19" s="10"/>
      <c r="S19" s="10"/>
      <c r="T19" s="10"/>
      <c r="U19" s="10"/>
      <c r="V19" s="10"/>
      <c r="W19" s="10"/>
      <c r="X19" s="10">
        <v>4</v>
      </c>
      <c r="Y19" s="10"/>
      <c r="Z19" s="10"/>
      <c r="AA19" s="10"/>
      <c r="AB19" s="10">
        <v>4</v>
      </c>
      <c r="AC19" s="10"/>
      <c r="AD19" s="10"/>
      <c r="AE19" s="10"/>
      <c r="AF19" s="10"/>
      <c r="AG19" s="10">
        <v>4</v>
      </c>
      <c r="AH19" s="10"/>
      <c r="AI19" s="10">
        <v>2</v>
      </c>
      <c r="AJ19" s="10"/>
      <c r="AK19" s="27"/>
      <c r="AL19" s="10"/>
      <c r="AM19" s="9" t="s">
        <v>42</v>
      </c>
      <c r="AO19" s="10"/>
      <c r="AP19" s="10"/>
      <c r="AQ19" s="10"/>
      <c r="AR19" s="10"/>
      <c r="AS19" s="10"/>
      <c r="AT19" s="10"/>
      <c r="AU19" s="10" t="s">
        <v>80</v>
      </c>
      <c r="AV19" s="10" t="s">
        <v>80</v>
      </c>
      <c r="AX19" s="27"/>
      <c r="AY19" s="2" t="s">
        <v>80</v>
      </c>
      <c r="AZ19" s="2" t="s">
        <v>80</v>
      </c>
      <c r="BC19" s="9" t="s">
        <v>72</v>
      </c>
      <c r="BE19" s="2"/>
    </row>
    <row r="20" spans="1:57" s="25" customFormat="1" ht="16" customHeight="1">
      <c r="A20" s="31">
        <v>2023202721</v>
      </c>
      <c r="B20" s="31" t="s">
        <v>266</v>
      </c>
      <c r="C20" s="31" t="s">
        <v>77</v>
      </c>
      <c r="D20" s="31" t="s">
        <v>247</v>
      </c>
      <c r="E20" s="31" t="s">
        <v>248</v>
      </c>
      <c r="F20" s="10">
        <f>SUM(H20:$XEO20)</f>
        <v>49.5</v>
      </c>
      <c r="G20" s="10">
        <f>COUNT(H20:$XEX20)</f>
        <v>10</v>
      </c>
      <c r="H20" s="27">
        <v>8</v>
      </c>
      <c r="I20" s="27">
        <v>1.5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4</v>
      </c>
      <c r="Y20" s="10"/>
      <c r="Z20" s="10">
        <v>6</v>
      </c>
      <c r="AA20" s="10"/>
      <c r="AB20" s="10"/>
      <c r="AC20" s="10">
        <v>4</v>
      </c>
      <c r="AD20" s="10"/>
      <c r="AE20" s="10"/>
      <c r="AF20" s="10"/>
      <c r="AG20" s="10">
        <v>4</v>
      </c>
      <c r="AH20" s="10">
        <v>4</v>
      </c>
      <c r="AI20" s="10"/>
      <c r="AJ20" s="10">
        <v>4</v>
      </c>
      <c r="AK20" s="27"/>
      <c r="AL20" s="10"/>
      <c r="AM20" s="9" t="s">
        <v>42</v>
      </c>
      <c r="AO20" s="10"/>
      <c r="AP20" s="10"/>
      <c r="AQ20" s="10"/>
      <c r="AR20" s="10"/>
      <c r="AS20" s="10"/>
      <c r="AT20" s="10"/>
      <c r="AU20" s="10" t="s">
        <v>80</v>
      </c>
      <c r="AV20" s="10" t="s">
        <v>80</v>
      </c>
      <c r="AW20" s="25">
        <v>3</v>
      </c>
      <c r="AX20" s="27">
        <v>11</v>
      </c>
      <c r="AY20" s="2" t="s">
        <v>80</v>
      </c>
      <c r="AZ20" s="2" t="s">
        <v>80</v>
      </c>
      <c r="BC20" s="9" t="s">
        <v>72</v>
      </c>
      <c r="BE20" s="2"/>
    </row>
    <row r="21" spans="1:57" s="25" customFormat="1" ht="16" customHeight="1">
      <c r="A21" s="31">
        <v>2023202729</v>
      </c>
      <c r="B21" s="31" t="s">
        <v>267</v>
      </c>
      <c r="C21" s="31" t="s">
        <v>82</v>
      </c>
      <c r="D21" s="31" t="s">
        <v>247</v>
      </c>
      <c r="E21" s="31" t="s">
        <v>248</v>
      </c>
      <c r="F21" s="10">
        <f>SUM(H21:$XEO21)</f>
        <v>14</v>
      </c>
      <c r="G21" s="10">
        <f>COUNT(H21:$XEX21)</f>
        <v>3</v>
      </c>
      <c r="H21" s="27"/>
      <c r="I21" s="27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>
        <v>6</v>
      </c>
      <c r="W21" s="10"/>
      <c r="X21" s="10">
        <v>4</v>
      </c>
      <c r="Y21" s="10"/>
      <c r="Z21" s="10"/>
      <c r="AA21" s="10"/>
      <c r="AB21" s="10"/>
      <c r="AC21" s="10">
        <v>4</v>
      </c>
      <c r="AD21" s="10"/>
      <c r="AE21" s="10"/>
      <c r="AF21" s="10"/>
      <c r="AG21" s="10"/>
      <c r="AH21" s="10"/>
      <c r="AI21" s="10"/>
      <c r="AJ21" s="10"/>
      <c r="AK21" s="27"/>
      <c r="AL21" s="10"/>
      <c r="AM21" s="9" t="s">
        <v>42</v>
      </c>
      <c r="AO21" s="10"/>
      <c r="AP21" s="10"/>
      <c r="AQ21" s="10"/>
      <c r="AR21" s="10"/>
      <c r="AS21" s="10"/>
      <c r="AT21" s="10"/>
      <c r="AU21" s="10" t="s">
        <v>80</v>
      </c>
      <c r="AV21" s="10" t="s">
        <v>80</v>
      </c>
      <c r="AX21" s="27"/>
      <c r="AY21" s="2" t="s">
        <v>80</v>
      </c>
      <c r="AZ21" s="2" t="s">
        <v>80</v>
      </c>
      <c r="BC21" s="9" t="s">
        <v>72</v>
      </c>
      <c r="BE21" s="2"/>
    </row>
    <row r="22" spans="1:57" s="25" customFormat="1" ht="16" customHeight="1">
      <c r="A22" s="31">
        <v>2023202741</v>
      </c>
      <c r="B22" s="32" t="s">
        <v>268</v>
      </c>
      <c r="C22" s="31" t="s">
        <v>82</v>
      </c>
      <c r="D22" s="31" t="s">
        <v>247</v>
      </c>
      <c r="E22" s="31" t="s">
        <v>248</v>
      </c>
      <c r="F22" s="10">
        <f>SUM(H22:$XEO22)</f>
        <v>16</v>
      </c>
      <c r="G22" s="10">
        <f>COUNT(H22:$XEX22)</f>
        <v>4</v>
      </c>
      <c r="H22" s="27"/>
      <c r="I22" s="2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4</v>
      </c>
      <c r="Y22" s="10"/>
      <c r="Z22" s="10"/>
      <c r="AA22" s="10"/>
      <c r="AB22" s="10"/>
      <c r="AC22" s="10"/>
      <c r="AD22" s="10"/>
      <c r="AE22" s="10"/>
      <c r="AF22" s="10"/>
      <c r="AG22" s="10">
        <v>4</v>
      </c>
      <c r="AH22" s="10">
        <v>4</v>
      </c>
      <c r="AI22" s="10"/>
      <c r="AJ22" s="10"/>
      <c r="AK22" s="27"/>
      <c r="AL22" s="10"/>
      <c r="AM22" s="9" t="s">
        <v>42</v>
      </c>
      <c r="AO22" s="10"/>
      <c r="AP22" s="10"/>
      <c r="AQ22" s="10"/>
      <c r="AR22" s="10"/>
      <c r="AS22" s="10"/>
      <c r="AT22" s="10"/>
      <c r="AU22" s="10" t="s">
        <v>80</v>
      </c>
      <c r="AV22" s="10" t="s">
        <v>80</v>
      </c>
      <c r="AX22" s="27"/>
      <c r="AY22" s="2">
        <v>4</v>
      </c>
      <c r="AZ22" s="2" t="s">
        <v>80</v>
      </c>
      <c r="BC22" s="9" t="s">
        <v>72</v>
      </c>
      <c r="BE22" s="2"/>
    </row>
    <row r="23" spans="1:57" s="25" customFormat="1" ht="16" customHeight="1">
      <c r="A23" s="31">
        <v>2023202738</v>
      </c>
      <c r="B23" s="31" t="s">
        <v>269</v>
      </c>
      <c r="C23" s="31" t="s">
        <v>77</v>
      </c>
      <c r="D23" s="31" t="s">
        <v>247</v>
      </c>
      <c r="E23" s="31" t="s">
        <v>248</v>
      </c>
      <c r="F23" s="10">
        <f>SUM(H23:$XEO23)</f>
        <v>34.25</v>
      </c>
      <c r="G23" s="10">
        <f>COUNT(H23:$XEX23)</f>
        <v>7</v>
      </c>
      <c r="H23" s="27"/>
      <c r="I23" s="27"/>
      <c r="J23" s="10"/>
      <c r="K23" s="10"/>
      <c r="L23" s="10"/>
      <c r="M23" s="10"/>
      <c r="N23" s="10"/>
      <c r="O23" s="10">
        <v>0.5</v>
      </c>
      <c r="P23" s="10"/>
      <c r="Q23" s="10">
        <v>5</v>
      </c>
      <c r="R23" s="10"/>
      <c r="S23" s="10"/>
      <c r="T23" s="10"/>
      <c r="U23" s="10"/>
      <c r="V23" s="10"/>
      <c r="W23" s="10"/>
      <c r="X23" s="10">
        <v>4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27"/>
      <c r="AL23" s="10"/>
      <c r="AM23" s="9" t="s">
        <v>42</v>
      </c>
      <c r="AN23" s="25">
        <v>10</v>
      </c>
      <c r="AO23" s="10">
        <v>0.75</v>
      </c>
      <c r="AP23" s="10"/>
      <c r="AQ23" s="10"/>
      <c r="AR23" s="10">
        <v>7</v>
      </c>
      <c r="AS23" s="10"/>
      <c r="AT23" s="10"/>
      <c r="AU23" s="10" t="s">
        <v>80</v>
      </c>
      <c r="AV23" s="10" t="s">
        <v>80</v>
      </c>
      <c r="AX23" s="27"/>
      <c r="AY23" s="2" t="s">
        <v>80</v>
      </c>
      <c r="AZ23" s="2" t="s">
        <v>80</v>
      </c>
      <c r="BC23" s="9" t="s">
        <v>72</v>
      </c>
      <c r="BD23" s="25">
        <v>7</v>
      </c>
      <c r="BE23" s="2"/>
    </row>
    <row r="24" spans="1:57" s="25" customFormat="1" ht="16" customHeight="1">
      <c r="A24" s="31">
        <v>2023202737</v>
      </c>
      <c r="B24" s="31" t="s">
        <v>270</v>
      </c>
      <c r="C24" s="31" t="s">
        <v>77</v>
      </c>
      <c r="D24" s="31" t="s">
        <v>247</v>
      </c>
      <c r="E24" s="31" t="s">
        <v>248</v>
      </c>
      <c r="F24" s="10">
        <f>SUM(H24:$XEO24)</f>
        <v>13.5</v>
      </c>
      <c r="G24" s="10">
        <f>COUNT(H24:$XEX24)</f>
        <v>4</v>
      </c>
      <c r="H24" s="27"/>
      <c r="I24" s="27"/>
      <c r="J24" s="10"/>
      <c r="K24" s="10"/>
      <c r="L24" s="10"/>
      <c r="M24" s="10"/>
      <c r="N24" s="10"/>
      <c r="O24" s="10">
        <v>0.5</v>
      </c>
      <c r="P24" s="10"/>
      <c r="Q24" s="10"/>
      <c r="R24" s="10"/>
      <c r="S24" s="10">
        <v>7</v>
      </c>
      <c r="T24" s="10"/>
      <c r="U24" s="10"/>
      <c r="V24" s="10"/>
      <c r="W24" s="10"/>
      <c r="X24" s="10">
        <v>4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27"/>
      <c r="AL24" s="10"/>
      <c r="AM24" s="9" t="s">
        <v>42</v>
      </c>
      <c r="AO24" s="10"/>
      <c r="AP24" s="10"/>
      <c r="AQ24" s="10"/>
      <c r="AR24" s="10"/>
      <c r="AS24" s="10"/>
      <c r="AT24" s="10"/>
      <c r="AU24" s="10" t="s">
        <v>80</v>
      </c>
      <c r="AV24" s="10" t="s">
        <v>80</v>
      </c>
      <c r="AX24" s="27"/>
      <c r="AY24" s="2" t="s">
        <v>80</v>
      </c>
      <c r="AZ24" s="2" t="s">
        <v>80</v>
      </c>
      <c r="BC24" s="9" t="s">
        <v>72</v>
      </c>
      <c r="BD24" s="25">
        <v>2</v>
      </c>
      <c r="BE24" s="2"/>
    </row>
    <row r="25" spans="1:57" s="25" customFormat="1" ht="16" customHeight="1">
      <c r="A25" s="31">
        <v>2023202724</v>
      </c>
      <c r="B25" s="31" t="s">
        <v>271</v>
      </c>
      <c r="C25" s="31" t="s">
        <v>77</v>
      </c>
      <c r="D25" s="31" t="s">
        <v>247</v>
      </c>
      <c r="E25" s="31" t="s">
        <v>248</v>
      </c>
      <c r="F25" s="10">
        <f>SUM(H25:$XEO25)</f>
        <v>61.5</v>
      </c>
      <c r="G25" s="10">
        <f>COUNT(H25:$XEX25)</f>
        <v>6</v>
      </c>
      <c r="H25" s="27"/>
      <c r="I25" s="27">
        <v>0.5</v>
      </c>
      <c r="J25" s="10"/>
      <c r="K25" s="10"/>
      <c r="L25" s="10"/>
      <c r="M25" s="10"/>
      <c r="N25" s="10"/>
      <c r="O25" s="10">
        <v>0.5</v>
      </c>
      <c r="P25" s="10"/>
      <c r="Q25" s="10"/>
      <c r="R25" s="10"/>
      <c r="S25" s="10"/>
      <c r="T25" s="10"/>
      <c r="U25" s="10"/>
      <c r="V25" s="10"/>
      <c r="W25" s="10"/>
      <c r="X25" s="10">
        <v>4.5</v>
      </c>
      <c r="Y25" s="10"/>
      <c r="Z25" s="10"/>
      <c r="AA25" s="10"/>
      <c r="AB25" s="10"/>
      <c r="AC25" s="10"/>
      <c r="AD25" s="10"/>
      <c r="AE25" s="10"/>
      <c r="AF25" s="10"/>
      <c r="AG25" s="10">
        <v>4</v>
      </c>
      <c r="AH25" s="10"/>
      <c r="AI25" s="10">
        <v>2</v>
      </c>
      <c r="AJ25" s="10"/>
      <c r="AK25" s="27"/>
      <c r="AL25" s="10"/>
      <c r="AM25" s="9" t="s">
        <v>42</v>
      </c>
      <c r="AO25" s="10"/>
      <c r="AP25" s="10"/>
      <c r="AQ25" s="10"/>
      <c r="AR25" s="10"/>
      <c r="AS25" s="10"/>
      <c r="AT25" s="10"/>
      <c r="AU25" s="10" t="s">
        <v>80</v>
      </c>
      <c r="AV25" s="10" t="s">
        <v>80</v>
      </c>
      <c r="AX25" s="27"/>
      <c r="AY25" s="2" t="s">
        <v>80</v>
      </c>
      <c r="AZ25" s="2" t="s">
        <v>80</v>
      </c>
      <c r="BB25" s="25">
        <v>50</v>
      </c>
      <c r="BC25" s="9" t="s">
        <v>72</v>
      </c>
      <c r="BE25" s="2"/>
    </row>
    <row r="26" spans="1:57" s="25" customFormat="1" ht="16" customHeight="1">
      <c r="A26" s="31">
        <v>2023202722</v>
      </c>
      <c r="B26" s="31" t="s">
        <v>272</v>
      </c>
      <c r="C26" s="31" t="s">
        <v>77</v>
      </c>
      <c r="D26" s="31" t="s">
        <v>247</v>
      </c>
      <c r="E26" s="31" t="s">
        <v>248</v>
      </c>
      <c r="F26" s="10">
        <f>SUM(H26:$XEO26)</f>
        <v>91.5</v>
      </c>
      <c r="G26" s="10">
        <f>COUNT(H26:$XEX26)</f>
        <v>17</v>
      </c>
      <c r="H26" s="27"/>
      <c r="I26" s="27"/>
      <c r="J26" s="10"/>
      <c r="K26" s="10"/>
      <c r="L26" s="10">
        <v>1.5</v>
      </c>
      <c r="M26" s="10">
        <v>17</v>
      </c>
      <c r="N26" s="10"/>
      <c r="O26" s="10">
        <v>0.5</v>
      </c>
      <c r="P26" s="10"/>
      <c r="Q26" s="10"/>
      <c r="R26" s="10"/>
      <c r="S26" s="10"/>
      <c r="T26" s="10">
        <v>4.5</v>
      </c>
      <c r="U26" s="10"/>
      <c r="V26" s="10"/>
      <c r="W26" s="10"/>
      <c r="X26" s="10">
        <v>4</v>
      </c>
      <c r="Y26" s="10"/>
      <c r="Z26" s="10">
        <v>6</v>
      </c>
      <c r="AA26" s="10">
        <v>4</v>
      </c>
      <c r="AB26" s="10"/>
      <c r="AC26" s="10"/>
      <c r="AD26" s="10"/>
      <c r="AE26" s="10"/>
      <c r="AF26" s="10"/>
      <c r="AG26" s="10">
        <v>4</v>
      </c>
      <c r="AH26" s="10">
        <v>4</v>
      </c>
      <c r="AI26" s="10">
        <v>2</v>
      </c>
      <c r="AJ26" s="10"/>
      <c r="AK26" s="27">
        <v>12</v>
      </c>
      <c r="AL26" s="10"/>
      <c r="AM26" s="9" t="s">
        <v>42</v>
      </c>
      <c r="AO26" s="10"/>
      <c r="AP26" s="10"/>
      <c r="AQ26" s="10">
        <v>16</v>
      </c>
      <c r="AR26" s="10">
        <v>5</v>
      </c>
      <c r="AS26" s="10"/>
      <c r="AT26" s="10"/>
      <c r="AU26" s="10">
        <v>3</v>
      </c>
      <c r="AV26" s="10">
        <v>2</v>
      </c>
      <c r="AX26" s="27"/>
      <c r="AY26" s="2">
        <v>4</v>
      </c>
      <c r="AZ26" s="2">
        <v>2</v>
      </c>
      <c r="BC26" s="9" t="s">
        <v>72</v>
      </c>
      <c r="BE26" s="2"/>
    </row>
    <row r="27" spans="1:57">
      <c r="BE27" s="2"/>
    </row>
    <row r="28" spans="1:57">
      <c r="BE28" s="2"/>
    </row>
    <row r="29" spans="1:57">
      <c r="BE29" s="2"/>
    </row>
    <row r="30" spans="1:57">
      <c r="BE30" s="2"/>
    </row>
    <row r="31" spans="1:57">
      <c r="BE31" s="2"/>
    </row>
    <row r="32" spans="1:57">
      <c r="BE32" s="2"/>
    </row>
    <row r="33" spans="57:57">
      <c r="BE33" s="2"/>
    </row>
    <row r="34" spans="57:57">
      <c r="BE34" s="2"/>
    </row>
    <row r="35" spans="57:57">
      <c r="BE35" s="2"/>
    </row>
    <row r="36" spans="57:57">
      <c r="BE36" s="2"/>
    </row>
    <row r="37" spans="57:57">
      <c r="BE37" s="2"/>
    </row>
    <row r="38" spans="57:57">
      <c r="BE38" s="2"/>
    </row>
    <row r="39" spans="57:57">
      <c r="BE39" s="2"/>
    </row>
    <row r="40" spans="57:57">
      <c r="BE40" s="2"/>
    </row>
    <row r="41" spans="57:57">
      <c r="BE41" s="2"/>
    </row>
    <row r="42" spans="57:57">
      <c r="BE42" s="2"/>
    </row>
    <row r="43" spans="57:57">
      <c r="BE43" s="2"/>
    </row>
    <row r="44" spans="57:57">
      <c r="BE44" s="2"/>
    </row>
    <row r="45" spans="57:57">
      <c r="BE45" s="2"/>
    </row>
    <row r="46" spans="57:57">
      <c r="BE46" s="2"/>
    </row>
    <row r="47" spans="57:57">
      <c r="BE47" s="2"/>
    </row>
    <row r="48" spans="57:57">
      <c r="BE48" s="2"/>
    </row>
    <row r="49" spans="57:57">
      <c r="BE49" s="2"/>
    </row>
    <row r="50" spans="57:57">
      <c r="BE50" s="2"/>
    </row>
    <row r="51" spans="57:57">
      <c r="BE51" s="2"/>
    </row>
    <row r="52" spans="57:57">
      <c r="BE52" s="2"/>
    </row>
    <row r="53" spans="57:57">
      <c r="BE53" s="2"/>
    </row>
    <row r="54" spans="57:57">
      <c r="BE54" s="2"/>
    </row>
    <row r="55" spans="57:57">
      <c r="BE55" s="2"/>
    </row>
    <row r="56" spans="57:57">
      <c r="BE56" s="2"/>
    </row>
  </sheetData>
  <phoneticPr fontId="13" type="noConversion"/>
  <pageMargins left="0.75" right="0.75" top="1" bottom="1" header="0.5" footer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61"/>
  <sheetViews>
    <sheetView zoomScale="74" zoomScaleNormal="74" workbookViewId="0">
      <pane xSplit="7" ySplit="1" topLeftCell="BT11" activePane="bottomRight" state="frozen"/>
      <selection pane="topRight"/>
      <selection pane="bottomLeft"/>
      <selection pane="bottomRight" activeCell="BY1" sqref="BY1:BY1048576"/>
    </sheetView>
  </sheetViews>
  <sheetFormatPr baseColWidth="10" defaultColWidth="9.6640625" defaultRowHeight="17"/>
  <cols>
    <col min="1" max="1" width="14.83203125" style="14" customWidth="1"/>
    <col min="2" max="2" width="10.33203125" style="14" customWidth="1"/>
    <col min="3" max="3" width="8.83203125" style="14" customWidth="1"/>
    <col min="4" max="4" width="12.83203125" style="14" customWidth="1"/>
    <col min="5" max="5" width="12" style="14" customWidth="1"/>
    <col min="6" max="7" width="10.83203125" style="14" customWidth="1"/>
    <col min="8" max="8" width="26.6640625" style="14" customWidth="1"/>
    <col min="9" max="9" width="15" style="14" customWidth="1"/>
    <col min="10" max="10" width="13.83203125" style="14" customWidth="1"/>
    <col min="11" max="13" width="16.83203125" style="14" customWidth="1"/>
    <col min="14" max="14" width="9.6640625" style="14" customWidth="1"/>
    <col min="15" max="15" width="11.5" style="14" customWidth="1"/>
    <col min="16" max="16" width="18" style="14" customWidth="1"/>
    <col min="17" max="17" width="19.5" style="14" customWidth="1"/>
    <col min="18" max="18" width="11.1640625" style="14" customWidth="1"/>
    <col min="19" max="19" width="13.5" style="14" customWidth="1"/>
    <col min="20" max="20" width="16.5" style="14" customWidth="1"/>
    <col min="21" max="21" width="7.83203125" style="14"/>
    <col min="22" max="23" width="13.33203125" style="14" customWidth="1"/>
    <col min="24" max="24" width="7.83203125" style="14"/>
    <col min="25" max="25" width="13.1640625" style="14" customWidth="1"/>
    <col min="26" max="26" width="14.6640625" style="14" customWidth="1"/>
    <col min="27" max="27" width="13.83203125" style="14" customWidth="1"/>
    <col min="28" max="28" width="10" style="14" customWidth="1"/>
    <col min="29" max="32" width="9.6640625" style="14"/>
    <col min="33" max="33" width="20" style="14" customWidth="1"/>
    <col min="34" max="34" width="9.6640625" style="14"/>
    <col min="35" max="35" width="14.1640625" style="14" customWidth="1"/>
    <col min="36" max="37" width="10.5" style="14" customWidth="1"/>
    <col min="38" max="45" width="9.6640625" style="14"/>
    <col min="46" max="46" width="8.5" style="14" customWidth="1"/>
    <col min="47" max="47" width="8.6640625" style="14" customWidth="1"/>
    <col min="48" max="51" width="9.6640625" style="14"/>
    <col min="52" max="53" width="11.5" style="14" customWidth="1"/>
    <col min="54" max="54" width="9.6640625" style="14"/>
    <col min="55" max="56" width="9.83203125" style="14" customWidth="1"/>
    <col min="57" max="57" width="5.5" style="14" customWidth="1"/>
    <col min="58" max="63" width="9.6640625" style="14"/>
    <col min="64" max="65" width="11.33203125" style="14" customWidth="1"/>
    <col min="66" max="68" width="9.6640625" style="14"/>
    <col min="69" max="69" width="16.83203125" style="14" customWidth="1"/>
    <col min="70" max="70" width="1.33203125" hidden="1" customWidth="1"/>
    <col min="71" max="71" width="1.1640625" style="14" hidden="1" customWidth="1"/>
    <col min="72" max="72" width="13.1640625" style="14" customWidth="1"/>
    <col min="73" max="75" width="9.6640625" style="14"/>
    <col min="76" max="76" width="8.6640625" style="14" customWidth="1"/>
    <col min="77" max="16384" width="9.6640625" style="14"/>
  </cols>
  <sheetData>
    <row r="1" spans="1:77" s="2" customFormat="1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273</v>
      </c>
      <c r="I1" s="17" t="s">
        <v>212</v>
      </c>
      <c r="J1" s="17" t="s">
        <v>8</v>
      </c>
      <c r="K1" s="17" t="s">
        <v>9</v>
      </c>
      <c r="L1" s="17" t="s">
        <v>168</v>
      </c>
      <c r="M1" s="17" t="s">
        <v>10</v>
      </c>
      <c r="N1" s="18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17</v>
      </c>
      <c r="T1" s="1" t="s">
        <v>18</v>
      </c>
      <c r="U1" s="1" t="s">
        <v>170</v>
      </c>
      <c r="V1" s="1" t="s">
        <v>19</v>
      </c>
      <c r="W1" s="1" t="s">
        <v>20</v>
      </c>
      <c r="X1" s="1" t="s">
        <v>171</v>
      </c>
      <c r="Y1" s="1" t="s">
        <v>114</v>
      </c>
      <c r="Z1" s="1" t="s">
        <v>21</v>
      </c>
      <c r="AA1" s="19" t="s">
        <v>22</v>
      </c>
      <c r="AB1" s="2" t="s">
        <v>23</v>
      </c>
      <c r="AC1" s="2" t="s">
        <v>243</v>
      </c>
      <c r="AD1" s="2" t="s">
        <v>25</v>
      </c>
      <c r="AE1" s="2" t="s">
        <v>26</v>
      </c>
      <c r="AF1" s="2" t="s">
        <v>27</v>
      </c>
      <c r="AG1" s="1" t="s">
        <v>28</v>
      </c>
      <c r="AH1" s="2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2" t="s">
        <v>35</v>
      </c>
      <c r="AO1" s="2" t="s">
        <v>36</v>
      </c>
      <c r="AP1" s="2" t="s">
        <v>37</v>
      </c>
      <c r="AQ1" s="2" t="s">
        <v>11</v>
      </c>
      <c r="AR1" s="2" t="s">
        <v>40</v>
      </c>
      <c r="AS1" s="2" t="s">
        <v>274</v>
      </c>
      <c r="AT1" s="2" t="s">
        <v>41</v>
      </c>
      <c r="AU1" s="9" t="s">
        <v>42</v>
      </c>
      <c r="AV1" s="2" t="s">
        <v>43</v>
      </c>
      <c r="AW1" s="2" t="s">
        <v>117</v>
      </c>
      <c r="AX1" s="2" t="s">
        <v>44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173</v>
      </c>
      <c r="BE1" s="2" t="s">
        <v>51</v>
      </c>
      <c r="BF1" s="2" t="s">
        <v>53</v>
      </c>
      <c r="BG1" s="2" t="s">
        <v>54</v>
      </c>
      <c r="BH1" s="2" t="s">
        <v>174</v>
      </c>
      <c r="BI1" s="2" t="s">
        <v>55</v>
      </c>
      <c r="BJ1" s="2" t="s">
        <v>56</v>
      </c>
      <c r="BK1" s="2" t="s">
        <v>59</v>
      </c>
      <c r="BL1" s="10" t="s">
        <v>60</v>
      </c>
      <c r="BM1" s="10" t="s">
        <v>61</v>
      </c>
      <c r="BN1" s="10" t="s">
        <v>62</v>
      </c>
      <c r="BO1" s="10" t="s">
        <v>63</v>
      </c>
      <c r="BP1" s="1" t="s">
        <v>64</v>
      </c>
      <c r="BQ1" s="1" t="s">
        <v>70</v>
      </c>
      <c r="BT1" s="2" t="s">
        <v>66</v>
      </c>
      <c r="BU1" s="2" t="s">
        <v>67</v>
      </c>
      <c r="BV1" s="2" t="s">
        <v>275</v>
      </c>
      <c r="BW1" s="2" t="s">
        <v>176</v>
      </c>
      <c r="BX1" s="9" t="s">
        <v>72</v>
      </c>
      <c r="BY1" s="2" t="s">
        <v>74</v>
      </c>
    </row>
    <row r="2" spans="1:77" s="1" customFormat="1" ht="22.5" customHeight="1">
      <c r="A2" s="20">
        <v>2023202561</v>
      </c>
      <c r="B2" s="20" t="s">
        <v>276</v>
      </c>
      <c r="C2" s="20" t="s">
        <v>77</v>
      </c>
      <c r="D2" s="20" t="s">
        <v>159</v>
      </c>
      <c r="E2" s="20" t="s">
        <v>277</v>
      </c>
      <c r="F2" s="21">
        <f>SUM(H2:$XEO2)</f>
        <v>39.5</v>
      </c>
      <c r="G2" s="10">
        <f>COUNT(H2:$XFC2)</f>
        <v>5</v>
      </c>
      <c r="H2" s="21"/>
      <c r="I2" s="21"/>
      <c r="J2" s="21"/>
      <c r="K2" s="21"/>
      <c r="L2" s="21"/>
      <c r="M2" s="21"/>
      <c r="P2" s="1">
        <v>16</v>
      </c>
      <c r="R2" s="1">
        <v>0.5</v>
      </c>
      <c r="U2" s="1">
        <v>16</v>
      </c>
      <c r="AQ2" s="1">
        <v>6</v>
      </c>
      <c r="AU2" s="9" t="s">
        <v>42</v>
      </c>
      <c r="BL2" s="10" t="s">
        <v>80</v>
      </c>
      <c r="BM2" s="10"/>
      <c r="BN2" s="10">
        <v>1</v>
      </c>
      <c r="BQ2" s="21"/>
      <c r="BT2" s="2" t="s">
        <v>80</v>
      </c>
      <c r="BU2" s="2" t="s">
        <v>80</v>
      </c>
      <c r="BX2" s="9" t="s">
        <v>72</v>
      </c>
    </row>
    <row r="3" spans="1:77" s="2" customFormat="1" ht="22.5" customHeight="1">
      <c r="A3" s="20">
        <v>2023202563</v>
      </c>
      <c r="B3" s="20" t="s">
        <v>278</v>
      </c>
      <c r="C3" s="20" t="s">
        <v>77</v>
      </c>
      <c r="D3" s="20" t="s">
        <v>159</v>
      </c>
      <c r="E3" s="20" t="s">
        <v>277</v>
      </c>
      <c r="F3" s="21">
        <f>SUM(H3:$XEO3)</f>
        <v>19.5</v>
      </c>
      <c r="G3" s="10">
        <f>COUNT(H3:$XFC3)</f>
        <v>7</v>
      </c>
      <c r="H3" s="21"/>
      <c r="I3" s="21"/>
      <c r="J3" s="21">
        <v>0.5</v>
      </c>
      <c r="K3" s="21"/>
      <c r="L3" s="21"/>
      <c r="M3" s="21"/>
      <c r="N3" s="1"/>
      <c r="O3" s="1"/>
      <c r="P3" s="1"/>
      <c r="Q3" s="1"/>
      <c r="S3" s="1"/>
      <c r="T3" s="1"/>
      <c r="U3" s="1"/>
      <c r="V3" s="1"/>
      <c r="W3" s="1"/>
      <c r="X3" s="1"/>
      <c r="Y3" s="1"/>
      <c r="Z3" s="1"/>
      <c r="AA3" s="2">
        <v>4</v>
      </c>
      <c r="AJ3" s="1"/>
      <c r="AK3" s="1"/>
      <c r="AN3" s="2">
        <v>4</v>
      </c>
      <c r="AS3" s="2">
        <v>4</v>
      </c>
      <c r="AU3" s="9" t="s">
        <v>42</v>
      </c>
      <c r="BB3" s="2">
        <v>2</v>
      </c>
      <c r="BL3" s="10">
        <v>3</v>
      </c>
      <c r="BM3" s="10" t="s">
        <v>80</v>
      </c>
      <c r="BN3" s="10">
        <v>2</v>
      </c>
      <c r="BQ3" s="21"/>
      <c r="BT3" s="2" t="s">
        <v>80</v>
      </c>
      <c r="BU3" s="2" t="s">
        <v>80</v>
      </c>
      <c r="BX3" s="9" t="s">
        <v>72</v>
      </c>
    </row>
    <row r="4" spans="1:77" s="2" customFormat="1" ht="22.5" customHeight="1">
      <c r="A4" s="20">
        <v>2023202564</v>
      </c>
      <c r="B4" s="20" t="s">
        <v>279</v>
      </c>
      <c r="C4" s="20" t="s">
        <v>77</v>
      </c>
      <c r="D4" s="20" t="s">
        <v>159</v>
      </c>
      <c r="E4" s="20" t="s">
        <v>277</v>
      </c>
      <c r="F4" s="21">
        <f>SUM(H4:$XEO4)</f>
        <v>50.5</v>
      </c>
      <c r="G4" s="10">
        <f>COUNT(H4:$XFC4)</f>
        <v>14</v>
      </c>
      <c r="H4" s="21">
        <v>4</v>
      </c>
      <c r="I4" s="21"/>
      <c r="J4" s="21">
        <v>3.5</v>
      </c>
      <c r="K4" s="21"/>
      <c r="L4" s="21"/>
      <c r="M4" s="21"/>
      <c r="N4" s="1"/>
      <c r="O4" s="1"/>
      <c r="P4" s="1"/>
      <c r="Q4" s="1"/>
      <c r="R4" s="2">
        <v>0.5</v>
      </c>
      <c r="S4" s="1"/>
      <c r="T4" s="1"/>
      <c r="U4" s="1"/>
      <c r="V4" s="1"/>
      <c r="W4" s="1"/>
      <c r="X4" s="1"/>
      <c r="Y4" s="1"/>
      <c r="Z4" s="1"/>
      <c r="AF4" s="2">
        <v>5</v>
      </c>
      <c r="AI4" s="2">
        <v>4</v>
      </c>
      <c r="AJ4" s="1"/>
      <c r="AK4" s="1"/>
      <c r="AN4" s="2">
        <v>4</v>
      </c>
      <c r="AO4" s="2">
        <v>4</v>
      </c>
      <c r="AR4" s="2">
        <v>4.5</v>
      </c>
      <c r="AS4" s="2">
        <v>4</v>
      </c>
      <c r="AU4" s="9" t="s">
        <v>42</v>
      </c>
      <c r="AW4" s="2">
        <v>4</v>
      </c>
      <c r="BB4" s="2">
        <v>1</v>
      </c>
      <c r="BG4" s="2">
        <v>4</v>
      </c>
      <c r="BI4" s="2">
        <v>4</v>
      </c>
      <c r="BL4" s="10" t="s">
        <v>80</v>
      </c>
      <c r="BM4" s="10" t="s">
        <v>80</v>
      </c>
      <c r="BN4" s="10" t="s">
        <v>80</v>
      </c>
      <c r="BQ4" s="21"/>
      <c r="BT4" s="2">
        <v>4</v>
      </c>
      <c r="BU4" s="2" t="s">
        <v>80</v>
      </c>
      <c r="BX4" s="9" t="s">
        <v>72</v>
      </c>
    </row>
    <row r="5" spans="1:77" s="2" customFormat="1" ht="22.5" customHeight="1">
      <c r="A5" s="20">
        <v>2023202566</v>
      </c>
      <c r="B5" s="20" t="s">
        <v>280</v>
      </c>
      <c r="C5" s="20" t="s">
        <v>82</v>
      </c>
      <c r="D5" s="20" t="s">
        <v>159</v>
      </c>
      <c r="E5" s="20" t="s">
        <v>277</v>
      </c>
      <c r="F5" s="21">
        <f>SUM(H5:$XEO5)</f>
        <v>0</v>
      </c>
      <c r="G5" s="10">
        <f>COUNT(H5:$XFC5)</f>
        <v>0</v>
      </c>
      <c r="H5" s="21"/>
      <c r="I5" s="21"/>
      <c r="J5" s="21"/>
      <c r="K5" s="21"/>
      <c r="L5" s="21"/>
      <c r="M5" s="2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J5" s="1"/>
      <c r="AK5" s="1"/>
      <c r="AU5" s="9" t="s">
        <v>42</v>
      </c>
      <c r="BL5" s="10" t="s">
        <v>80</v>
      </c>
      <c r="BM5" s="10" t="s">
        <v>80</v>
      </c>
      <c r="BN5" s="10" t="s">
        <v>80</v>
      </c>
      <c r="BQ5" s="21"/>
      <c r="BT5" s="2" t="s">
        <v>80</v>
      </c>
      <c r="BU5" s="2" t="s">
        <v>80</v>
      </c>
      <c r="BX5" s="9" t="s">
        <v>72</v>
      </c>
    </row>
    <row r="6" spans="1:77" s="2" customFormat="1" ht="22.5" customHeight="1">
      <c r="A6" s="20">
        <v>2023202567</v>
      </c>
      <c r="B6" s="20" t="s">
        <v>281</v>
      </c>
      <c r="C6" s="20" t="s">
        <v>77</v>
      </c>
      <c r="D6" s="20" t="s">
        <v>159</v>
      </c>
      <c r="E6" s="20" t="s">
        <v>277</v>
      </c>
      <c r="F6" s="21">
        <f>SUM(H6:$XEO6)</f>
        <v>28.5</v>
      </c>
      <c r="G6" s="10">
        <f>COUNT(H6:$XFC6)</f>
        <v>4</v>
      </c>
      <c r="H6" s="21"/>
      <c r="I6" s="21"/>
      <c r="J6" s="21"/>
      <c r="K6" s="21"/>
      <c r="L6" s="21"/>
      <c r="M6" s="21"/>
      <c r="N6" s="1"/>
      <c r="O6" s="1">
        <v>5</v>
      </c>
      <c r="P6" s="1">
        <v>16</v>
      </c>
      <c r="Q6" s="1"/>
      <c r="R6" s="2">
        <v>0.5</v>
      </c>
      <c r="S6" s="1"/>
      <c r="T6" s="1"/>
      <c r="U6" s="1"/>
      <c r="V6" s="1"/>
      <c r="W6" s="1">
        <v>7</v>
      </c>
      <c r="X6" s="1"/>
      <c r="Y6" s="1"/>
      <c r="Z6" s="1"/>
      <c r="AJ6" s="1"/>
      <c r="AK6" s="1"/>
      <c r="AU6" s="9" t="s">
        <v>42</v>
      </c>
      <c r="BL6" s="10" t="s">
        <v>80</v>
      </c>
      <c r="BM6" s="10" t="s">
        <v>80</v>
      </c>
      <c r="BN6" s="10" t="s">
        <v>80</v>
      </c>
      <c r="BQ6" s="21"/>
      <c r="BT6" s="2" t="s">
        <v>80</v>
      </c>
      <c r="BU6" s="2" t="s">
        <v>80</v>
      </c>
      <c r="BX6" s="9" t="s">
        <v>72</v>
      </c>
    </row>
    <row r="7" spans="1:77" s="2" customFormat="1" ht="22.5" customHeight="1">
      <c r="A7" s="20">
        <v>2023202573</v>
      </c>
      <c r="B7" s="20" t="s">
        <v>282</v>
      </c>
      <c r="C7" s="20" t="s">
        <v>82</v>
      </c>
      <c r="D7" s="20" t="s">
        <v>159</v>
      </c>
      <c r="E7" s="20" t="s">
        <v>277</v>
      </c>
      <c r="F7" s="21">
        <f>SUM(H7:$XEO7)</f>
        <v>59.5</v>
      </c>
      <c r="G7" s="10">
        <f>COUNT(H7:$XFC7)</f>
        <v>6</v>
      </c>
      <c r="H7" s="21"/>
      <c r="I7" s="21"/>
      <c r="J7" s="21"/>
      <c r="K7" s="21">
        <v>20</v>
      </c>
      <c r="L7" s="21"/>
      <c r="M7" s="21"/>
      <c r="N7" s="1"/>
      <c r="O7" s="1"/>
      <c r="P7" s="1"/>
      <c r="Q7" s="1"/>
      <c r="R7" s="2">
        <v>0.5</v>
      </c>
      <c r="S7" s="1"/>
      <c r="T7" s="1"/>
      <c r="U7" s="1"/>
      <c r="V7" s="1"/>
      <c r="W7" s="1"/>
      <c r="X7" s="1"/>
      <c r="Y7" s="1"/>
      <c r="Z7" s="1"/>
      <c r="AJ7" s="1"/>
      <c r="AK7" s="1"/>
      <c r="AN7" s="2">
        <v>4</v>
      </c>
      <c r="AO7" s="2">
        <v>4</v>
      </c>
      <c r="AT7" s="2">
        <v>28</v>
      </c>
      <c r="AU7" s="9" t="s">
        <v>42</v>
      </c>
      <c r="AZ7" s="2">
        <v>3</v>
      </c>
      <c r="BL7" s="10" t="s">
        <v>80</v>
      </c>
      <c r="BM7" s="10" t="s">
        <v>80</v>
      </c>
      <c r="BN7" s="10" t="s">
        <v>80</v>
      </c>
      <c r="BQ7" s="21"/>
      <c r="BT7" s="2" t="s">
        <v>80</v>
      </c>
      <c r="BU7" s="2" t="s">
        <v>80</v>
      </c>
      <c r="BX7" s="9" t="s">
        <v>72</v>
      </c>
    </row>
    <row r="8" spans="1:77" s="2" customFormat="1" ht="22.5" customHeight="1">
      <c r="A8" s="20">
        <v>2023202576</v>
      </c>
      <c r="B8" s="20" t="s">
        <v>283</v>
      </c>
      <c r="C8" s="20" t="s">
        <v>82</v>
      </c>
      <c r="D8" s="20" t="s">
        <v>159</v>
      </c>
      <c r="E8" s="20" t="s">
        <v>277</v>
      </c>
      <c r="F8" s="21">
        <f>SUM(H8:$XEO8)</f>
        <v>176</v>
      </c>
      <c r="G8" s="10">
        <f>COUNT(H8:$XFC8)</f>
        <v>21</v>
      </c>
      <c r="H8" s="21">
        <v>4</v>
      </c>
      <c r="I8" s="21"/>
      <c r="J8" s="21"/>
      <c r="K8" s="21">
        <v>8</v>
      </c>
      <c r="L8" s="21"/>
      <c r="M8" s="21"/>
      <c r="N8" s="1"/>
      <c r="O8" s="1"/>
      <c r="P8" s="1"/>
      <c r="Q8" s="1"/>
      <c r="R8" s="2">
        <v>0.5</v>
      </c>
      <c r="S8" s="1"/>
      <c r="T8" s="1"/>
      <c r="U8" s="1"/>
      <c r="V8" s="1"/>
      <c r="W8" s="1"/>
      <c r="X8" s="1"/>
      <c r="Y8" s="1"/>
      <c r="Z8" s="1"/>
      <c r="AJ8" s="1"/>
      <c r="AK8" s="1"/>
      <c r="AM8" s="2">
        <v>6</v>
      </c>
      <c r="AN8" s="2">
        <v>4</v>
      </c>
      <c r="AO8" s="2">
        <v>4</v>
      </c>
      <c r="AU8" s="9" t="s">
        <v>42</v>
      </c>
      <c r="AX8" s="2">
        <v>4</v>
      </c>
      <c r="AY8" s="2">
        <v>10</v>
      </c>
      <c r="AZ8" s="2">
        <v>5.5</v>
      </c>
      <c r="BB8" s="2">
        <v>2</v>
      </c>
      <c r="BE8" s="2">
        <v>3</v>
      </c>
      <c r="BG8" s="2">
        <v>4</v>
      </c>
      <c r="BI8" s="2">
        <v>5</v>
      </c>
      <c r="BK8" s="2">
        <v>4</v>
      </c>
      <c r="BL8" s="10" t="s">
        <v>80</v>
      </c>
      <c r="BM8" s="10" t="s">
        <v>80</v>
      </c>
      <c r="BN8" s="10" t="s">
        <v>80</v>
      </c>
      <c r="BO8" s="2">
        <v>4</v>
      </c>
      <c r="BP8" s="2">
        <v>4</v>
      </c>
      <c r="BQ8" s="21">
        <v>60</v>
      </c>
      <c r="BR8" s="2">
        <v>0</v>
      </c>
      <c r="BS8" s="2">
        <v>0</v>
      </c>
      <c r="BT8" s="2">
        <v>4</v>
      </c>
      <c r="BU8" s="2" t="s">
        <v>80</v>
      </c>
      <c r="BW8" s="2">
        <v>40</v>
      </c>
      <c r="BX8" s="9" t="s">
        <v>72</v>
      </c>
    </row>
    <row r="9" spans="1:77" s="2" customFormat="1" ht="22.5" customHeight="1">
      <c r="A9" s="20">
        <v>2023202577</v>
      </c>
      <c r="B9" s="20" t="s">
        <v>284</v>
      </c>
      <c r="C9" s="20" t="s">
        <v>82</v>
      </c>
      <c r="D9" s="20" t="s">
        <v>159</v>
      </c>
      <c r="E9" s="20" t="s">
        <v>277</v>
      </c>
      <c r="F9" s="21">
        <f>SUM(H9:$XEO9)</f>
        <v>5</v>
      </c>
      <c r="G9" s="10">
        <f>COUNT(H9:$XFC9)</f>
        <v>3</v>
      </c>
      <c r="H9" s="21"/>
      <c r="I9" s="21">
        <v>2.5</v>
      </c>
      <c r="J9" s="21">
        <v>0.5</v>
      </c>
      <c r="K9" s="21"/>
      <c r="L9" s="21"/>
      <c r="M9" s="21"/>
      <c r="N9" s="1"/>
      <c r="O9" s="1"/>
      <c r="P9" s="1"/>
      <c r="Q9" s="1"/>
      <c r="S9" s="1"/>
      <c r="T9" s="1"/>
      <c r="U9" s="1">
        <v>2</v>
      </c>
      <c r="V9" s="1"/>
      <c r="W9" s="1"/>
      <c r="X9" s="1"/>
      <c r="Y9" s="1"/>
      <c r="Z9" s="1"/>
      <c r="AJ9" s="1"/>
      <c r="AK9" s="1"/>
      <c r="AU9" s="9" t="s">
        <v>42</v>
      </c>
      <c r="BL9" s="10" t="s">
        <v>80</v>
      </c>
      <c r="BM9" s="10" t="s">
        <v>80</v>
      </c>
      <c r="BN9" s="10" t="s">
        <v>80</v>
      </c>
      <c r="BQ9" s="21"/>
      <c r="BT9" s="2" t="s">
        <v>80</v>
      </c>
      <c r="BU9" s="2" t="s">
        <v>80</v>
      </c>
      <c r="BX9" s="9" t="s">
        <v>72</v>
      </c>
    </row>
    <row r="10" spans="1:77" s="2" customFormat="1" ht="22.5" customHeight="1">
      <c r="A10" s="20">
        <v>2023202581</v>
      </c>
      <c r="B10" s="22" t="s">
        <v>161</v>
      </c>
      <c r="C10" s="20" t="s">
        <v>82</v>
      </c>
      <c r="D10" s="20" t="s">
        <v>159</v>
      </c>
      <c r="E10" s="20" t="s">
        <v>277</v>
      </c>
      <c r="F10" s="21">
        <f>SUM(H10:$XEO10)</f>
        <v>4</v>
      </c>
      <c r="G10" s="10">
        <f>COUNT(H10:$XFC10)</f>
        <v>1</v>
      </c>
      <c r="H10" s="21"/>
      <c r="I10" s="21"/>
      <c r="J10" s="21"/>
      <c r="K10" s="21"/>
      <c r="L10" s="21"/>
      <c r="M10" s="2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I10" s="2">
        <v>4</v>
      </c>
      <c r="AJ10" s="1"/>
      <c r="AK10" s="1"/>
      <c r="AU10" s="9" t="s">
        <v>42</v>
      </c>
      <c r="BL10" s="10" t="s">
        <v>80</v>
      </c>
      <c r="BM10" s="10" t="s">
        <v>80</v>
      </c>
      <c r="BN10" s="10" t="s">
        <v>80</v>
      </c>
      <c r="BQ10" s="21"/>
      <c r="BT10" s="2" t="s">
        <v>80</v>
      </c>
      <c r="BU10" s="2" t="s">
        <v>80</v>
      </c>
      <c r="BX10" s="9" t="s">
        <v>72</v>
      </c>
    </row>
    <row r="11" spans="1:77" s="2" customFormat="1" ht="22.5" customHeight="1">
      <c r="A11" s="20">
        <v>2023202587</v>
      </c>
      <c r="B11" s="20" t="s">
        <v>285</v>
      </c>
      <c r="C11" s="20" t="s">
        <v>82</v>
      </c>
      <c r="D11" s="20" t="s">
        <v>159</v>
      </c>
      <c r="E11" s="20" t="s">
        <v>277</v>
      </c>
      <c r="F11" s="21">
        <f>SUM(H11:$XEO11)</f>
        <v>18.5</v>
      </c>
      <c r="G11" s="10">
        <f>COUNT(H11:$XFC11)</f>
        <v>6</v>
      </c>
      <c r="H11" s="21"/>
      <c r="I11" s="21"/>
      <c r="J11" s="21">
        <v>1</v>
      </c>
      <c r="K11" s="21"/>
      <c r="L11" s="21"/>
      <c r="M11" s="21"/>
      <c r="N11" s="1"/>
      <c r="O11" s="1"/>
      <c r="P11" s="1"/>
      <c r="Q11" s="1">
        <v>5</v>
      </c>
      <c r="R11" s="2">
        <v>0.5</v>
      </c>
      <c r="S11" s="1"/>
      <c r="T11" s="1"/>
      <c r="U11" s="1"/>
      <c r="V11" s="1"/>
      <c r="W11" s="1"/>
      <c r="X11" s="1"/>
      <c r="Y11" s="1"/>
      <c r="Z11" s="1"/>
      <c r="AG11" s="2">
        <v>4</v>
      </c>
      <c r="AJ11" s="1">
        <v>4</v>
      </c>
      <c r="AK11" s="1"/>
      <c r="AN11" s="2">
        <v>4</v>
      </c>
      <c r="AU11" s="9" t="s">
        <v>42</v>
      </c>
      <c r="BL11" s="10" t="s">
        <v>80</v>
      </c>
      <c r="BM11" s="10" t="s">
        <v>80</v>
      </c>
      <c r="BN11" s="10" t="s">
        <v>80</v>
      </c>
      <c r="BQ11" s="21"/>
      <c r="BT11" s="2" t="s">
        <v>80</v>
      </c>
      <c r="BU11" s="2" t="s">
        <v>80</v>
      </c>
      <c r="BX11" s="9" t="s">
        <v>72</v>
      </c>
    </row>
    <row r="12" spans="1:77" s="2" customFormat="1" ht="22.5" customHeight="1">
      <c r="A12" s="20">
        <v>2023202588</v>
      </c>
      <c r="B12" s="20" t="s">
        <v>286</v>
      </c>
      <c r="C12" s="20" t="s">
        <v>77</v>
      </c>
      <c r="D12" s="20" t="s">
        <v>159</v>
      </c>
      <c r="E12" s="20" t="s">
        <v>277</v>
      </c>
      <c r="F12" s="21">
        <f>SUM(H12:$XEO12)</f>
        <v>64</v>
      </c>
      <c r="G12" s="10">
        <f>COUNT(H12:$XFC12)</f>
        <v>15</v>
      </c>
      <c r="H12" s="21"/>
      <c r="I12" s="21"/>
      <c r="J12" s="21">
        <v>0.5</v>
      </c>
      <c r="K12" s="21"/>
      <c r="L12" s="21"/>
      <c r="M12" s="21"/>
      <c r="N12" s="1"/>
      <c r="O12" s="1"/>
      <c r="P12" s="1"/>
      <c r="Q12" s="1"/>
      <c r="R12" s="2">
        <v>0.5</v>
      </c>
      <c r="S12" s="1"/>
      <c r="T12" s="1"/>
      <c r="U12" s="1">
        <v>13</v>
      </c>
      <c r="V12" s="1"/>
      <c r="W12" s="1">
        <v>7</v>
      </c>
      <c r="X12" s="1"/>
      <c r="Y12" s="1"/>
      <c r="Z12" s="1">
        <v>5</v>
      </c>
      <c r="AA12" s="2">
        <v>4</v>
      </c>
      <c r="AB12" s="2">
        <v>2</v>
      </c>
      <c r="AF12" s="2">
        <v>6</v>
      </c>
      <c r="AG12" s="2">
        <v>4</v>
      </c>
      <c r="AJ12" s="1"/>
      <c r="AK12" s="1"/>
      <c r="AN12" s="2">
        <v>4</v>
      </c>
      <c r="AO12" s="2">
        <v>4</v>
      </c>
      <c r="AP12" s="2">
        <v>2</v>
      </c>
      <c r="AU12" s="9" t="s">
        <v>42</v>
      </c>
      <c r="BD12" s="2">
        <v>6</v>
      </c>
      <c r="BL12" s="10" t="s">
        <v>80</v>
      </c>
      <c r="BM12" s="10" t="s">
        <v>80</v>
      </c>
      <c r="BN12" s="10" t="s">
        <v>80</v>
      </c>
      <c r="BQ12" s="21"/>
      <c r="BT12" s="2">
        <v>4</v>
      </c>
      <c r="BU12" s="2">
        <v>2</v>
      </c>
      <c r="BX12" s="9" t="s">
        <v>72</v>
      </c>
    </row>
    <row r="13" spans="1:77" s="2" customFormat="1" ht="22.5" customHeight="1">
      <c r="A13" s="20">
        <v>2023202589</v>
      </c>
      <c r="B13" s="20" t="s">
        <v>287</v>
      </c>
      <c r="C13" s="20" t="s">
        <v>77</v>
      </c>
      <c r="D13" s="20" t="s">
        <v>159</v>
      </c>
      <c r="E13" s="20" t="s">
        <v>277</v>
      </c>
      <c r="F13" s="21">
        <f>SUM(H13:$XEO13)</f>
        <v>45.5</v>
      </c>
      <c r="G13" s="10">
        <f>COUNT(H13:$XFC13)</f>
        <v>12</v>
      </c>
      <c r="H13" s="21"/>
      <c r="I13" s="21"/>
      <c r="J13" s="21">
        <v>0.5</v>
      </c>
      <c r="K13" s="21"/>
      <c r="L13" s="21"/>
      <c r="M13" s="21"/>
      <c r="N13" s="1"/>
      <c r="O13" s="1"/>
      <c r="P13" s="1"/>
      <c r="Q13" s="1"/>
      <c r="R13" s="2">
        <v>0.5</v>
      </c>
      <c r="S13" s="1"/>
      <c r="T13" s="1"/>
      <c r="U13" s="1"/>
      <c r="V13" s="1"/>
      <c r="W13" s="1"/>
      <c r="X13" s="1"/>
      <c r="Y13" s="1"/>
      <c r="Z13" s="1"/>
      <c r="AD13" s="2">
        <v>4</v>
      </c>
      <c r="AJ13" s="1"/>
      <c r="AK13" s="1"/>
      <c r="AN13" s="2">
        <v>4</v>
      </c>
      <c r="AP13" s="2">
        <v>2</v>
      </c>
      <c r="AR13" s="2">
        <v>4.5</v>
      </c>
      <c r="AU13" s="9" t="s">
        <v>42</v>
      </c>
      <c r="AV13" s="2">
        <v>10</v>
      </c>
      <c r="BG13" s="2">
        <v>4</v>
      </c>
      <c r="BI13" s="2">
        <v>8</v>
      </c>
      <c r="BL13" s="10">
        <v>3</v>
      </c>
      <c r="BM13" s="10">
        <v>3</v>
      </c>
      <c r="BN13" s="10" t="s">
        <v>80</v>
      </c>
      <c r="BQ13" s="21"/>
      <c r="BT13" s="2" t="s">
        <v>80</v>
      </c>
      <c r="BU13" s="2">
        <v>2</v>
      </c>
      <c r="BX13" s="9" t="s">
        <v>72</v>
      </c>
    </row>
    <row r="14" spans="1:77" s="2" customFormat="1" ht="22.5" customHeight="1">
      <c r="A14" s="20">
        <v>2023202592</v>
      </c>
      <c r="B14" s="20" t="s">
        <v>288</v>
      </c>
      <c r="C14" s="20" t="s">
        <v>82</v>
      </c>
      <c r="D14" s="20" t="s">
        <v>159</v>
      </c>
      <c r="E14" s="20" t="s">
        <v>277</v>
      </c>
      <c r="F14" s="21">
        <f>SUM(H14:$XEO14)</f>
        <v>66</v>
      </c>
      <c r="G14" s="10">
        <f>COUNT(H14:$XFC14)</f>
        <v>2</v>
      </c>
      <c r="H14" s="21"/>
      <c r="I14" s="21"/>
      <c r="J14" s="21"/>
      <c r="K14" s="21"/>
      <c r="L14" s="21"/>
      <c r="M14" s="21"/>
      <c r="N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J14" s="1"/>
      <c r="AK14" s="1"/>
      <c r="AN14" s="2">
        <v>4</v>
      </c>
      <c r="AT14" s="2">
        <v>62</v>
      </c>
      <c r="AU14" s="9" t="s">
        <v>42</v>
      </c>
      <c r="BL14" s="10" t="s">
        <v>80</v>
      </c>
      <c r="BM14" s="10" t="s">
        <v>80</v>
      </c>
      <c r="BN14" s="10" t="s">
        <v>80</v>
      </c>
      <c r="BQ14" s="21"/>
      <c r="BT14" s="2" t="s">
        <v>80</v>
      </c>
      <c r="BU14" s="2" t="s">
        <v>80</v>
      </c>
      <c r="BX14" s="9" t="s">
        <v>72</v>
      </c>
    </row>
    <row r="15" spans="1:77" s="2" customFormat="1" ht="22.5" customHeight="1">
      <c r="A15" s="20">
        <v>2023202594</v>
      </c>
      <c r="B15" s="20" t="s">
        <v>289</v>
      </c>
      <c r="C15" s="20" t="s">
        <v>77</v>
      </c>
      <c r="D15" s="20" t="s">
        <v>159</v>
      </c>
      <c r="E15" s="20" t="s">
        <v>277</v>
      </c>
      <c r="F15" s="21">
        <f>SUM(H15:$XEO15)</f>
        <v>59</v>
      </c>
      <c r="G15" s="10">
        <f>COUNT(H15:$XFC15)</f>
        <v>10</v>
      </c>
      <c r="H15" s="21"/>
      <c r="I15" s="21"/>
      <c r="J15" s="21"/>
      <c r="K15" s="21"/>
      <c r="L15" s="21"/>
      <c r="M15" s="21"/>
      <c r="N15" s="1"/>
      <c r="O15" s="1"/>
      <c r="P15" s="1"/>
      <c r="Q15" s="1"/>
      <c r="S15" s="1"/>
      <c r="T15" s="1">
        <v>21</v>
      </c>
      <c r="U15" s="1"/>
      <c r="V15" s="1"/>
      <c r="W15" s="1"/>
      <c r="X15" s="1"/>
      <c r="Y15" s="1"/>
      <c r="Z15" s="1"/>
      <c r="AC15" s="2">
        <v>3</v>
      </c>
      <c r="AF15" s="2">
        <v>3</v>
      </c>
      <c r="AJ15" s="1"/>
      <c r="AK15" s="1"/>
      <c r="AN15" s="2">
        <v>4</v>
      </c>
      <c r="AO15" s="2">
        <v>4</v>
      </c>
      <c r="AP15" s="2">
        <v>4</v>
      </c>
      <c r="AU15" s="9" t="s">
        <v>42</v>
      </c>
      <c r="BA15" s="2">
        <v>4</v>
      </c>
      <c r="BC15" s="2">
        <v>8</v>
      </c>
      <c r="BL15" s="10" t="s">
        <v>80</v>
      </c>
      <c r="BM15" s="10" t="s">
        <v>80</v>
      </c>
      <c r="BN15" s="10" t="s">
        <v>80</v>
      </c>
      <c r="BQ15" s="21"/>
      <c r="BT15" s="2">
        <v>4</v>
      </c>
      <c r="BU15" s="2">
        <v>4</v>
      </c>
      <c r="BX15" s="9" t="s">
        <v>72</v>
      </c>
    </row>
    <row r="16" spans="1:77" s="2" customFormat="1" ht="22.5" customHeight="1">
      <c r="A16" s="20">
        <v>2023202595</v>
      </c>
      <c r="B16" s="20" t="s">
        <v>290</v>
      </c>
      <c r="C16" s="20" t="s">
        <v>77</v>
      </c>
      <c r="D16" s="20" t="s">
        <v>159</v>
      </c>
      <c r="E16" s="20" t="s">
        <v>277</v>
      </c>
      <c r="F16" s="21">
        <f>SUM(H16:$XEO16)</f>
        <v>8</v>
      </c>
      <c r="G16" s="10">
        <f>COUNT(H16:$XFC16)</f>
        <v>2</v>
      </c>
      <c r="H16" s="21"/>
      <c r="I16" s="21"/>
      <c r="J16" s="21"/>
      <c r="K16" s="21"/>
      <c r="L16" s="21"/>
      <c r="M16" s="2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  <c r="AA16" s="2">
        <v>4</v>
      </c>
      <c r="AJ16" s="1"/>
      <c r="AK16" s="1"/>
      <c r="AN16" s="2">
        <v>4</v>
      </c>
      <c r="AU16" s="9" t="s">
        <v>42</v>
      </c>
      <c r="BL16" s="10" t="s">
        <v>80</v>
      </c>
      <c r="BM16" s="10" t="s">
        <v>80</v>
      </c>
      <c r="BN16" s="10" t="s">
        <v>80</v>
      </c>
      <c r="BQ16" s="21"/>
      <c r="BT16" s="2" t="s">
        <v>80</v>
      </c>
      <c r="BU16" s="2" t="s">
        <v>80</v>
      </c>
      <c r="BX16" s="9" t="s">
        <v>72</v>
      </c>
    </row>
    <row r="17" spans="1:77" s="2" customFormat="1" ht="22.5" customHeight="1">
      <c r="A17" s="20">
        <v>2023202601</v>
      </c>
      <c r="B17" s="20" t="s">
        <v>291</v>
      </c>
      <c r="C17" s="20" t="s">
        <v>77</v>
      </c>
      <c r="D17" s="20" t="s">
        <v>159</v>
      </c>
      <c r="E17" s="20" t="s">
        <v>277</v>
      </c>
      <c r="F17" s="21">
        <f>SUM(H17:$XEO17)</f>
        <v>19</v>
      </c>
      <c r="G17" s="10">
        <f>COUNT(H17:$XFC17)</f>
        <v>5</v>
      </c>
      <c r="H17" s="21"/>
      <c r="I17" s="21"/>
      <c r="J17" s="21">
        <v>0.5</v>
      </c>
      <c r="K17" s="21"/>
      <c r="L17" s="21">
        <v>10</v>
      </c>
      <c r="M17" s="21"/>
      <c r="N17" s="1"/>
      <c r="O17" s="1"/>
      <c r="P17" s="1"/>
      <c r="Q17" s="1"/>
      <c r="R17" s="2">
        <v>0.5</v>
      </c>
      <c r="S17" s="1"/>
      <c r="T17" s="1"/>
      <c r="U17" s="1"/>
      <c r="V17" s="1"/>
      <c r="W17" s="1"/>
      <c r="X17" s="1"/>
      <c r="Y17" s="1"/>
      <c r="Z17" s="1"/>
      <c r="AJ17" s="1"/>
      <c r="AK17" s="1"/>
      <c r="AN17" s="2">
        <v>4</v>
      </c>
      <c r="AU17" s="9" t="s">
        <v>42</v>
      </c>
      <c r="BA17" s="2">
        <v>4</v>
      </c>
      <c r="BL17" s="10" t="s">
        <v>80</v>
      </c>
      <c r="BM17" s="10" t="s">
        <v>80</v>
      </c>
      <c r="BN17" s="10" t="s">
        <v>80</v>
      </c>
      <c r="BQ17" s="21"/>
      <c r="BT17" s="2" t="s">
        <v>80</v>
      </c>
      <c r="BU17" s="2" t="s">
        <v>80</v>
      </c>
      <c r="BX17" s="9" t="s">
        <v>72</v>
      </c>
    </row>
    <row r="18" spans="1:77" s="2" customFormat="1" ht="22.5" customHeight="1">
      <c r="A18" s="20">
        <v>2023202603</v>
      </c>
      <c r="B18" s="20" t="s">
        <v>292</v>
      </c>
      <c r="C18" s="20" t="s">
        <v>77</v>
      </c>
      <c r="D18" s="20" t="s">
        <v>159</v>
      </c>
      <c r="E18" s="20" t="s">
        <v>277</v>
      </c>
      <c r="F18" s="21">
        <f>SUM(H18:$XEO18)</f>
        <v>34</v>
      </c>
      <c r="G18" s="10">
        <f>COUNT(H18:$XFC18)</f>
        <v>3</v>
      </c>
      <c r="H18" s="21"/>
      <c r="I18" s="21"/>
      <c r="J18" s="21"/>
      <c r="K18" s="21"/>
      <c r="L18" s="21"/>
      <c r="M18" s="21"/>
      <c r="N18" s="1"/>
      <c r="O18" s="1"/>
      <c r="P18" s="1"/>
      <c r="Q18" s="1"/>
      <c r="S18" s="1"/>
      <c r="T18" s="1">
        <v>20</v>
      </c>
      <c r="U18" s="1"/>
      <c r="V18" s="1"/>
      <c r="W18" s="1"/>
      <c r="X18" s="1"/>
      <c r="Y18" s="1"/>
      <c r="Z18" s="1"/>
      <c r="AF18" s="2">
        <v>6</v>
      </c>
      <c r="AJ18" s="1"/>
      <c r="AK18" s="1"/>
      <c r="AU18" s="9" t="s">
        <v>42</v>
      </c>
      <c r="BJ18" s="2">
        <v>8</v>
      </c>
      <c r="BL18" s="10" t="s">
        <v>80</v>
      </c>
      <c r="BM18" s="10" t="s">
        <v>80</v>
      </c>
      <c r="BN18" s="10" t="s">
        <v>80</v>
      </c>
      <c r="BQ18" s="21"/>
      <c r="BT18" s="2" t="s">
        <v>80</v>
      </c>
      <c r="BU18" s="2" t="s">
        <v>80</v>
      </c>
      <c r="BX18" s="9" t="s">
        <v>72</v>
      </c>
    </row>
    <row r="19" spans="1:77" s="2" customFormat="1" ht="22.5" customHeight="1">
      <c r="A19" s="20">
        <v>2023202606</v>
      </c>
      <c r="B19" s="20" t="s">
        <v>293</v>
      </c>
      <c r="C19" s="20" t="s">
        <v>82</v>
      </c>
      <c r="D19" s="20" t="s">
        <v>159</v>
      </c>
      <c r="E19" s="20" t="s">
        <v>277</v>
      </c>
      <c r="F19" s="21">
        <f>SUM(H19:$XEO19)</f>
        <v>59</v>
      </c>
      <c r="G19" s="10">
        <f>COUNT(H19:$XFC19)</f>
        <v>4</v>
      </c>
      <c r="H19" s="21"/>
      <c r="I19" s="21">
        <v>2.5</v>
      </c>
      <c r="J19" s="21">
        <v>0.5</v>
      </c>
      <c r="K19" s="21"/>
      <c r="L19" s="21"/>
      <c r="M19" s="2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  <c r="Z19" s="1"/>
      <c r="AJ19" s="1">
        <v>4</v>
      </c>
      <c r="AK19" s="1"/>
      <c r="AT19" s="2">
        <v>52</v>
      </c>
      <c r="AU19" s="9" t="s">
        <v>42</v>
      </c>
      <c r="BL19" s="10" t="s">
        <v>80</v>
      </c>
      <c r="BM19" s="10" t="s">
        <v>80</v>
      </c>
      <c r="BN19" s="10" t="s">
        <v>80</v>
      </c>
      <c r="BQ19" s="21"/>
      <c r="BT19" s="2" t="s">
        <v>80</v>
      </c>
      <c r="BU19" s="2" t="s">
        <v>80</v>
      </c>
      <c r="BX19" s="9" t="s">
        <v>72</v>
      </c>
    </row>
    <row r="20" spans="1:77" s="2" customFormat="1" ht="22.5" customHeight="1">
      <c r="A20" s="20">
        <v>2023202608</v>
      </c>
      <c r="B20" s="20" t="s">
        <v>294</v>
      </c>
      <c r="C20" s="20" t="s">
        <v>82</v>
      </c>
      <c r="D20" s="20" t="s">
        <v>159</v>
      </c>
      <c r="E20" s="20" t="s">
        <v>277</v>
      </c>
      <c r="F20" s="21">
        <f>SUM(H20:$XEO20)</f>
        <v>60.5</v>
      </c>
      <c r="G20" s="10">
        <f>COUNT(H20:$XFC20)</f>
        <v>12</v>
      </c>
      <c r="H20" s="21"/>
      <c r="I20" s="21">
        <v>2.5</v>
      </c>
      <c r="J20" s="21">
        <v>0.5</v>
      </c>
      <c r="K20" s="21">
        <v>8</v>
      </c>
      <c r="L20" s="21"/>
      <c r="M20" s="21"/>
      <c r="N20" s="1"/>
      <c r="O20" s="1"/>
      <c r="P20" s="1"/>
      <c r="Q20" s="1"/>
      <c r="R20" s="2">
        <v>0.5</v>
      </c>
      <c r="S20" s="1"/>
      <c r="T20" s="1"/>
      <c r="U20" s="1"/>
      <c r="V20" s="1"/>
      <c r="W20" s="1"/>
      <c r="X20" s="1">
        <v>4</v>
      </c>
      <c r="Y20" s="1"/>
      <c r="Z20" s="1"/>
      <c r="AC20" s="2">
        <v>3</v>
      </c>
      <c r="AJ20" s="1"/>
      <c r="AK20" s="1"/>
      <c r="AN20" s="2">
        <v>4</v>
      </c>
      <c r="AO20" s="2">
        <v>4</v>
      </c>
      <c r="AP20" s="2">
        <v>4</v>
      </c>
      <c r="AT20" s="2">
        <v>22</v>
      </c>
      <c r="AU20" s="9" t="s">
        <v>42</v>
      </c>
      <c r="BL20" s="10" t="s">
        <v>80</v>
      </c>
      <c r="BM20" s="10" t="s">
        <v>80</v>
      </c>
      <c r="BN20" s="10" t="s">
        <v>80</v>
      </c>
      <c r="BQ20" s="21"/>
      <c r="BT20" s="2">
        <v>4</v>
      </c>
      <c r="BU20" s="2">
        <v>4</v>
      </c>
      <c r="BX20" s="9" t="s">
        <v>72</v>
      </c>
    </row>
    <row r="21" spans="1:77" s="2" customFormat="1" ht="22.5" customHeight="1">
      <c r="A21" s="20">
        <v>2023202609</v>
      </c>
      <c r="B21" s="20" t="s">
        <v>295</v>
      </c>
      <c r="C21" s="20" t="s">
        <v>82</v>
      </c>
      <c r="D21" s="20" t="s">
        <v>159</v>
      </c>
      <c r="E21" s="20" t="s">
        <v>277</v>
      </c>
      <c r="F21" s="21">
        <f>SUM(H21:$XEO21)</f>
        <v>67</v>
      </c>
      <c r="G21" s="10">
        <f>COUNT(H21:$XFC21)</f>
        <v>8</v>
      </c>
      <c r="H21" s="21"/>
      <c r="I21" s="21"/>
      <c r="J21" s="21">
        <v>2.5</v>
      </c>
      <c r="K21" s="21"/>
      <c r="L21" s="21"/>
      <c r="M21" s="21"/>
      <c r="N21" s="1"/>
      <c r="O21" s="1"/>
      <c r="P21" s="1"/>
      <c r="Q21" s="1"/>
      <c r="R21" s="2">
        <v>0.5</v>
      </c>
      <c r="S21" s="1"/>
      <c r="T21" s="1"/>
      <c r="U21" s="1">
        <v>8</v>
      </c>
      <c r="V21" s="1"/>
      <c r="W21" s="1"/>
      <c r="X21" s="1"/>
      <c r="Y21" s="1"/>
      <c r="Z21" s="1"/>
      <c r="AJ21" s="1"/>
      <c r="AK21" s="1"/>
      <c r="AN21" s="2">
        <v>4</v>
      </c>
      <c r="AO21" s="2">
        <v>4</v>
      </c>
      <c r="AT21" s="2">
        <v>35</v>
      </c>
      <c r="AU21" s="9" t="s">
        <v>42</v>
      </c>
      <c r="AV21" s="2">
        <v>9</v>
      </c>
      <c r="BL21" s="10" t="s">
        <v>80</v>
      </c>
      <c r="BM21" s="10" t="s">
        <v>80</v>
      </c>
      <c r="BN21" s="10" t="s">
        <v>80</v>
      </c>
      <c r="BQ21" s="21"/>
      <c r="BT21" s="2">
        <v>4</v>
      </c>
      <c r="BU21" s="2" t="s">
        <v>80</v>
      </c>
      <c r="BX21" s="9" t="s">
        <v>72</v>
      </c>
    </row>
    <row r="22" spans="1:77" s="2" customFormat="1" ht="22.5" customHeight="1">
      <c r="A22" s="20">
        <v>2023202619</v>
      </c>
      <c r="B22" s="20" t="s">
        <v>296</v>
      </c>
      <c r="C22" s="20" t="s">
        <v>77</v>
      </c>
      <c r="D22" s="20" t="s">
        <v>159</v>
      </c>
      <c r="E22" s="20" t="s">
        <v>277</v>
      </c>
      <c r="F22" s="21">
        <f>SUM(H22:$XEO22)</f>
        <v>120.5</v>
      </c>
      <c r="G22" s="10">
        <f>COUNT(H22:$XFC22)</f>
        <v>7</v>
      </c>
      <c r="H22" s="21"/>
      <c r="I22" s="21"/>
      <c r="J22" s="21"/>
      <c r="K22" s="21"/>
      <c r="L22" s="21"/>
      <c r="M22" s="21">
        <v>1</v>
      </c>
      <c r="N22" s="1"/>
      <c r="O22" s="1"/>
      <c r="P22" s="1"/>
      <c r="Q22" s="1"/>
      <c r="R22" s="2">
        <v>0.5</v>
      </c>
      <c r="S22" s="1"/>
      <c r="T22" s="1"/>
      <c r="U22" s="1"/>
      <c r="V22" s="1"/>
      <c r="W22" s="1"/>
      <c r="X22" s="1"/>
      <c r="Y22" s="1"/>
      <c r="Z22" s="1"/>
      <c r="AF22" s="2">
        <v>6</v>
      </c>
      <c r="AJ22" s="1"/>
      <c r="AK22" s="1"/>
      <c r="AN22" s="2">
        <v>4</v>
      </c>
      <c r="AU22" s="9" t="s">
        <v>42</v>
      </c>
      <c r="BL22" s="10" t="s">
        <v>80</v>
      </c>
      <c r="BM22" s="10" t="s">
        <v>80</v>
      </c>
      <c r="BN22" s="10">
        <v>1</v>
      </c>
      <c r="BQ22" s="21">
        <v>108</v>
      </c>
      <c r="BR22" s="2">
        <v>0</v>
      </c>
      <c r="BT22" s="2" t="s">
        <v>80</v>
      </c>
      <c r="BU22" s="2" t="s">
        <v>80</v>
      </c>
      <c r="BX22" s="9" t="s">
        <v>72</v>
      </c>
    </row>
    <row r="23" spans="1:77" s="2" customFormat="1" ht="22.5" customHeight="1">
      <c r="A23" s="20">
        <v>2023202620</v>
      </c>
      <c r="B23" s="20" t="s">
        <v>297</v>
      </c>
      <c r="C23" s="20" t="s">
        <v>77</v>
      </c>
      <c r="D23" s="20" t="s">
        <v>159</v>
      </c>
      <c r="E23" s="20" t="s">
        <v>277</v>
      </c>
      <c r="F23" s="21">
        <f>SUM(H23:$XEO23)</f>
        <v>68.5</v>
      </c>
      <c r="G23" s="10">
        <f>COUNT(H23:$XFC23)</f>
        <v>14</v>
      </c>
      <c r="H23" s="21"/>
      <c r="I23" s="21"/>
      <c r="J23" s="21">
        <v>0.5</v>
      </c>
      <c r="K23" s="21"/>
      <c r="L23" s="21">
        <v>10</v>
      </c>
      <c r="M23" s="21"/>
      <c r="N23" s="1"/>
      <c r="O23" s="1"/>
      <c r="P23" s="1"/>
      <c r="Q23" s="1"/>
      <c r="R23" s="2">
        <v>0.5</v>
      </c>
      <c r="S23" s="1"/>
      <c r="T23" s="1"/>
      <c r="U23" s="1">
        <v>10</v>
      </c>
      <c r="V23" s="1"/>
      <c r="W23" s="1"/>
      <c r="X23" s="1"/>
      <c r="Y23" s="1"/>
      <c r="Z23" s="1"/>
      <c r="AF23" s="2">
        <v>4</v>
      </c>
      <c r="AG23" s="2">
        <v>4</v>
      </c>
      <c r="AJ23" s="1"/>
      <c r="AK23" s="1"/>
      <c r="AN23" s="2">
        <v>4</v>
      </c>
      <c r="AO23" s="2">
        <v>4</v>
      </c>
      <c r="AP23" s="2">
        <v>4</v>
      </c>
      <c r="AT23" s="2">
        <v>10</v>
      </c>
      <c r="AU23" s="9" t="s">
        <v>42</v>
      </c>
      <c r="AV23" s="2">
        <v>9</v>
      </c>
      <c r="BB23" s="2">
        <v>0.5</v>
      </c>
      <c r="BL23" s="10" t="s">
        <v>80</v>
      </c>
      <c r="BM23" s="10" t="s">
        <v>80</v>
      </c>
      <c r="BN23" s="10" t="s">
        <v>80</v>
      </c>
      <c r="BQ23" s="21"/>
      <c r="BT23" s="2">
        <v>4</v>
      </c>
      <c r="BU23" s="2">
        <v>4</v>
      </c>
      <c r="BX23" s="9" t="s">
        <v>72</v>
      </c>
    </row>
    <row r="24" spans="1:77" s="2" customFormat="1" ht="22.5" customHeight="1">
      <c r="A24" s="20">
        <v>2023202622</v>
      </c>
      <c r="B24" s="20" t="s">
        <v>298</v>
      </c>
      <c r="C24" s="20" t="s">
        <v>77</v>
      </c>
      <c r="D24" s="20" t="s">
        <v>159</v>
      </c>
      <c r="E24" s="20" t="s">
        <v>277</v>
      </c>
      <c r="F24" s="21">
        <f>SUM(H24:$XEO24)</f>
        <v>24.5</v>
      </c>
      <c r="G24" s="10">
        <f>COUNT(H24:$XFC24)</f>
        <v>4</v>
      </c>
      <c r="H24" s="21"/>
      <c r="I24" s="21"/>
      <c r="J24" s="21">
        <v>4.5</v>
      </c>
      <c r="K24" s="21"/>
      <c r="L24" s="21"/>
      <c r="M24" s="21"/>
      <c r="N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J24" s="1"/>
      <c r="AK24" s="1"/>
      <c r="AN24" s="2">
        <v>4</v>
      </c>
      <c r="AU24" s="9" t="s">
        <v>42</v>
      </c>
      <c r="AV24" s="2">
        <v>12</v>
      </c>
      <c r="BA24" s="2">
        <v>4</v>
      </c>
      <c r="BL24" s="10" t="s">
        <v>80</v>
      </c>
      <c r="BM24" s="10" t="s">
        <v>80</v>
      </c>
      <c r="BN24" s="10" t="s">
        <v>80</v>
      </c>
      <c r="BQ24" s="21"/>
      <c r="BT24" s="2" t="s">
        <v>80</v>
      </c>
      <c r="BU24" s="2" t="s">
        <v>80</v>
      </c>
      <c r="BX24" s="9" t="s">
        <v>72</v>
      </c>
    </row>
    <row r="25" spans="1:77" s="2" customFormat="1" ht="22.5" customHeight="1">
      <c r="A25" s="20">
        <v>2023202624</v>
      </c>
      <c r="B25" s="20" t="s">
        <v>299</v>
      </c>
      <c r="C25" s="20" t="s">
        <v>77</v>
      </c>
      <c r="D25" s="20" t="s">
        <v>159</v>
      </c>
      <c r="E25" s="20" t="s">
        <v>277</v>
      </c>
      <c r="F25" s="21">
        <f>SUM(H25:$XEO25)</f>
        <v>79.5</v>
      </c>
      <c r="G25" s="10">
        <f>COUNT(H25:$XFC25)</f>
        <v>15</v>
      </c>
      <c r="H25" s="21"/>
      <c r="I25" s="21"/>
      <c r="J25" s="21">
        <v>2.5</v>
      </c>
      <c r="K25" s="21"/>
      <c r="L25" s="21"/>
      <c r="M25" s="21"/>
      <c r="N25" s="1"/>
      <c r="O25" s="1">
        <v>6.5</v>
      </c>
      <c r="P25" s="1"/>
      <c r="Q25" s="1"/>
      <c r="R25" s="2">
        <v>3.5</v>
      </c>
      <c r="S25" s="1">
        <v>5</v>
      </c>
      <c r="T25" s="1"/>
      <c r="U25" s="1"/>
      <c r="V25" s="1"/>
      <c r="W25" s="1"/>
      <c r="X25" s="1"/>
      <c r="Y25" s="1"/>
      <c r="Z25" s="1"/>
      <c r="AG25" s="2">
        <v>4</v>
      </c>
      <c r="AJ25" s="1"/>
      <c r="AK25" s="1"/>
      <c r="AM25" s="2">
        <v>6</v>
      </c>
      <c r="AN25" s="2">
        <v>4</v>
      </c>
      <c r="AO25" s="2">
        <v>4</v>
      </c>
      <c r="AP25" s="2">
        <v>2</v>
      </c>
      <c r="AU25" s="9" t="s">
        <v>42</v>
      </c>
      <c r="AY25" s="2">
        <v>9</v>
      </c>
      <c r="BB25" s="2">
        <v>0.5</v>
      </c>
      <c r="BF25" s="2">
        <v>16</v>
      </c>
      <c r="BL25" s="10" t="s">
        <v>80</v>
      </c>
      <c r="BM25" s="10" t="s">
        <v>80</v>
      </c>
      <c r="BN25" s="10" t="s">
        <v>80</v>
      </c>
      <c r="BQ25" s="21"/>
      <c r="BT25" s="2">
        <v>4</v>
      </c>
      <c r="BU25" s="2">
        <v>2</v>
      </c>
      <c r="BV25" s="2">
        <v>10.5</v>
      </c>
      <c r="BX25" s="9" t="s">
        <v>72</v>
      </c>
    </row>
    <row r="26" spans="1:77" s="2" customFormat="1" ht="22.5" customHeight="1">
      <c r="A26" s="20">
        <v>2023202625</v>
      </c>
      <c r="B26" s="20" t="s">
        <v>300</v>
      </c>
      <c r="C26" s="20" t="s">
        <v>77</v>
      </c>
      <c r="D26" s="20" t="s">
        <v>159</v>
      </c>
      <c r="E26" s="20" t="s">
        <v>277</v>
      </c>
      <c r="F26" s="21">
        <f>SUM(H26:$XEO26)</f>
        <v>0.5</v>
      </c>
      <c r="G26" s="10">
        <f>COUNT(H26:$XFC26)</f>
        <v>1</v>
      </c>
      <c r="H26" s="21"/>
      <c r="I26" s="21"/>
      <c r="J26" s="21"/>
      <c r="K26" s="21"/>
      <c r="L26" s="21"/>
      <c r="M26" s="21"/>
      <c r="N26" s="1"/>
      <c r="O26" s="1"/>
      <c r="P26" s="1"/>
      <c r="Q26" s="1"/>
      <c r="R26" s="2">
        <v>0.5</v>
      </c>
      <c r="S26" s="1"/>
      <c r="T26" s="1"/>
      <c r="U26" s="1"/>
      <c r="V26" s="1"/>
      <c r="W26" s="1"/>
      <c r="X26" s="1"/>
      <c r="Y26" s="1"/>
      <c r="Z26" s="1"/>
      <c r="AJ26" s="1"/>
      <c r="AK26" s="1"/>
      <c r="AU26" s="9" t="s">
        <v>42</v>
      </c>
      <c r="BL26" s="10" t="s">
        <v>80</v>
      </c>
      <c r="BM26" s="10" t="s">
        <v>80</v>
      </c>
      <c r="BN26" s="10" t="s">
        <v>80</v>
      </c>
      <c r="BQ26" s="21"/>
      <c r="BT26" s="2" t="s">
        <v>80</v>
      </c>
      <c r="BU26" s="2" t="s">
        <v>80</v>
      </c>
      <c r="BX26" s="9" t="s">
        <v>72</v>
      </c>
    </row>
    <row r="27" spans="1:77" s="2" customFormat="1" ht="22.5" customHeight="1">
      <c r="A27" s="20">
        <v>2023202634</v>
      </c>
      <c r="B27" s="20" t="s">
        <v>301</v>
      </c>
      <c r="C27" s="20" t="s">
        <v>77</v>
      </c>
      <c r="D27" s="20" t="s">
        <v>159</v>
      </c>
      <c r="E27" s="20" t="s">
        <v>277</v>
      </c>
      <c r="F27" s="21">
        <f>SUM(H27:$XEO27)</f>
        <v>14.5</v>
      </c>
      <c r="G27" s="10">
        <f>COUNT(H27:$XFC27)</f>
        <v>5</v>
      </c>
      <c r="H27" s="21"/>
      <c r="I27" s="21"/>
      <c r="J27" s="21"/>
      <c r="K27" s="21"/>
      <c r="L27" s="21"/>
      <c r="M27" s="21"/>
      <c r="N27" s="1"/>
      <c r="O27" s="1"/>
      <c r="P27" s="1"/>
      <c r="Q27" s="1"/>
      <c r="R27" s="2">
        <v>0.5</v>
      </c>
      <c r="S27" s="1"/>
      <c r="T27" s="1"/>
      <c r="U27" s="1"/>
      <c r="V27" s="1"/>
      <c r="W27" s="1"/>
      <c r="X27" s="1"/>
      <c r="Y27" s="1"/>
      <c r="Z27" s="1"/>
      <c r="AI27" s="2">
        <v>4</v>
      </c>
      <c r="AJ27" s="1"/>
      <c r="AK27" s="1"/>
      <c r="AN27" s="2">
        <v>4</v>
      </c>
      <c r="AO27" s="2">
        <v>4</v>
      </c>
      <c r="AP27" s="2">
        <v>2</v>
      </c>
      <c r="AU27" s="9" t="s">
        <v>42</v>
      </c>
      <c r="BL27" s="10" t="s">
        <v>80</v>
      </c>
      <c r="BM27" s="10" t="s">
        <v>80</v>
      </c>
      <c r="BN27" s="10" t="s">
        <v>80</v>
      </c>
      <c r="BQ27" s="21"/>
      <c r="BT27" s="2" t="s">
        <v>80</v>
      </c>
      <c r="BU27" s="2" t="s">
        <v>80</v>
      </c>
      <c r="BX27" s="9" t="s">
        <v>72</v>
      </c>
    </row>
    <row r="28" spans="1:77" s="2" customFormat="1" ht="22.5" customHeight="1">
      <c r="A28" s="20">
        <v>2023202637</v>
      </c>
      <c r="B28" s="20" t="s">
        <v>302</v>
      </c>
      <c r="C28" s="20" t="s">
        <v>77</v>
      </c>
      <c r="D28" s="20" t="s">
        <v>159</v>
      </c>
      <c r="E28" s="20" t="s">
        <v>277</v>
      </c>
      <c r="F28" s="21">
        <f>SUM(H28:$XEO28)</f>
        <v>63</v>
      </c>
      <c r="G28" s="10">
        <f>COUNT(H28:$XFC28)</f>
        <v>12</v>
      </c>
      <c r="H28" s="21"/>
      <c r="I28" s="21"/>
      <c r="J28" s="21">
        <v>0.5</v>
      </c>
      <c r="K28" s="21"/>
      <c r="L28" s="21"/>
      <c r="M28" s="21"/>
      <c r="N28" s="1"/>
      <c r="O28" s="1"/>
      <c r="P28" s="1"/>
      <c r="Q28" s="1"/>
      <c r="R28" s="2">
        <v>0.5</v>
      </c>
      <c r="S28" s="1"/>
      <c r="T28" s="1"/>
      <c r="U28" s="1"/>
      <c r="V28" s="1"/>
      <c r="W28" s="1"/>
      <c r="X28" s="1"/>
      <c r="Y28" s="1"/>
      <c r="Z28" s="1">
        <v>6</v>
      </c>
      <c r="AA28" s="2">
        <v>4</v>
      </c>
      <c r="AG28" s="2">
        <v>4</v>
      </c>
      <c r="AH28" s="2">
        <v>18</v>
      </c>
      <c r="AJ28" s="1"/>
      <c r="AK28" s="1"/>
      <c r="AN28" s="2">
        <v>4</v>
      </c>
      <c r="AO28" s="2">
        <v>4</v>
      </c>
      <c r="AU28" s="9" t="s">
        <v>42</v>
      </c>
      <c r="AV28" s="2">
        <v>9</v>
      </c>
      <c r="BH28" s="2">
        <v>4</v>
      </c>
      <c r="BL28" s="10" t="s">
        <v>80</v>
      </c>
      <c r="BM28" s="10" t="s">
        <v>80</v>
      </c>
      <c r="BN28" s="10" t="s">
        <v>80</v>
      </c>
      <c r="BQ28" s="21"/>
      <c r="BT28" s="2">
        <v>4</v>
      </c>
      <c r="BU28" s="2" t="s">
        <v>80</v>
      </c>
      <c r="BX28" s="9" t="s">
        <v>72</v>
      </c>
      <c r="BY28" s="2">
        <v>5</v>
      </c>
    </row>
    <row r="29" spans="1:77" s="2" customFormat="1" ht="22.5" customHeight="1">
      <c r="A29" s="20">
        <v>2023202638</v>
      </c>
      <c r="B29" s="20" t="s">
        <v>303</v>
      </c>
      <c r="C29" s="20" t="s">
        <v>77</v>
      </c>
      <c r="D29" s="20" t="s">
        <v>159</v>
      </c>
      <c r="E29" s="20" t="s">
        <v>277</v>
      </c>
      <c r="F29" s="21">
        <f>SUM(H29:$XEO29)</f>
        <v>72.5</v>
      </c>
      <c r="G29" s="10">
        <f>COUNT(H29:$XFC29)</f>
        <v>15</v>
      </c>
      <c r="H29" s="21"/>
      <c r="I29" s="21"/>
      <c r="J29" s="21">
        <v>0.5</v>
      </c>
      <c r="K29" s="21">
        <v>13</v>
      </c>
      <c r="L29" s="21"/>
      <c r="M29" s="21"/>
      <c r="N29" s="1"/>
      <c r="O29" s="1">
        <v>14.5</v>
      </c>
      <c r="P29" s="1"/>
      <c r="Q29" s="1"/>
      <c r="R29" s="2">
        <v>0.5</v>
      </c>
      <c r="S29" s="1"/>
      <c r="T29" s="1"/>
      <c r="U29" s="1" t="s">
        <v>304</v>
      </c>
      <c r="V29" s="1"/>
      <c r="W29" s="1"/>
      <c r="X29" s="1"/>
      <c r="Y29" s="1"/>
      <c r="Z29" s="1"/>
      <c r="AD29" s="2">
        <v>4</v>
      </c>
      <c r="AF29" s="2">
        <v>5</v>
      </c>
      <c r="AG29" s="2">
        <v>4</v>
      </c>
      <c r="AI29" s="2">
        <v>4</v>
      </c>
      <c r="AJ29" s="1">
        <v>4</v>
      </c>
      <c r="AK29" s="1"/>
      <c r="AN29" s="2">
        <v>4</v>
      </c>
      <c r="AP29" s="2">
        <v>2</v>
      </c>
      <c r="AT29" s="2">
        <v>4</v>
      </c>
      <c r="AU29" s="9" t="s">
        <v>42</v>
      </c>
      <c r="AZ29" s="2">
        <v>5</v>
      </c>
      <c r="BJ29" s="2">
        <v>6</v>
      </c>
      <c r="BL29" s="10" t="s">
        <v>80</v>
      </c>
      <c r="BM29" s="10" t="s">
        <v>80</v>
      </c>
      <c r="BN29" s="10" t="s">
        <v>80</v>
      </c>
      <c r="BQ29" s="21"/>
      <c r="BT29" s="2" t="s">
        <v>80</v>
      </c>
      <c r="BU29" s="2">
        <v>2</v>
      </c>
      <c r="BX29" s="9" t="s">
        <v>72</v>
      </c>
    </row>
    <row r="30" spans="1:77" s="2" customFormat="1" ht="22.5" customHeight="1">
      <c r="A30" s="20">
        <v>2023202647</v>
      </c>
      <c r="B30" s="20" t="s">
        <v>305</v>
      </c>
      <c r="C30" s="20" t="s">
        <v>82</v>
      </c>
      <c r="D30" s="20" t="s">
        <v>159</v>
      </c>
      <c r="E30" s="20" t="s">
        <v>277</v>
      </c>
      <c r="F30" s="21">
        <f>SUM(H30:$XEO30)</f>
        <v>12</v>
      </c>
      <c r="G30" s="10">
        <f>COUNT(H30:$XFC30)</f>
        <v>2</v>
      </c>
      <c r="H30" s="21"/>
      <c r="I30" s="21"/>
      <c r="J30" s="21"/>
      <c r="K30" s="21"/>
      <c r="L30" s="21">
        <v>8</v>
      </c>
      <c r="M30" s="2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G30" s="2">
        <v>4</v>
      </c>
      <c r="AJ30" s="1"/>
      <c r="AK30" s="1"/>
      <c r="AU30" s="9" t="s">
        <v>42</v>
      </c>
      <c r="BL30" s="10" t="s">
        <v>80</v>
      </c>
      <c r="BM30" s="10" t="s">
        <v>80</v>
      </c>
      <c r="BN30" s="10" t="s">
        <v>80</v>
      </c>
      <c r="BQ30" s="21"/>
      <c r="BT30" s="2" t="s">
        <v>80</v>
      </c>
      <c r="BU30" s="2" t="s">
        <v>80</v>
      </c>
      <c r="BX30" s="9" t="s">
        <v>72</v>
      </c>
    </row>
    <row r="31" spans="1:77" s="2" customFormat="1" ht="22.5" customHeight="1">
      <c r="A31" s="20">
        <v>2023202648</v>
      </c>
      <c r="B31" s="20" t="s">
        <v>306</v>
      </c>
      <c r="C31" s="20" t="s">
        <v>82</v>
      </c>
      <c r="D31" s="20" t="s">
        <v>159</v>
      </c>
      <c r="E31" s="20" t="s">
        <v>277</v>
      </c>
      <c r="F31" s="21">
        <f>SUM(H31:$XEO31)</f>
        <v>4</v>
      </c>
      <c r="G31" s="10">
        <f>COUNT(H31:$XFC31)</f>
        <v>1</v>
      </c>
      <c r="H31" s="21"/>
      <c r="I31" s="21"/>
      <c r="J31" s="21"/>
      <c r="K31" s="21"/>
      <c r="L31" s="21"/>
      <c r="M31" s="2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  <c r="AG31" s="2">
        <v>4</v>
      </c>
      <c r="AJ31" s="1"/>
      <c r="AK31" s="1"/>
      <c r="AU31" s="9" t="s">
        <v>42</v>
      </c>
      <c r="BL31" s="10" t="s">
        <v>80</v>
      </c>
      <c r="BM31" s="10" t="s">
        <v>80</v>
      </c>
      <c r="BN31" s="10" t="s">
        <v>80</v>
      </c>
      <c r="BQ31" s="21"/>
      <c r="BT31" s="2" t="s">
        <v>80</v>
      </c>
      <c r="BU31" s="2" t="s">
        <v>80</v>
      </c>
      <c r="BX31" s="9" t="s">
        <v>72</v>
      </c>
    </row>
    <row r="32" spans="1:77" s="2" customFormat="1" ht="22.5" customHeight="1">
      <c r="A32" s="20">
        <v>2023202651</v>
      </c>
      <c r="B32" s="20" t="s">
        <v>307</v>
      </c>
      <c r="C32" s="20" t="s">
        <v>82</v>
      </c>
      <c r="D32" s="20" t="s">
        <v>159</v>
      </c>
      <c r="E32" s="20" t="s">
        <v>277</v>
      </c>
      <c r="F32" s="21">
        <f>SUM(H32:$XEO32)</f>
        <v>65</v>
      </c>
      <c r="G32" s="10">
        <f>COUNT(H32:$XFC32)</f>
        <v>7</v>
      </c>
      <c r="H32" s="21"/>
      <c r="I32" s="21"/>
      <c r="J32" s="21">
        <v>0.5</v>
      </c>
      <c r="K32" s="21"/>
      <c r="L32" s="21"/>
      <c r="M32" s="21"/>
      <c r="N32" s="1"/>
      <c r="O32" s="1"/>
      <c r="P32" s="1"/>
      <c r="Q32" s="1"/>
      <c r="R32" s="2">
        <v>0.5</v>
      </c>
      <c r="S32" s="1"/>
      <c r="T32" s="1">
        <v>20</v>
      </c>
      <c r="U32" s="1"/>
      <c r="V32" s="1"/>
      <c r="W32" s="1"/>
      <c r="X32" s="1"/>
      <c r="Y32" s="1"/>
      <c r="Z32" s="1"/>
      <c r="AA32" s="2">
        <v>12</v>
      </c>
      <c r="AG32" s="2">
        <v>4</v>
      </c>
      <c r="AJ32" s="1"/>
      <c r="AK32" s="1"/>
      <c r="AN32" s="2">
        <v>4</v>
      </c>
      <c r="AT32" s="2">
        <v>24</v>
      </c>
      <c r="AU32" s="9" t="s">
        <v>42</v>
      </c>
      <c r="BL32" s="10" t="s">
        <v>80</v>
      </c>
      <c r="BM32" s="10" t="s">
        <v>80</v>
      </c>
      <c r="BN32" s="10" t="s">
        <v>80</v>
      </c>
      <c r="BQ32" s="21"/>
      <c r="BT32" s="2" t="s">
        <v>80</v>
      </c>
      <c r="BU32" s="2" t="s">
        <v>80</v>
      </c>
      <c r="BX32" s="9" t="s">
        <v>72</v>
      </c>
    </row>
    <row r="33" spans="1:77" s="2" customFormat="1" ht="22.5" customHeight="1">
      <c r="A33" s="20">
        <v>2023202653</v>
      </c>
      <c r="B33" s="20" t="s">
        <v>308</v>
      </c>
      <c r="C33" s="20" t="s">
        <v>82</v>
      </c>
      <c r="D33" s="20" t="s">
        <v>159</v>
      </c>
      <c r="E33" s="20" t="s">
        <v>277</v>
      </c>
      <c r="F33" s="21">
        <f>SUM(H33:$XEO33)</f>
        <v>17</v>
      </c>
      <c r="G33" s="10">
        <f>COUNT(H33:$XFC33)</f>
        <v>2</v>
      </c>
      <c r="H33" s="21"/>
      <c r="I33" s="21"/>
      <c r="J33" s="21"/>
      <c r="K33" s="21"/>
      <c r="L33" s="21"/>
      <c r="M33" s="21"/>
      <c r="N33" s="1"/>
      <c r="O33" s="1"/>
      <c r="P33" s="1">
        <v>16</v>
      </c>
      <c r="Q33" s="1"/>
      <c r="S33" s="1"/>
      <c r="T33" s="1"/>
      <c r="U33" s="1"/>
      <c r="V33" s="1"/>
      <c r="W33" s="1"/>
      <c r="X33" s="1"/>
      <c r="Y33" s="1"/>
      <c r="Z33" s="1"/>
      <c r="AJ33" s="1"/>
      <c r="AK33" s="1"/>
      <c r="AU33" s="9" t="s">
        <v>42</v>
      </c>
      <c r="BL33" s="10" t="s">
        <v>80</v>
      </c>
      <c r="BM33" s="10" t="s">
        <v>80</v>
      </c>
      <c r="BN33" s="10" t="s">
        <v>80</v>
      </c>
      <c r="BQ33" s="21"/>
      <c r="BT33" s="2" t="s">
        <v>80</v>
      </c>
      <c r="BU33" s="2" t="s">
        <v>80</v>
      </c>
      <c r="BX33" s="9" t="s">
        <v>72</v>
      </c>
      <c r="BY33" s="2">
        <v>1</v>
      </c>
    </row>
    <row r="34" spans="1:77" s="3" customFormat="1" ht="22.5" customHeight="1">
      <c r="A34" s="23">
        <v>2023202656</v>
      </c>
      <c r="B34" s="23" t="s">
        <v>309</v>
      </c>
      <c r="C34" s="23" t="s">
        <v>77</v>
      </c>
      <c r="D34" s="23" t="s">
        <v>159</v>
      </c>
      <c r="E34" s="23" t="s">
        <v>277</v>
      </c>
      <c r="F34" s="23" t="s">
        <v>310</v>
      </c>
      <c r="G34" s="12" t="s">
        <v>310</v>
      </c>
      <c r="H34" s="23"/>
      <c r="I34" s="23"/>
      <c r="J34" s="23">
        <v>2.5</v>
      </c>
      <c r="K34" s="23"/>
      <c r="L34" s="23"/>
      <c r="M34" s="23"/>
      <c r="N34" s="11"/>
      <c r="O34" s="11"/>
      <c r="P34" s="11"/>
      <c r="Q34" s="11"/>
      <c r="R34" s="3">
        <v>0.5</v>
      </c>
      <c r="S34" s="11"/>
      <c r="T34" s="11"/>
      <c r="U34" s="11"/>
      <c r="V34" s="11"/>
      <c r="W34" s="11"/>
      <c r="X34" s="11"/>
      <c r="Y34" s="11"/>
      <c r="Z34" s="11"/>
      <c r="AJ34" s="11"/>
      <c r="AK34" s="11"/>
      <c r="AU34" s="12" t="s">
        <v>42</v>
      </c>
      <c r="BJ34" s="3">
        <v>10</v>
      </c>
      <c r="BL34" s="12" t="s">
        <v>80</v>
      </c>
      <c r="BM34" s="12" t="s">
        <v>80</v>
      </c>
      <c r="BN34" s="12" t="s">
        <v>80</v>
      </c>
      <c r="BQ34" s="23"/>
      <c r="BT34" s="3" t="s">
        <v>80</v>
      </c>
      <c r="BU34" s="3" t="s">
        <v>80</v>
      </c>
      <c r="BX34" s="12" t="s">
        <v>72</v>
      </c>
    </row>
    <row r="35" spans="1:77" s="3" customFormat="1" ht="22.5" customHeight="1">
      <c r="A35" s="23">
        <v>2023202660</v>
      </c>
      <c r="B35" s="24" t="s">
        <v>311</v>
      </c>
      <c r="C35" s="23" t="s">
        <v>77</v>
      </c>
      <c r="D35" s="23" t="s">
        <v>159</v>
      </c>
      <c r="E35" s="23" t="s">
        <v>277</v>
      </c>
      <c r="F35" s="23" t="s">
        <v>312</v>
      </c>
      <c r="G35" s="23" t="s">
        <v>312</v>
      </c>
      <c r="H35" s="23"/>
      <c r="I35" s="23"/>
      <c r="J35" s="23">
        <v>2.5</v>
      </c>
      <c r="K35" s="23"/>
      <c r="L35" s="23"/>
      <c r="M35" s="23"/>
      <c r="N35" s="11"/>
      <c r="O35" s="11"/>
      <c r="P35" s="11"/>
      <c r="Q35" s="11"/>
      <c r="R35" s="3">
        <v>0.5</v>
      </c>
      <c r="S35" s="11"/>
      <c r="T35" s="11"/>
      <c r="U35" s="11"/>
      <c r="V35" s="11"/>
      <c r="W35" s="11"/>
      <c r="X35" s="11"/>
      <c r="Y35" s="11"/>
      <c r="Z35" s="11"/>
      <c r="AJ35" s="11"/>
      <c r="AK35" s="11"/>
      <c r="AU35" s="12" t="s">
        <v>42</v>
      </c>
      <c r="BL35" s="12" t="s">
        <v>80</v>
      </c>
      <c r="BM35" s="12" t="s">
        <v>80</v>
      </c>
      <c r="BN35" s="12" t="s">
        <v>80</v>
      </c>
      <c r="BQ35" s="23"/>
      <c r="BT35" s="3" t="s">
        <v>80</v>
      </c>
      <c r="BU35" s="3" t="s">
        <v>80</v>
      </c>
      <c r="BX35" s="12" t="s">
        <v>72</v>
      </c>
    </row>
    <row r="36" spans="1:77" s="2" customFormat="1" ht="22.5" customHeight="1">
      <c r="A36" s="20">
        <v>2023202661</v>
      </c>
      <c r="B36" s="20" t="s">
        <v>313</v>
      </c>
      <c r="C36" s="20" t="s">
        <v>77</v>
      </c>
      <c r="D36" s="20" t="s">
        <v>159</v>
      </c>
      <c r="E36" s="20" t="s">
        <v>277</v>
      </c>
      <c r="F36" s="21">
        <f>SUM(H36:$XEO36)</f>
        <v>40</v>
      </c>
      <c r="G36" s="10">
        <f>COUNT(H36:$XFC36)</f>
        <v>6</v>
      </c>
      <c r="H36" s="21"/>
      <c r="I36" s="21"/>
      <c r="J36" s="21"/>
      <c r="K36" s="21">
        <v>8</v>
      </c>
      <c r="L36" s="21"/>
      <c r="M36" s="21"/>
      <c r="N36" s="1"/>
      <c r="O36" s="1"/>
      <c r="P36" s="1">
        <v>16</v>
      </c>
      <c r="Q36" s="1"/>
      <c r="S36" s="1"/>
      <c r="T36" s="1"/>
      <c r="U36" s="1"/>
      <c r="V36" s="1"/>
      <c r="W36" s="1"/>
      <c r="X36" s="1"/>
      <c r="Y36" s="1"/>
      <c r="Z36" s="1"/>
      <c r="AG36" s="2">
        <v>4</v>
      </c>
      <c r="AJ36" s="1"/>
      <c r="AK36" s="1"/>
      <c r="AN36" s="2">
        <v>4</v>
      </c>
      <c r="AO36" s="2">
        <v>4</v>
      </c>
      <c r="AU36" s="9" t="s">
        <v>42</v>
      </c>
      <c r="BL36" s="10" t="s">
        <v>80</v>
      </c>
      <c r="BM36" s="10" t="s">
        <v>80</v>
      </c>
      <c r="BN36" s="10" t="s">
        <v>80</v>
      </c>
      <c r="BQ36" s="21"/>
      <c r="BT36" s="2">
        <v>4</v>
      </c>
      <c r="BU36" s="2" t="s">
        <v>80</v>
      </c>
      <c r="BX36" s="9" t="s">
        <v>72</v>
      </c>
    </row>
    <row r="37" spans="1:77" s="2" customFormat="1" ht="22.5" customHeight="1">
      <c r="A37" s="20">
        <v>2023202665</v>
      </c>
      <c r="B37" s="20" t="s">
        <v>314</v>
      </c>
      <c r="C37" s="20" t="s">
        <v>82</v>
      </c>
      <c r="D37" s="20" t="s">
        <v>159</v>
      </c>
      <c r="E37" s="20" t="s">
        <v>277</v>
      </c>
      <c r="F37" s="21">
        <f>SUM(H37:$XEO37)</f>
        <v>4.5</v>
      </c>
      <c r="G37" s="10">
        <f>COUNT(H37:$XFC37)</f>
        <v>2</v>
      </c>
      <c r="H37" s="21"/>
      <c r="I37" s="21"/>
      <c r="J37" s="21"/>
      <c r="K37" s="21"/>
      <c r="L37" s="21"/>
      <c r="M37" s="21"/>
      <c r="N37" s="1"/>
      <c r="O37" s="1"/>
      <c r="P37" s="1"/>
      <c r="Q37" s="1"/>
      <c r="R37" s="2">
        <v>0.5</v>
      </c>
      <c r="S37" s="1"/>
      <c r="T37" s="1"/>
      <c r="U37" s="1"/>
      <c r="V37" s="1"/>
      <c r="W37" s="1"/>
      <c r="X37" s="1"/>
      <c r="Y37" s="1"/>
      <c r="Z37" s="1"/>
      <c r="AJ37" s="1"/>
      <c r="AK37" s="1"/>
      <c r="AN37" s="2">
        <v>4</v>
      </c>
      <c r="AU37" s="9" t="s">
        <v>42</v>
      </c>
      <c r="BL37" s="10" t="s">
        <v>80</v>
      </c>
      <c r="BM37" s="10" t="s">
        <v>80</v>
      </c>
      <c r="BN37" s="10" t="s">
        <v>80</v>
      </c>
      <c r="BQ37" s="21"/>
      <c r="BT37" s="2" t="s">
        <v>80</v>
      </c>
      <c r="BU37" s="2" t="s">
        <v>80</v>
      </c>
      <c r="BX37" s="9" t="s">
        <v>72</v>
      </c>
    </row>
    <row r="38" spans="1:77" s="2" customFormat="1" ht="22.5" customHeight="1">
      <c r="A38" s="20">
        <v>2023202668</v>
      </c>
      <c r="B38" s="20" t="s">
        <v>315</v>
      </c>
      <c r="C38" s="20" t="s">
        <v>77</v>
      </c>
      <c r="D38" s="20" t="s">
        <v>159</v>
      </c>
      <c r="E38" s="20" t="s">
        <v>277</v>
      </c>
      <c r="F38" s="21">
        <f>SUM(H38:$XEO38)</f>
        <v>28.5</v>
      </c>
      <c r="G38" s="10">
        <f>COUNT(H38:$XFC38)</f>
        <v>12</v>
      </c>
      <c r="H38" s="21"/>
      <c r="I38" s="21"/>
      <c r="J38" s="21">
        <v>0.5</v>
      </c>
      <c r="K38" s="21"/>
      <c r="L38" s="21"/>
      <c r="M38" s="21">
        <v>0.5</v>
      </c>
      <c r="N38" s="1"/>
      <c r="O38" s="1"/>
      <c r="P38" s="1"/>
      <c r="Q38" s="1"/>
      <c r="R38" s="2">
        <v>0.5</v>
      </c>
      <c r="S38" s="1">
        <v>2</v>
      </c>
      <c r="T38" s="1"/>
      <c r="U38" s="1"/>
      <c r="V38" s="1"/>
      <c r="W38" s="1"/>
      <c r="X38" s="1"/>
      <c r="Y38" s="1"/>
      <c r="Z38" s="1"/>
      <c r="AD38" s="2">
        <v>4</v>
      </c>
      <c r="AG38" s="2">
        <v>4</v>
      </c>
      <c r="AJ38" s="1"/>
      <c r="AK38" s="1"/>
      <c r="AN38" s="2">
        <v>4</v>
      </c>
      <c r="AU38" s="9" t="s">
        <v>42</v>
      </c>
      <c r="BB38" s="2">
        <v>1.5</v>
      </c>
      <c r="BG38" s="2">
        <v>4</v>
      </c>
      <c r="BL38" s="10">
        <v>3</v>
      </c>
      <c r="BM38" s="10">
        <v>3</v>
      </c>
      <c r="BN38" s="10">
        <v>1.5</v>
      </c>
      <c r="BQ38" s="21"/>
      <c r="BT38" s="2" t="s">
        <v>80</v>
      </c>
      <c r="BU38" s="2" t="s">
        <v>80</v>
      </c>
      <c r="BX38" s="9" t="s">
        <v>72</v>
      </c>
    </row>
    <row r="39" spans="1:77" s="2" customFormat="1" ht="22.5" customHeight="1">
      <c r="A39" s="20">
        <v>2023202670</v>
      </c>
      <c r="B39" s="20" t="s">
        <v>316</v>
      </c>
      <c r="C39" s="20" t="s">
        <v>82</v>
      </c>
      <c r="D39" s="20" t="s">
        <v>159</v>
      </c>
      <c r="E39" s="20" t="s">
        <v>277</v>
      </c>
      <c r="F39" s="21">
        <f>SUM(H39:$XEO39)</f>
        <v>43.5</v>
      </c>
      <c r="G39" s="10">
        <f>COUNT(H39:$XFC39)</f>
        <v>7</v>
      </c>
      <c r="H39" s="21"/>
      <c r="I39" s="21"/>
      <c r="J39" s="21"/>
      <c r="K39" s="21"/>
      <c r="L39" s="21"/>
      <c r="M39" s="21"/>
      <c r="N39" s="1"/>
      <c r="O39" s="1">
        <v>3</v>
      </c>
      <c r="P39" s="1">
        <v>16</v>
      </c>
      <c r="Q39" s="1"/>
      <c r="R39" s="2">
        <v>0.5</v>
      </c>
      <c r="S39" s="1"/>
      <c r="T39" s="1"/>
      <c r="U39" s="1"/>
      <c r="V39" s="1"/>
      <c r="W39" s="1"/>
      <c r="X39" s="1"/>
      <c r="Y39" s="1"/>
      <c r="Z39" s="1"/>
      <c r="AA39" s="2">
        <v>12</v>
      </c>
      <c r="AJ39" s="1"/>
      <c r="AK39" s="1"/>
      <c r="AN39" s="2">
        <v>4</v>
      </c>
      <c r="AO39" s="2">
        <v>4</v>
      </c>
      <c r="AU39" s="9" t="s">
        <v>42</v>
      </c>
      <c r="BL39" s="10" t="s">
        <v>80</v>
      </c>
      <c r="BM39" s="10" t="s">
        <v>80</v>
      </c>
      <c r="BN39" s="10" t="s">
        <v>80</v>
      </c>
      <c r="BQ39" s="21"/>
      <c r="BT39" s="2">
        <v>4</v>
      </c>
      <c r="BU39" s="2" t="s">
        <v>80</v>
      </c>
      <c r="BX39" s="9" t="s">
        <v>72</v>
      </c>
    </row>
    <row r="40" spans="1:77" s="2" customFormat="1" ht="22.5" customHeight="1">
      <c r="A40" s="20">
        <v>2023202678</v>
      </c>
      <c r="B40" s="20" t="s">
        <v>317</v>
      </c>
      <c r="C40" s="20" t="s">
        <v>82</v>
      </c>
      <c r="D40" s="20" t="s">
        <v>159</v>
      </c>
      <c r="E40" s="20" t="s">
        <v>277</v>
      </c>
      <c r="F40" s="21">
        <f>SUM(H40:$XEO40)</f>
        <v>32.5</v>
      </c>
      <c r="G40" s="10">
        <f>COUNT(H40:$XFC40)</f>
        <v>6</v>
      </c>
      <c r="H40" s="21"/>
      <c r="I40" s="21"/>
      <c r="J40" s="21"/>
      <c r="K40" s="21"/>
      <c r="L40" s="21"/>
      <c r="M40" s="21"/>
      <c r="N40" s="1"/>
      <c r="O40" s="1"/>
      <c r="P40" s="1"/>
      <c r="Q40" s="1"/>
      <c r="R40" s="2">
        <v>0.5</v>
      </c>
      <c r="S40" s="1"/>
      <c r="T40" s="1"/>
      <c r="U40" s="1"/>
      <c r="V40" s="1"/>
      <c r="W40" s="1"/>
      <c r="X40" s="1"/>
      <c r="Y40" s="1"/>
      <c r="Z40" s="1"/>
      <c r="AG40" s="2">
        <v>4</v>
      </c>
      <c r="AJ40" s="1"/>
      <c r="AK40" s="1"/>
      <c r="AN40" s="2">
        <v>4</v>
      </c>
      <c r="AS40" s="2">
        <v>4</v>
      </c>
      <c r="AU40" s="9" t="s">
        <v>42</v>
      </c>
      <c r="BJ40" s="2">
        <v>16</v>
      </c>
      <c r="BL40" s="10" t="s">
        <v>80</v>
      </c>
      <c r="BM40" s="10" t="s">
        <v>80</v>
      </c>
      <c r="BN40" s="10" t="s">
        <v>80</v>
      </c>
      <c r="BQ40" s="21">
        <v>4</v>
      </c>
      <c r="BT40" s="2" t="s">
        <v>80</v>
      </c>
      <c r="BU40" s="2" t="s">
        <v>80</v>
      </c>
      <c r="BX40" s="9" t="s">
        <v>72</v>
      </c>
    </row>
    <row r="41" spans="1:77" s="2" customFormat="1" ht="22.5" customHeight="1">
      <c r="A41" s="20">
        <v>2023202679</v>
      </c>
      <c r="B41" s="20" t="s">
        <v>318</v>
      </c>
      <c r="C41" s="20" t="s">
        <v>82</v>
      </c>
      <c r="D41" s="20" t="s">
        <v>159</v>
      </c>
      <c r="E41" s="20" t="s">
        <v>277</v>
      </c>
      <c r="F41" s="21">
        <f>SUM(H41:$XEO41)</f>
        <v>11.5</v>
      </c>
      <c r="G41" s="10">
        <f>COUNT(H41:$XFC41)</f>
        <v>3</v>
      </c>
      <c r="H41" s="21"/>
      <c r="I41" s="21"/>
      <c r="J41" s="21"/>
      <c r="K41" s="21"/>
      <c r="L41" s="21"/>
      <c r="M41" s="21"/>
      <c r="N41" s="1"/>
      <c r="O41" s="1"/>
      <c r="P41" s="1"/>
      <c r="Q41" s="1"/>
      <c r="R41" s="2">
        <v>0.5</v>
      </c>
      <c r="S41" s="1"/>
      <c r="T41" s="1"/>
      <c r="U41" s="1"/>
      <c r="V41" s="1"/>
      <c r="W41" s="1"/>
      <c r="X41" s="1"/>
      <c r="Y41" s="1"/>
      <c r="Z41" s="1"/>
      <c r="AJ41" s="1"/>
      <c r="AK41" s="1"/>
      <c r="AP41" s="2">
        <v>2</v>
      </c>
      <c r="AU41" s="9" t="s">
        <v>42</v>
      </c>
      <c r="BJ41" s="2">
        <v>9</v>
      </c>
      <c r="BL41" s="10" t="s">
        <v>80</v>
      </c>
      <c r="BM41" s="10" t="s">
        <v>80</v>
      </c>
      <c r="BN41" s="10" t="s">
        <v>80</v>
      </c>
      <c r="BQ41" s="21"/>
      <c r="BT41" s="2" t="s">
        <v>80</v>
      </c>
      <c r="BU41" s="2" t="s">
        <v>80</v>
      </c>
      <c r="BX41" s="9" t="s">
        <v>72</v>
      </c>
    </row>
    <row r="42" spans="1:77" s="2" customFormat="1" ht="22.5" customHeight="1">
      <c r="A42" s="20">
        <v>2023202680</v>
      </c>
      <c r="B42" s="20" t="s">
        <v>319</v>
      </c>
      <c r="C42" s="20" t="s">
        <v>82</v>
      </c>
      <c r="D42" s="20" t="s">
        <v>159</v>
      </c>
      <c r="E42" s="20" t="s">
        <v>277</v>
      </c>
      <c r="F42" s="21">
        <f>SUM(H42:$XEO42)</f>
        <v>38.5</v>
      </c>
      <c r="G42" s="10">
        <f>COUNT(H42:$XFC42)</f>
        <v>4</v>
      </c>
      <c r="H42" s="21"/>
      <c r="I42" s="21"/>
      <c r="J42" s="21"/>
      <c r="K42" s="21"/>
      <c r="L42" s="21"/>
      <c r="M42" s="21"/>
      <c r="N42" s="1"/>
      <c r="O42" s="1"/>
      <c r="P42" s="1">
        <v>16</v>
      </c>
      <c r="Q42" s="1"/>
      <c r="S42" s="1"/>
      <c r="T42" s="1"/>
      <c r="U42" s="1"/>
      <c r="V42" s="1"/>
      <c r="W42" s="1"/>
      <c r="X42" s="1"/>
      <c r="Y42" s="1"/>
      <c r="Z42" s="1"/>
      <c r="AA42" s="2">
        <v>10</v>
      </c>
      <c r="AJ42" s="1"/>
      <c r="AK42" s="1"/>
      <c r="AN42" s="2">
        <v>4</v>
      </c>
      <c r="AR42" s="2">
        <v>8.5</v>
      </c>
      <c r="AU42" s="9" t="s">
        <v>42</v>
      </c>
      <c r="BL42" s="10" t="s">
        <v>80</v>
      </c>
      <c r="BM42" s="10" t="s">
        <v>80</v>
      </c>
      <c r="BN42" s="10" t="s">
        <v>80</v>
      </c>
      <c r="BQ42" s="21"/>
      <c r="BT42" s="2" t="s">
        <v>80</v>
      </c>
      <c r="BU42" s="2" t="s">
        <v>80</v>
      </c>
      <c r="BX42" s="9" t="s">
        <v>72</v>
      </c>
    </row>
    <row r="43" spans="1:77" s="2" customFormat="1" ht="22.5" customHeight="1">
      <c r="A43" s="20">
        <v>2023202681</v>
      </c>
      <c r="B43" s="20" t="s">
        <v>320</v>
      </c>
      <c r="C43" s="20" t="s">
        <v>77</v>
      </c>
      <c r="D43" s="20" t="s">
        <v>159</v>
      </c>
      <c r="E43" s="20" t="s">
        <v>277</v>
      </c>
      <c r="F43" s="21">
        <f>SUM(H43:$XEO43)</f>
        <v>104.5</v>
      </c>
      <c r="G43" s="10">
        <f>COUNT(H43:$XFC43)</f>
        <v>12</v>
      </c>
      <c r="H43" s="21">
        <v>45</v>
      </c>
      <c r="I43" s="21"/>
      <c r="J43" s="21">
        <v>0.5</v>
      </c>
      <c r="K43" s="21"/>
      <c r="L43" s="21"/>
      <c r="M43" s="21"/>
      <c r="N43" s="1"/>
      <c r="O43" s="1"/>
      <c r="P43" s="1"/>
      <c r="Q43" s="1"/>
      <c r="R43" s="2">
        <v>0.5</v>
      </c>
      <c r="S43" s="1"/>
      <c r="T43" s="1"/>
      <c r="U43" s="1"/>
      <c r="V43" s="1"/>
      <c r="W43" s="1"/>
      <c r="X43" s="1"/>
      <c r="Y43" s="1"/>
      <c r="Z43" s="1"/>
      <c r="AH43" s="2">
        <v>18</v>
      </c>
      <c r="AJ43" s="1"/>
      <c r="AK43" s="1"/>
      <c r="AN43" s="2">
        <v>4</v>
      </c>
      <c r="AO43" s="2">
        <v>4</v>
      </c>
      <c r="AP43" s="2">
        <v>2</v>
      </c>
      <c r="AS43" s="2">
        <v>4</v>
      </c>
      <c r="AU43" s="9" t="s">
        <v>42</v>
      </c>
      <c r="AZ43" s="2">
        <v>3.5</v>
      </c>
      <c r="BF43" s="2">
        <v>16</v>
      </c>
      <c r="BI43" s="2">
        <v>5</v>
      </c>
      <c r="BL43" s="10" t="s">
        <v>80</v>
      </c>
      <c r="BM43" s="10" t="s">
        <v>80</v>
      </c>
      <c r="BN43" s="10" t="s">
        <v>80</v>
      </c>
      <c r="BQ43" s="21"/>
      <c r="BT43" s="2" t="s">
        <v>80</v>
      </c>
      <c r="BU43" s="2">
        <v>2</v>
      </c>
      <c r="BX43" s="9" t="s">
        <v>72</v>
      </c>
    </row>
    <row r="44" spans="1:77" s="2" customFormat="1" ht="22.5" customHeight="1">
      <c r="A44" s="20">
        <v>2023202682</v>
      </c>
      <c r="B44" s="20" t="s">
        <v>321</v>
      </c>
      <c r="C44" s="20" t="s">
        <v>82</v>
      </c>
      <c r="D44" s="20" t="s">
        <v>159</v>
      </c>
      <c r="E44" s="20" t="s">
        <v>277</v>
      </c>
      <c r="F44" s="21">
        <f>SUM(H44:$XEO44)</f>
        <v>59.5</v>
      </c>
      <c r="G44" s="10">
        <f>COUNT(H44:$XFC44)</f>
        <v>9</v>
      </c>
      <c r="H44" s="21"/>
      <c r="I44" s="21"/>
      <c r="J44" s="21"/>
      <c r="K44" s="21"/>
      <c r="L44" s="21"/>
      <c r="M44" s="21"/>
      <c r="N44" s="1"/>
      <c r="O44" s="1"/>
      <c r="P44" s="1">
        <v>16</v>
      </c>
      <c r="Q44" s="1"/>
      <c r="R44" s="2">
        <v>0.5</v>
      </c>
      <c r="S44" s="1"/>
      <c r="T44" s="1"/>
      <c r="U44" s="1"/>
      <c r="V44" s="1"/>
      <c r="W44" s="1"/>
      <c r="X44" s="1"/>
      <c r="Y44" s="1"/>
      <c r="Z44" s="1"/>
      <c r="AI44" s="2">
        <v>4</v>
      </c>
      <c r="AJ44" s="1"/>
      <c r="AK44" s="1"/>
      <c r="AN44" s="2">
        <v>4</v>
      </c>
      <c r="AO44" s="2">
        <v>4</v>
      </c>
      <c r="AP44" s="2">
        <v>2</v>
      </c>
      <c r="AU44" s="9" t="s">
        <v>42</v>
      </c>
      <c r="AZ44" s="2">
        <v>7</v>
      </c>
      <c r="BF44" s="2">
        <v>16</v>
      </c>
      <c r="BJ44" s="2">
        <v>6</v>
      </c>
      <c r="BL44" s="10" t="s">
        <v>80</v>
      </c>
      <c r="BM44" s="10" t="s">
        <v>80</v>
      </c>
      <c r="BN44" s="10" t="s">
        <v>80</v>
      </c>
      <c r="BQ44" s="21"/>
      <c r="BT44" s="2" t="s">
        <v>80</v>
      </c>
      <c r="BU44" s="2" t="s">
        <v>80</v>
      </c>
      <c r="BX44" s="9" t="s">
        <v>72</v>
      </c>
    </row>
    <row r="45" spans="1:77" s="2" customFormat="1" ht="22.5" customHeight="1">
      <c r="A45" s="20">
        <v>2023202683</v>
      </c>
      <c r="B45" s="20" t="s">
        <v>322</v>
      </c>
      <c r="C45" s="20" t="s">
        <v>77</v>
      </c>
      <c r="D45" s="20" t="s">
        <v>159</v>
      </c>
      <c r="E45" s="20" t="s">
        <v>277</v>
      </c>
      <c r="F45" s="21">
        <f>SUM(H45:$XEO45)</f>
        <v>24.5</v>
      </c>
      <c r="G45" s="10">
        <f>COUNT(H45:$XFC45)</f>
        <v>4</v>
      </c>
      <c r="H45" s="21"/>
      <c r="I45" s="21"/>
      <c r="J45" s="21"/>
      <c r="K45" s="21"/>
      <c r="L45" s="21"/>
      <c r="M45" s="21"/>
      <c r="N45" s="1"/>
      <c r="O45" s="1"/>
      <c r="P45" s="1">
        <v>16</v>
      </c>
      <c r="Q45" s="1"/>
      <c r="R45" s="2">
        <v>0.5</v>
      </c>
      <c r="S45" s="1"/>
      <c r="T45" s="1"/>
      <c r="U45" s="1"/>
      <c r="V45" s="1"/>
      <c r="W45" s="1"/>
      <c r="X45" s="1"/>
      <c r="Y45" s="1"/>
      <c r="Z45" s="1"/>
      <c r="AJ45" s="1"/>
      <c r="AK45" s="1"/>
      <c r="AN45" s="2">
        <v>4</v>
      </c>
      <c r="AS45" s="2">
        <v>4</v>
      </c>
      <c r="AU45" s="9" t="s">
        <v>42</v>
      </c>
      <c r="BL45" s="10" t="s">
        <v>80</v>
      </c>
      <c r="BM45" s="10" t="s">
        <v>80</v>
      </c>
      <c r="BN45" s="10" t="s">
        <v>80</v>
      </c>
      <c r="BQ45" s="21"/>
      <c r="BT45" s="2" t="s">
        <v>80</v>
      </c>
      <c r="BU45" s="2" t="s">
        <v>80</v>
      </c>
      <c r="BX45" s="9" t="s">
        <v>72</v>
      </c>
    </row>
    <row r="46" spans="1:77" s="2" customFormat="1" ht="22.5" customHeight="1">
      <c r="A46" s="20">
        <v>2023202690</v>
      </c>
      <c r="B46" s="20" t="s">
        <v>323</v>
      </c>
      <c r="C46" s="20" t="s">
        <v>82</v>
      </c>
      <c r="D46" s="20" t="s">
        <v>159</v>
      </c>
      <c r="E46" s="20" t="s">
        <v>277</v>
      </c>
      <c r="F46" s="21">
        <f>SUM(H46:$XEO46)</f>
        <v>43</v>
      </c>
      <c r="G46" s="10">
        <f>COUNT(H46:$XFC46)</f>
        <v>7</v>
      </c>
      <c r="H46" s="21"/>
      <c r="I46" s="21"/>
      <c r="J46" s="21"/>
      <c r="K46" s="21"/>
      <c r="L46" s="21">
        <v>8</v>
      </c>
      <c r="M46" s="21"/>
      <c r="N46" s="1"/>
      <c r="O46" s="1"/>
      <c r="P46" s="1"/>
      <c r="Q46" s="1"/>
      <c r="S46" s="1"/>
      <c r="T46" s="1"/>
      <c r="U46" s="1"/>
      <c r="V46" s="1"/>
      <c r="W46" s="1"/>
      <c r="X46" s="1"/>
      <c r="Y46" s="1"/>
      <c r="Z46" s="1"/>
      <c r="AJ46" s="1"/>
      <c r="AK46" s="1"/>
      <c r="AM46" s="2">
        <v>6</v>
      </c>
      <c r="AP46" s="2">
        <v>2</v>
      </c>
      <c r="AU46" s="9" t="s">
        <v>42</v>
      </c>
      <c r="AV46" s="2">
        <v>9</v>
      </c>
      <c r="BJ46" s="2">
        <v>12</v>
      </c>
      <c r="BL46" s="10" t="s">
        <v>80</v>
      </c>
      <c r="BM46" s="10" t="s">
        <v>80</v>
      </c>
      <c r="BN46" s="10" t="s">
        <v>80</v>
      </c>
      <c r="BQ46" s="21"/>
      <c r="BT46" s="2">
        <v>4</v>
      </c>
      <c r="BU46" s="2">
        <v>2</v>
      </c>
      <c r="BX46" s="9" t="s">
        <v>72</v>
      </c>
    </row>
    <row r="47" spans="1:77" s="2" customFormat="1" ht="22.5" customHeight="1">
      <c r="A47" s="20">
        <v>2023202692</v>
      </c>
      <c r="B47" s="20" t="s">
        <v>324</v>
      </c>
      <c r="C47" s="20" t="s">
        <v>82</v>
      </c>
      <c r="D47" s="20" t="s">
        <v>159</v>
      </c>
      <c r="E47" s="20" t="s">
        <v>277</v>
      </c>
      <c r="F47" s="21">
        <f>SUM(H47:$XEO47)</f>
        <v>47</v>
      </c>
      <c r="G47" s="10">
        <f>COUNT(H47:$XFC47)</f>
        <v>10</v>
      </c>
      <c r="H47" s="21"/>
      <c r="I47" s="21"/>
      <c r="J47" s="21"/>
      <c r="K47" s="21"/>
      <c r="L47" s="21"/>
      <c r="M47" s="21"/>
      <c r="N47" s="1"/>
      <c r="O47" s="1"/>
      <c r="P47" s="1"/>
      <c r="Q47" s="1"/>
      <c r="R47" s="2">
        <v>0.5</v>
      </c>
      <c r="S47" s="1"/>
      <c r="T47" s="1"/>
      <c r="U47" s="1"/>
      <c r="V47" s="1"/>
      <c r="W47" s="1"/>
      <c r="X47" s="1"/>
      <c r="Y47" s="1"/>
      <c r="Z47" s="1"/>
      <c r="AJ47" s="1"/>
      <c r="AK47" s="1">
        <v>8</v>
      </c>
      <c r="AM47" s="2">
        <v>6</v>
      </c>
      <c r="AN47" s="2">
        <v>4</v>
      </c>
      <c r="AO47" s="2">
        <v>4</v>
      </c>
      <c r="AP47" s="2">
        <v>2</v>
      </c>
      <c r="AR47" s="2">
        <v>4.5</v>
      </c>
      <c r="AU47" s="9" t="s">
        <v>42</v>
      </c>
      <c r="AV47" s="2">
        <v>12</v>
      </c>
      <c r="BL47" s="10" t="s">
        <v>80</v>
      </c>
      <c r="BM47" s="10" t="s">
        <v>80</v>
      </c>
      <c r="BN47" s="10" t="s">
        <v>80</v>
      </c>
      <c r="BQ47" s="21"/>
      <c r="BT47" s="2">
        <v>4</v>
      </c>
      <c r="BU47" s="2">
        <v>2</v>
      </c>
      <c r="BX47" s="9" t="s">
        <v>72</v>
      </c>
    </row>
    <row r="48" spans="1:77" s="2" customFormat="1" ht="22.5" customHeight="1">
      <c r="A48" s="20">
        <v>2023202694</v>
      </c>
      <c r="B48" s="20" t="s">
        <v>325</v>
      </c>
      <c r="C48" s="20" t="s">
        <v>82</v>
      </c>
      <c r="D48" s="20" t="s">
        <v>159</v>
      </c>
      <c r="E48" s="20" t="s">
        <v>277</v>
      </c>
      <c r="F48" s="21">
        <f>SUM(H48:$XEO48)</f>
        <v>14</v>
      </c>
      <c r="G48" s="10">
        <f>COUNT(H48:$XFC48)</f>
        <v>2</v>
      </c>
      <c r="H48" s="21"/>
      <c r="I48" s="21"/>
      <c r="J48" s="21"/>
      <c r="K48" s="21"/>
      <c r="L48" s="21"/>
      <c r="M48" s="21"/>
      <c r="N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A48" s="2">
        <v>10</v>
      </c>
      <c r="AJ48" s="1"/>
      <c r="AK48" s="1"/>
      <c r="AU48" s="9" t="s">
        <v>42</v>
      </c>
      <c r="BI48" s="2">
        <v>4</v>
      </c>
      <c r="BL48" s="10" t="s">
        <v>80</v>
      </c>
      <c r="BM48" s="10" t="s">
        <v>80</v>
      </c>
      <c r="BN48" s="10" t="s">
        <v>80</v>
      </c>
      <c r="BQ48" s="21"/>
      <c r="BT48" s="2" t="s">
        <v>80</v>
      </c>
      <c r="BU48" s="2" t="s">
        <v>80</v>
      </c>
      <c r="BX48" s="9" t="s">
        <v>72</v>
      </c>
    </row>
    <row r="49" spans="1:76" s="2" customFormat="1" ht="22.5" customHeight="1">
      <c r="A49" s="20">
        <v>2023202695</v>
      </c>
      <c r="B49" s="20" t="s">
        <v>326</v>
      </c>
      <c r="C49" s="20" t="s">
        <v>77</v>
      </c>
      <c r="D49" s="20" t="s">
        <v>159</v>
      </c>
      <c r="E49" s="20" t="s">
        <v>277</v>
      </c>
      <c r="F49" s="21">
        <f>SUM(H49:$XEO49)</f>
        <v>35</v>
      </c>
      <c r="G49" s="10">
        <f>COUNT(H49:$XFC49)</f>
        <v>10</v>
      </c>
      <c r="H49" s="21"/>
      <c r="I49" s="21"/>
      <c r="J49" s="21"/>
      <c r="K49" s="21"/>
      <c r="L49" s="21">
        <v>8</v>
      </c>
      <c r="M49" s="21"/>
      <c r="N49" s="1"/>
      <c r="O49" s="1"/>
      <c r="P49" s="1"/>
      <c r="Q49" s="1"/>
      <c r="S49" s="1"/>
      <c r="T49" s="1"/>
      <c r="U49" s="1"/>
      <c r="V49" s="1"/>
      <c r="W49" s="1"/>
      <c r="X49" s="1"/>
      <c r="Y49" s="1"/>
      <c r="Z49" s="1"/>
      <c r="AG49" s="2">
        <v>4</v>
      </c>
      <c r="AI49" s="2">
        <v>4</v>
      </c>
      <c r="AJ49" s="1"/>
      <c r="AK49" s="1"/>
      <c r="AN49" s="2">
        <v>4</v>
      </c>
      <c r="AP49" s="2">
        <v>2</v>
      </c>
      <c r="AS49" s="2">
        <v>4</v>
      </c>
      <c r="AU49" s="9" t="s">
        <v>42</v>
      </c>
      <c r="BB49" s="2">
        <v>2</v>
      </c>
      <c r="BL49" s="10">
        <v>3</v>
      </c>
      <c r="BM49" s="10" t="s">
        <v>80</v>
      </c>
      <c r="BN49" s="10">
        <v>2</v>
      </c>
      <c r="BQ49" s="21"/>
      <c r="BT49" s="2" t="s">
        <v>80</v>
      </c>
      <c r="BU49" s="2">
        <v>2</v>
      </c>
      <c r="BX49" s="9" t="s">
        <v>72</v>
      </c>
    </row>
    <row r="50" spans="1:76" s="2" customFormat="1" ht="22.5" customHeight="1">
      <c r="A50" s="20">
        <v>2023202697</v>
      </c>
      <c r="B50" s="20" t="s">
        <v>327</v>
      </c>
      <c r="C50" s="20" t="s">
        <v>82</v>
      </c>
      <c r="D50" s="20" t="s">
        <v>159</v>
      </c>
      <c r="E50" s="20" t="s">
        <v>277</v>
      </c>
      <c r="F50" s="21">
        <f>SUM(H50:$XEO50)</f>
        <v>102</v>
      </c>
      <c r="G50" s="10">
        <f>COUNT(H50:$XFC50)</f>
        <v>10</v>
      </c>
      <c r="H50" s="21"/>
      <c r="I50" s="21"/>
      <c r="J50" s="21">
        <v>0.5</v>
      </c>
      <c r="K50" s="21"/>
      <c r="L50" s="21"/>
      <c r="M50" s="21"/>
      <c r="N50" s="1"/>
      <c r="O50" s="1"/>
      <c r="P50" s="1">
        <v>16</v>
      </c>
      <c r="Q50" s="1"/>
      <c r="R50" s="2">
        <v>0.5</v>
      </c>
      <c r="S50" s="1"/>
      <c r="T50" s="1">
        <v>21</v>
      </c>
      <c r="U50" s="1">
        <v>24</v>
      </c>
      <c r="V50" s="1"/>
      <c r="W50" s="1"/>
      <c r="X50" s="1"/>
      <c r="Y50" s="1"/>
      <c r="Z50" s="1"/>
      <c r="AA50" s="2">
        <v>10</v>
      </c>
      <c r="AF50" s="2">
        <v>6</v>
      </c>
      <c r="AJ50" s="1"/>
      <c r="AK50" s="1"/>
      <c r="AN50" s="2">
        <v>4</v>
      </c>
      <c r="AO50" s="2">
        <v>4</v>
      </c>
      <c r="AU50" s="9" t="s">
        <v>42</v>
      </c>
      <c r="BF50" s="2">
        <v>16</v>
      </c>
      <c r="BL50" s="10" t="s">
        <v>80</v>
      </c>
      <c r="BM50" s="10" t="s">
        <v>80</v>
      </c>
      <c r="BN50" s="10" t="s">
        <v>80</v>
      </c>
      <c r="BQ50" s="21"/>
      <c r="BT50" s="2" t="s">
        <v>80</v>
      </c>
      <c r="BU50" s="2" t="s">
        <v>80</v>
      </c>
      <c r="BX50" s="9" t="s">
        <v>72</v>
      </c>
    </row>
    <row r="51" spans="1:76" s="2" customFormat="1" ht="22.5" customHeight="1">
      <c r="A51" s="20">
        <v>2023202702</v>
      </c>
      <c r="B51" s="20" t="s">
        <v>328</v>
      </c>
      <c r="C51" s="20" t="s">
        <v>77</v>
      </c>
      <c r="D51" s="20" t="s">
        <v>159</v>
      </c>
      <c r="E51" s="20" t="s">
        <v>277</v>
      </c>
      <c r="F51" s="21">
        <f>SUM(H51:$XEO51)</f>
        <v>60.5</v>
      </c>
      <c r="G51" s="10">
        <f>COUNT(H51:$XFC51)</f>
        <v>7</v>
      </c>
      <c r="H51" s="21"/>
      <c r="I51" s="21"/>
      <c r="J51" s="21"/>
      <c r="K51" s="21"/>
      <c r="L51" s="21"/>
      <c r="M51" s="21"/>
      <c r="N51" s="1"/>
      <c r="O51" s="1"/>
      <c r="P51" s="1"/>
      <c r="Q51" s="1"/>
      <c r="R51" s="2">
        <v>0.5</v>
      </c>
      <c r="S51" s="1"/>
      <c r="T51" s="1">
        <v>20</v>
      </c>
      <c r="U51" s="1"/>
      <c r="V51" s="1"/>
      <c r="W51" s="1"/>
      <c r="X51" s="1"/>
      <c r="Y51" s="1"/>
      <c r="Z51" s="1"/>
      <c r="AJ51" s="1"/>
      <c r="AK51" s="1"/>
      <c r="AN51" s="2">
        <v>4</v>
      </c>
      <c r="AS51" s="2">
        <v>4</v>
      </c>
      <c r="AU51" s="9" t="s">
        <v>42</v>
      </c>
      <c r="BB51" s="2">
        <v>2</v>
      </c>
      <c r="BL51" s="10" t="s">
        <v>80</v>
      </c>
      <c r="BM51" s="10" t="s">
        <v>80</v>
      </c>
      <c r="BN51" s="10" t="s">
        <v>80</v>
      </c>
      <c r="BQ51" s="21">
        <v>30</v>
      </c>
      <c r="BR51" s="2">
        <v>0</v>
      </c>
      <c r="BT51" s="2" t="s">
        <v>80</v>
      </c>
      <c r="BU51" s="2" t="s">
        <v>80</v>
      </c>
      <c r="BX51" s="9" t="s">
        <v>72</v>
      </c>
    </row>
    <row r="52" spans="1:76" s="2" customFormat="1" ht="22.5" customHeight="1">
      <c r="A52" s="20">
        <v>2023202705</v>
      </c>
      <c r="B52" s="20" t="s">
        <v>329</v>
      </c>
      <c r="C52" s="20" t="s">
        <v>82</v>
      </c>
      <c r="D52" s="20" t="s">
        <v>159</v>
      </c>
      <c r="E52" s="20" t="s">
        <v>277</v>
      </c>
      <c r="F52" s="21">
        <f>SUM(H52:$XEO52)</f>
        <v>59.5</v>
      </c>
      <c r="G52" s="10">
        <f>COUNT(H52:$XFC52)</f>
        <v>8</v>
      </c>
      <c r="H52" s="21"/>
      <c r="I52" s="21"/>
      <c r="J52" s="21"/>
      <c r="K52" s="21"/>
      <c r="L52" s="21"/>
      <c r="M52" s="21"/>
      <c r="N52" s="1">
        <v>3</v>
      </c>
      <c r="O52" s="1"/>
      <c r="P52" s="1">
        <v>16</v>
      </c>
      <c r="Q52" s="1"/>
      <c r="S52" s="1"/>
      <c r="T52" s="1"/>
      <c r="U52" s="1">
        <v>12</v>
      </c>
      <c r="V52" s="1"/>
      <c r="W52" s="1"/>
      <c r="X52" s="1"/>
      <c r="Y52" s="1"/>
      <c r="Z52" s="1"/>
      <c r="AA52" s="2">
        <v>10</v>
      </c>
      <c r="AJ52" s="1"/>
      <c r="AK52" s="1"/>
      <c r="AN52" s="2">
        <v>4</v>
      </c>
      <c r="AU52" s="9" t="s">
        <v>42</v>
      </c>
      <c r="AZ52" s="2">
        <v>6</v>
      </c>
      <c r="BG52" s="2">
        <v>4.5</v>
      </c>
      <c r="BL52" s="10" t="s">
        <v>80</v>
      </c>
      <c r="BM52" s="10" t="s">
        <v>80</v>
      </c>
      <c r="BN52" s="10" t="s">
        <v>80</v>
      </c>
      <c r="BO52" s="2">
        <v>4</v>
      </c>
      <c r="BQ52" s="21"/>
      <c r="BT52" s="2" t="s">
        <v>80</v>
      </c>
      <c r="BU52" s="2" t="s">
        <v>80</v>
      </c>
      <c r="BX52" s="9" t="s">
        <v>72</v>
      </c>
    </row>
    <row r="53" spans="1:76" s="2" customFormat="1" ht="22.5" customHeight="1">
      <c r="A53" s="20">
        <v>2023202706</v>
      </c>
      <c r="B53" s="20" t="s">
        <v>330</v>
      </c>
      <c r="C53" s="20" t="s">
        <v>77</v>
      </c>
      <c r="D53" s="20" t="s">
        <v>159</v>
      </c>
      <c r="E53" s="20" t="s">
        <v>277</v>
      </c>
      <c r="F53" s="21">
        <f>SUM(H53:$XEO53)</f>
        <v>186</v>
      </c>
      <c r="G53" s="10">
        <f>COUNT(H53:$XFC53)</f>
        <v>22</v>
      </c>
      <c r="H53" s="21"/>
      <c r="I53" s="21"/>
      <c r="J53" s="21">
        <v>0.5</v>
      </c>
      <c r="K53" s="21">
        <v>26</v>
      </c>
      <c r="L53" s="21"/>
      <c r="M53" s="21"/>
      <c r="N53" s="1"/>
      <c r="O53" s="1"/>
      <c r="P53" s="1"/>
      <c r="Q53" s="1"/>
      <c r="R53" s="2">
        <v>0.5</v>
      </c>
      <c r="S53" s="1"/>
      <c r="T53" s="1"/>
      <c r="U53" s="1">
        <v>16</v>
      </c>
      <c r="V53" s="1">
        <v>10</v>
      </c>
      <c r="W53" s="1"/>
      <c r="X53" s="1"/>
      <c r="Y53" s="1"/>
      <c r="Z53" s="1">
        <v>4</v>
      </c>
      <c r="AF53" s="2">
        <v>8</v>
      </c>
      <c r="AG53" s="2">
        <v>6</v>
      </c>
      <c r="AJ53" s="1"/>
      <c r="AK53" s="1"/>
      <c r="AM53" s="2">
        <v>2</v>
      </c>
      <c r="AN53" s="2">
        <v>4</v>
      </c>
      <c r="AO53" s="2">
        <v>4</v>
      </c>
      <c r="AP53" s="2">
        <v>2</v>
      </c>
      <c r="AU53" s="9" t="s">
        <v>42</v>
      </c>
      <c r="AV53" s="2">
        <v>15</v>
      </c>
      <c r="AW53" s="2">
        <v>4</v>
      </c>
      <c r="AZ53" s="2">
        <v>5</v>
      </c>
      <c r="BC53" s="2">
        <v>30</v>
      </c>
      <c r="BF53" s="2">
        <v>16</v>
      </c>
      <c r="BI53" s="2">
        <v>5</v>
      </c>
      <c r="BJ53" s="2">
        <v>3</v>
      </c>
      <c r="BL53" s="10" t="s">
        <v>80</v>
      </c>
      <c r="BM53" s="10" t="s">
        <v>80</v>
      </c>
      <c r="BN53" s="10" t="s">
        <v>80</v>
      </c>
      <c r="BQ53" s="21">
        <v>19</v>
      </c>
      <c r="BT53" s="2">
        <v>4</v>
      </c>
      <c r="BU53" s="2">
        <v>2</v>
      </c>
      <c r="BX53" s="9" t="s">
        <v>72</v>
      </c>
    </row>
    <row r="54" spans="1:76" s="2" customFormat="1" ht="22.5" customHeight="1">
      <c r="A54" s="20">
        <v>2023202708</v>
      </c>
      <c r="B54" s="20" t="s">
        <v>331</v>
      </c>
      <c r="C54" s="20" t="s">
        <v>77</v>
      </c>
      <c r="D54" s="20" t="s">
        <v>159</v>
      </c>
      <c r="E54" s="20" t="s">
        <v>277</v>
      </c>
      <c r="F54" s="21">
        <f>SUM(H54:$XEO54)</f>
        <v>0</v>
      </c>
      <c r="G54" s="10">
        <f>COUNT(H54:$XFC54)</f>
        <v>0</v>
      </c>
      <c r="H54" s="21"/>
      <c r="I54" s="21"/>
      <c r="J54" s="21"/>
      <c r="K54" s="21"/>
      <c r="L54" s="21"/>
      <c r="M54" s="21"/>
      <c r="N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J54" s="1"/>
      <c r="AK54" s="1"/>
      <c r="AU54" s="9" t="s">
        <v>42</v>
      </c>
      <c r="BL54" s="10" t="s">
        <v>80</v>
      </c>
      <c r="BM54" s="10" t="s">
        <v>80</v>
      </c>
      <c r="BN54" s="10" t="s">
        <v>80</v>
      </c>
      <c r="BQ54" s="21"/>
      <c r="BT54" s="2" t="s">
        <v>80</v>
      </c>
      <c r="BU54" s="2" t="s">
        <v>80</v>
      </c>
      <c r="BX54" s="9" t="s">
        <v>72</v>
      </c>
    </row>
    <row r="55" spans="1:76" s="2" customFormat="1" ht="22.5" customHeight="1">
      <c r="A55" s="20">
        <v>2023202711</v>
      </c>
      <c r="B55" s="20" t="s">
        <v>332</v>
      </c>
      <c r="C55" s="20" t="s">
        <v>82</v>
      </c>
      <c r="D55" s="20" t="s">
        <v>159</v>
      </c>
      <c r="E55" s="20" t="s">
        <v>277</v>
      </c>
      <c r="F55" s="21">
        <f>SUM(H55:$XEO55)</f>
        <v>19</v>
      </c>
      <c r="G55" s="10">
        <f>COUNT(H55:$XFC55)</f>
        <v>4</v>
      </c>
      <c r="H55" s="21"/>
      <c r="I55" s="21"/>
      <c r="J55" s="21"/>
      <c r="K55" s="21"/>
      <c r="L55" s="21"/>
      <c r="M55" s="21"/>
      <c r="N55" s="1"/>
      <c r="O55" s="1"/>
      <c r="P55" s="1"/>
      <c r="Q55" s="1"/>
      <c r="R55" s="2">
        <v>0.5</v>
      </c>
      <c r="S55" s="1"/>
      <c r="T55" s="1"/>
      <c r="U55" s="1"/>
      <c r="V55" s="1"/>
      <c r="W55" s="1"/>
      <c r="X55" s="1"/>
      <c r="Y55" s="1"/>
      <c r="Z55" s="1"/>
      <c r="AJ55" s="1"/>
      <c r="AK55" s="1"/>
      <c r="AS55" s="2">
        <v>8</v>
      </c>
      <c r="AU55" s="9" t="s">
        <v>42</v>
      </c>
      <c r="AY55" s="2">
        <v>9</v>
      </c>
      <c r="BB55" s="2">
        <v>1.5</v>
      </c>
      <c r="BL55" s="10" t="s">
        <v>80</v>
      </c>
      <c r="BM55" s="10" t="s">
        <v>80</v>
      </c>
      <c r="BN55" s="10" t="s">
        <v>80</v>
      </c>
      <c r="BQ55" s="21"/>
      <c r="BT55" s="2" t="s">
        <v>80</v>
      </c>
      <c r="BU55" s="2" t="s">
        <v>80</v>
      </c>
      <c r="BX55" s="9" t="s">
        <v>72</v>
      </c>
    </row>
    <row r="56" spans="1:76" s="2" customFormat="1" ht="22.5" customHeight="1">
      <c r="A56" s="20">
        <v>2023202720</v>
      </c>
      <c r="B56" s="20" t="s">
        <v>333</v>
      </c>
      <c r="C56" s="20" t="s">
        <v>77</v>
      </c>
      <c r="D56" s="20" t="s">
        <v>159</v>
      </c>
      <c r="E56" s="20" t="s">
        <v>277</v>
      </c>
      <c r="F56" s="21">
        <f>SUM(H56:$XEO56)</f>
        <v>111</v>
      </c>
      <c r="G56" s="10">
        <f>COUNT(H56:$XFC56)</f>
        <v>9</v>
      </c>
      <c r="H56" s="21"/>
      <c r="I56" s="21"/>
      <c r="J56" s="21"/>
      <c r="K56" s="21"/>
      <c r="L56" s="21"/>
      <c r="M56" s="21">
        <v>0.5</v>
      </c>
      <c r="N56" s="1"/>
      <c r="O56" s="1"/>
      <c r="P56" s="1"/>
      <c r="Q56" s="1"/>
      <c r="R56" s="2">
        <v>0.5</v>
      </c>
      <c r="S56" s="1"/>
      <c r="T56" s="1"/>
      <c r="U56" s="1">
        <v>6</v>
      </c>
      <c r="V56" s="1"/>
      <c r="W56" s="1"/>
      <c r="X56" s="1"/>
      <c r="Y56" s="1">
        <v>3</v>
      </c>
      <c r="Z56" s="1"/>
      <c r="AD56" s="2">
        <v>4</v>
      </c>
      <c r="AE56" s="2">
        <v>84</v>
      </c>
      <c r="AF56" s="2">
        <v>5</v>
      </c>
      <c r="AG56" s="2">
        <v>4</v>
      </c>
      <c r="AI56" s="2">
        <v>4</v>
      </c>
      <c r="AJ56" s="1"/>
      <c r="AK56" s="1"/>
      <c r="AU56" s="9" t="s">
        <v>42</v>
      </c>
      <c r="BL56" s="10" t="s">
        <v>80</v>
      </c>
      <c r="BM56" s="10" t="s">
        <v>80</v>
      </c>
      <c r="BN56" s="10" t="s">
        <v>80</v>
      </c>
      <c r="BQ56" s="21"/>
      <c r="BT56" s="2" t="s">
        <v>80</v>
      </c>
      <c r="BU56" s="2" t="s">
        <v>80</v>
      </c>
      <c r="BX56" s="9" t="s">
        <v>72</v>
      </c>
    </row>
    <row r="57" spans="1:76" s="2" customFormat="1" ht="22.5" customHeight="1">
      <c r="A57" s="20">
        <v>2023202516</v>
      </c>
      <c r="B57" s="20" t="s">
        <v>187</v>
      </c>
      <c r="C57" s="20" t="s">
        <v>82</v>
      </c>
      <c r="D57" s="20" t="s">
        <v>108</v>
      </c>
      <c r="E57" s="20" t="s">
        <v>277</v>
      </c>
      <c r="F57" s="21" t="s">
        <v>109</v>
      </c>
      <c r="G57" s="10">
        <f>COUNT(H57:$XFC57)</f>
        <v>0</v>
      </c>
      <c r="H57" s="21"/>
      <c r="I57" s="21"/>
      <c r="J57" s="21"/>
      <c r="K57" s="21"/>
      <c r="L57" s="21"/>
      <c r="M57" s="21"/>
      <c r="N57" s="1"/>
      <c r="O57" s="1"/>
      <c r="P57" s="1"/>
      <c r="Q57" s="1"/>
      <c r="S57" s="1"/>
      <c r="T57" s="1"/>
      <c r="U57" s="1"/>
      <c r="V57" s="1"/>
      <c r="W57" s="1"/>
      <c r="X57" s="1"/>
      <c r="Y57" s="1"/>
      <c r="Z57" s="1"/>
      <c r="AJ57" s="1"/>
      <c r="AK57" s="1"/>
      <c r="AU57" s="9" t="s">
        <v>42</v>
      </c>
      <c r="BL57" s="10" t="s">
        <v>80</v>
      </c>
      <c r="BM57" s="10"/>
      <c r="BQ57" s="21"/>
      <c r="BU57" s="2" t="s">
        <v>80</v>
      </c>
      <c r="BX57" s="9" t="s">
        <v>72</v>
      </c>
    </row>
    <row r="58" spans="1:76" s="2" customFormat="1" ht="22.5" customHeight="1">
      <c r="A58" s="20">
        <v>2023202511</v>
      </c>
      <c r="B58" s="20" t="s">
        <v>199</v>
      </c>
      <c r="C58" s="20" t="s">
        <v>82</v>
      </c>
      <c r="D58" s="20" t="s">
        <v>108</v>
      </c>
      <c r="E58" s="20" t="s">
        <v>277</v>
      </c>
      <c r="F58" s="21" t="s">
        <v>109</v>
      </c>
      <c r="G58" s="10">
        <f>COUNT(H58:$XFC58)</f>
        <v>0</v>
      </c>
      <c r="H58" s="21"/>
      <c r="I58" s="21"/>
      <c r="J58" s="21"/>
      <c r="K58" s="21"/>
      <c r="L58" s="21"/>
      <c r="M58" s="21"/>
      <c r="N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J58" s="1"/>
      <c r="AK58" s="1"/>
      <c r="AU58" s="9" t="s">
        <v>42</v>
      </c>
      <c r="BL58" s="10" t="s">
        <v>80</v>
      </c>
      <c r="BM58" s="10"/>
      <c r="BQ58" s="21"/>
      <c r="BU58" s="2" t="s">
        <v>80</v>
      </c>
      <c r="BX58" s="9" t="s">
        <v>72</v>
      </c>
    </row>
    <row r="59" spans="1:76" s="2" customFormat="1" ht="22.5" customHeight="1">
      <c r="A59" s="20">
        <v>2023202741</v>
      </c>
      <c r="B59" s="20" t="s">
        <v>268</v>
      </c>
      <c r="C59" s="20" t="s">
        <v>77</v>
      </c>
      <c r="D59" s="20" t="s">
        <v>247</v>
      </c>
      <c r="E59" s="20" t="s">
        <v>277</v>
      </c>
      <c r="F59" s="21" t="s">
        <v>334</v>
      </c>
      <c r="G59" s="10">
        <f>COUNT(H59:$XFC59)</f>
        <v>0</v>
      </c>
      <c r="H59" s="21"/>
      <c r="I59" s="21"/>
      <c r="J59" s="21"/>
      <c r="K59" s="21"/>
      <c r="L59" s="21"/>
      <c r="M59" s="21"/>
      <c r="N59" s="1"/>
      <c r="O59" s="1"/>
      <c r="P59" s="1"/>
      <c r="Q59" s="1"/>
      <c r="S59" s="1"/>
      <c r="T59" s="1"/>
      <c r="U59" s="1"/>
      <c r="V59" s="1"/>
      <c r="W59" s="1"/>
      <c r="X59" s="1"/>
      <c r="Y59" s="1"/>
      <c r="Z59" s="1"/>
      <c r="AJ59" s="1"/>
      <c r="AK59" s="1"/>
      <c r="AU59" s="9" t="s">
        <v>42</v>
      </c>
      <c r="BL59" s="10" t="s">
        <v>80</v>
      </c>
      <c r="BM59" s="10"/>
      <c r="BQ59" s="21"/>
      <c r="BU59" s="2" t="s">
        <v>80</v>
      </c>
      <c r="BX59" s="9" t="s">
        <v>72</v>
      </c>
    </row>
    <row r="60" spans="1:76" s="2" customFormat="1" ht="22.5" customHeight="1">
      <c r="A60" s="20">
        <v>2023202725</v>
      </c>
      <c r="B60" s="20" t="s">
        <v>246</v>
      </c>
      <c r="C60" s="20" t="s">
        <v>77</v>
      </c>
      <c r="D60" s="20" t="s">
        <v>247</v>
      </c>
      <c r="E60" s="20" t="s">
        <v>277</v>
      </c>
      <c r="F60" s="21" t="s">
        <v>334</v>
      </c>
      <c r="G60" s="10">
        <f>COUNT(H60:$XFC60)</f>
        <v>0</v>
      </c>
      <c r="H60" s="21"/>
      <c r="I60" s="21"/>
      <c r="J60" s="21"/>
      <c r="K60" s="21"/>
      <c r="L60" s="21"/>
      <c r="M60" s="21"/>
      <c r="N60" s="1"/>
      <c r="O60" s="1"/>
      <c r="P60" s="1"/>
      <c r="Q60" s="1"/>
      <c r="S60" s="1"/>
      <c r="T60" s="1"/>
      <c r="U60" s="1"/>
      <c r="V60" s="1"/>
      <c r="W60" s="1"/>
      <c r="X60" s="1"/>
      <c r="Y60" s="1"/>
      <c r="Z60" s="1"/>
      <c r="AJ60" s="1"/>
      <c r="AK60" s="1"/>
      <c r="AU60" s="9" t="s">
        <v>42</v>
      </c>
      <c r="BL60" s="10" t="s">
        <v>80</v>
      </c>
      <c r="BM60" s="10"/>
      <c r="BQ60" s="21"/>
      <c r="BU60" s="2" t="s">
        <v>80</v>
      </c>
      <c r="BX60" s="9" t="s">
        <v>72</v>
      </c>
    </row>
    <row r="61" spans="1:76" ht="14">
      <c r="BR61" s="14"/>
    </row>
  </sheetData>
  <phoneticPr fontId="13" type="noConversion"/>
  <pageMargins left="0.75" right="0.75" top="1" bottom="1" header="0.5" footer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V56"/>
  <sheetViews>
    <sheetView zoomScale="85" zoomScaleNormal="85" workbookViewId="0">
      <pane xSplit="7" ySplit="1" topLeftCell="BS14" activePane="bottomRight" state="frozen"/>
      <selection pane="topRight"/>
      <selection pane="bottomLeft"/>
      <selection pane="bottomRight" activeCell="BX1" sqref="BX1:BX1048576"/>
    </sheetView>
  </sheetViews>
  <sheetFormatPr baseColWidth="10" defaultColWidth="9.6640625" defaultRowHeight="14"/>
  <cols>
    <col min="1" max="1" width="10.6640625" style="4" hidden="1" customWidth="1"/>
    <col min="2" max="2" width="11.83203125" style="4" customWidth="1"/>
    <col min="3" max="3" width="12.5" style="4" customWidth="1"/>
    <col min="4" max="4" width="18.83203125" style="4" customWidth="1"/>
    <col min="5" max="6" width="7.83203125" style="4"/>
    <col min="7" max="7" width="9.6640625" style="4"/>
    <col min="8" max="8" width="27.83203125" style="4" customWidth="1"/>
    <col min="9" max="9" width="19.83203125" style="4" customWidth="1"/>
    <col min="10" max="10" width="10.6640625" style="4" customWidth="1"/>
    <col min="11" max="11" width="10.5" style="4" customWidth="1"/>
    <col min="12" max="12" width="9.6640625" style="4" customWidth="1"/>
    <col min="13" max="13" width="11.5" style="4" customWidth="1"/>
    <col min="14" max="14" width="18" style="4" customWidth="1"/>
    <col min="15" max="15" width="19.83203125" style="4" customWidth="1"/>
    <col min="16" max="16" width="10.5" style="4" customWidth="1"/>
    <col min="17" max="18" width="7.33203125" style="4"/>
    <col min="19" max="19" width="14.5" style="4" customWidth="1"/>
    <col min="20" max="20" width="19.6640625" style="4" customWidth="1"/>
    <col min="21" max="21" width="7.83203125" style="4"/>
    <col min="22" max="23" width="13.1640625" style="4" customWidth="1"/>
    <col min="24" max="24" width="7.83203125" style="4"/>
    <col min="25" max="25" width="14.83203125" style="4" customWidth="1"/>
    <col min="26" max="26" width="14.33203125" style="4" customWidth="1"/>
    <col min="27" max="27" width="11.1640625" style="4" customWidth="1"/>
    <col min="28" max="28" width="7.83203125" style="4"/>
    <col min="29" max="30" width="9.6640625" style="4"/>
    <col min="31" max="31" width="20" style="4" customWidth="1"/>
    <col min="32" max="32" width="9.6640625" style="4"/>
    <col min="33" max="33" width="14.33203125" style="4" customWidth="1"/>
    <col min="34" max="35" width="10.5" style="4" customWidth="1"/>
    <col min="36" max="43" width="9.6640625" style="4"/>
    <col min="44" max="44" width="11.6640625" style="4" customWidth="1"/>
    <col min="45" max="45" width="10" style="4" customWidth="1"/>
    <col min="46" max="46" width="8.6640625" style="4" customWidth="1"/>
    <col min="47" max="48" width="9.6640625" style="4"/>
    <col min="49" max="49" width="11.33203125" style="4" customWidth="1"/>
    <col min="50" max="51" width="13" style="4" customWidth="1"/>
    <col min="52" max="52" width="7.83203125" style="4" customWidth="1"/>
    <col min="53" max="58" width="9.6640625" style="4"/>
    <col min="59" max="59" width="16.83203125" style="4" customWidth="1"/>
    <col min="60" max="60" width="9.6640625" style="4"/>
    <col min="61" max="62" width="11" style="4" customWidth="1"/>
    <col min="63" max="65" width="9.6640625" style="4"/>
    <col min="66" max="66" width="19.83203125" style="4" customWidth="1"/>
    <col min="67" max="67" width="14.33203125" style="4" customWidth="1"/>
    <col min="68" max="68" width="9.6640625" style="4"/>
    <col min="69" max="69" width="10.83203125" style="4" customWidth="1"/>
    <col min="70" max="70" width="9.6640625" style="4"/>
    <col min="71" max="71" width="15.83203125" style="4" customWidth="1"/>
    <col min="72" max="72" width="8.6640625" style="4" customWidth="1"/>
    <col min="73" max="16384" width="9.6640625" style="4"/>
  </cols>
  <sheetData>
    <row r="1" spans="1:74" s="1" customFormat="1" ht="21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" t="s">
        <v>8</v>
      </c>
      <c r="J1" s="1" t="s">
        <v>168</v>
      </c>
      <c r="K1" s="1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110</v>
      </c>
      <c r="R1" s="1" t="s">
        <v>242</v>
      </c>
      <c r="S1" s="1" t="s">
        <v>17</v>
      </c>
      <c r="T1" s="1" t="s">
        <v>18</v>
      </c>
      <c r="U1" s="1" t="s">
        <v>170</v>
      </c>
      <c r="V1" s="1" t="s">
        <v>19</v>
      </c>
      <c r="W1" s="1" t="s">
        <v>20</v>
      </c>
      <c r="X1" s="1" t="s">
        <v>335</v>
      </c>
      <c r="Y1" s="1" t="s">
        <v>21</v>
      </c>
      <c r="Z1" s="1" t="s">
        <v>22</v>
      </c>
      <c r="AA1" s="1" t="s">
        <v>243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11</v>
      </c>
      <c r="AQ1" s="1" t="s">
        <v>40</v>
      </c>
      <c r="AR1" s="1" t="s">
        <v>336</v>
      </c>
      <c r="AS1" s="1" t="s">
        <v>41</v>
      </c>
      <c r="AT1" s="9" t="s">
        <v>42</v>
      </c>
      <c r="AU1" s="1" t="s">
        <v>43</v>
      </c>
      <c r="AV1" s="1" t="s">
        <v>44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1" t="s">
        <v>50</v>
      </c>
      <c r="BH1" s="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337</v>
      </c>
      <c r="BR1" s="1" t="s">
        <v>176</v>
      </c>
      <c r="BS1" s="1" t="s">
        <v>70</v>
      </c>
      <c r="BT1" s="9" t="s">
        <v>72</v>
      </c>
      <c r="BU1" s="2" t="s">
        <v>74</v>
      </c>
      <c r="BV1" s="1" t="s">
        <v>75</v>
      </c>
    </row>
    <row r="2" spans="1:74" s="2" customFormat="1" ht="16" customHeight="1">
      <c r="A2" s="2">
        <v>2023202558</v>
      </c>
      <c r="B2" s="2" t="s">
        <v>338</v>
      </c>
      <c r="C2" s="2" t="s">
        <v>77</v>
      </c>
      <c r="D2" s="2" t="s">
        <v>159</v>
      </c>
      <c r="E2" s="2" t="s">
        <v>339</v>
      </c>
      <c r="F2" s="1">
        <f>SUM(H2:$XED2)</f>
        <v>32.5</v>
      </c>
      <c r="G2" s="10">
        <f>COUNT(H2:$XEZ2)</f>
        <v>7</v>
      </c>
      <c r="H2" s="1"/>
      <c r="I2" s="1"/>
      <c r="J2" s="1"/>
      <c r="K2" s="1"/>
      <c r="L2" s="1">
        <v>2</v>
      </c>
      <c r="M2" s="1"/>
      <c r="N2" s="1"/>
      <c r="O2" s="1"/>
      <c r="P2" s="2">
        <v>0.5</v>
      </c>
      <c r="Q2" s="1"/>
      <c r="R2" s="1"/>
      <c r="S2" s="1"/>
      <c r="T2" s="1">
        <v>20</v>
      </c>
      <c r="U2" s="1"/>
      <c r="V2" s="1"/>
      <c r="W2" s="1"/>
      <c r="X2" s="1"/>
      <c r="Y2" s="1"/>
      <c r="Z2" s="1"/>
      <c r="AA2" s="1"/>
      <c r="AB2" s="1"/>
      <c r="AD2" s="2">
        <v>3</v>
      </c>
      <c r="AH2" s="1"/>
      <c r="AI2" s="1"/>
      <c r="AL2" s="2">
        <v>4</v>
      </c>
      <c r="AN2" s="2">
        <v>2</v>
      </c>
      <c r="AP2" s="2">
        <v>1</v>
      </c>
      <c r="AT2" s="9" t="s">
        <v>42</v>
      </c>
      <c r="BI2" s="10" t="s">
        <v>80</v>
      </c>
      <c r="BJ2" s="10" t="s">
        <v>80</v>
      </c>
      <c r="BK2" s="10" t="s">
        <v>80</v>
      </c>
      <c r="BN2" s="1"/>
      <c r="BO2" s="2" t="s">
        <v>80</v>
      </c>
      <c r="BP2" s="2" t="s">
        <v>80</v>
      </c>
      <c r="BT2" s="9" t="s">
        <v>72</v>
      </c>
    </row>
    <row r="3" spans="1:74" s="2" customFormat="1" ht="16" customHeight="1">
      <c r="A3" s="2">
        <v>2023202560</v>
      </c>
      <c r="B3" s="2" t="s">
        <v>340</v>
      </c>
      <c r="C3" s="2" t="s">
        <v>77</v>
      </c>
      <c r="D3" s="2" t="s">
        <v>159</v>
      </c>
      <c r="E3" s="2" t="s">
        <v>339</v>
      </c>
      <c r="F3" s="1">
        <f>SUM(H3:$XED3)</f>
        <v>4</v>
      </c>
      <c r="G3" s="10">
        <f>COUNT(H3:$XEZ3)</f>
        <v>1</v>
      </c>
      <c r="H3" s="1"/>
      <c r="I3" s="1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H3" s="1"/>
      <c r="AI3" s="1"/>
      <c r="AL3" s="2">
        <v>4</v>
      </c>
      <c r="AT3" s="9" t="s">
        <v>42</v>
      </c>
      <c r="BI3" s="10" t="s">
        <v>80</v>
      </c>
      <c r="BJ3" s="10" t="s">
        <v>80</v>
      </c>
      <c r="BK3" s="10" t="s">
        <v>80</v>
      </c>
      <c r="BN3" s="1"/>
      <c r="BO3" s="2" t="s">
        <v>80</v>
      </c>
      <c r="BP3" s="2" t="s">
        <v>80</v>
      </c>
      <c r="BT3" s="9" t="s">
        <v>72</v>
      </c>
    </row>
    <row r="4" spans="1:74" s="2" customFormat="1" ht="16" customHeight="1">
      <c r="A4" s="2">
        <v>2023202562</v>
      </c>
      <c r="B4" s="2" t="s">
        <v>341</v>
      </c>
      <c r="C4" s="2" t="s">
        <v>77</v>
      </c>
      <c r="D4" s="2" t="s">
        <v>159</v>
      </c>
      <c r="E4" s="2" t="s">
        <v>339</v>
      </c>
      <c r="F4" s="1">
        <f>SUM(H4:$XED4)</f>
        <v>156.5</v>
      </c>
      <c r="G4" s="10">
        <f>COUNT(H4:$XEZ4)</f>
        <v>13</v>
      </c>
      <c r="H4" s="1"/>
      <c r="I4" s="1">
        <v>0.5</v>
      </c>
      <c r="J4" s="1"/>
      <c r="K4" s="1"/>
      <c r="L4" s="1"/>
      <c r="M4" s="1"/>
      <c r="N4" s="1">
        <v>16</v>
      </c>
      <c r="O4" s="1"/>
      <c r="P4" s="2">
        <v>3.5</v>
      </c>
      <c r="Q4" s="1"/>
      <c r="R4" s="1"/>
      <c r="S4" s="1"/>
      <c r="T4" s="1"/>
      <c r="U4" s="1">
        <v>17</v>
      </c>
      <c r="V4" s="1"/>
      <c r="W4" s="1"/>
      <c r="X4" s="1"/>
      <c r="Y4" s="1"/>
      <c r="Z4" s="1">
        <v>12</v>
      </c>
      <c r="AA4" s="1"/>
      <c r="AB4" s="1"/>
      <c r="AE4" s="2">
        <v>12</v>
      </c>
      <c r="AH4" s="1"/>
      <c r="AI4" s="1"/>
      <c r="AL4" s="2">
        <v>4</v>
      </c>
      <c r="AM4" s="2">
        <v>4</v>
      </c>
      <c r="AS4" s="2">
        <v>62</v>
      </c>
      <c r="AT4" s="9" t="s">
        <v>42</v>
      </c>
      <c r="AZ4" s="2">
        <v>1.5</v>
      </c>
      <c r="BA4" s="2">
        <v>4</v>
      </c>
      <c r="BC4" s="2">
        <v>16</v>
      </c>
      <c r="BI4" s="10" t="s">
        <v>80</v>
      </c>
      <c r="BJ4" s="10" t="s">
        <v>80</v>
      </c>
      <c r="BK4" s="10" t="s">
        <v>80</v>
      </c>
      <c r="BN4" s="1"/>
      <c r="BO4" s="2">
        <v>4</v>
      </c>
      <c r="BP4" s="2" t="s">
        <v>80</v>
      </c>
      <c r="BT4" s="9" t="s">
        <v>72</v>
      </c>
    </row>
    <row r="5" spans="1:74" s="2" customFormat="1" ht="16" customHeight="1">
      <c r="A5" s="2">
        <v>2023202568</v>
      </c>
      <c r="B5" s="2" t="s">
        <v>342</v>
      </c>
      <c r="C5" s="2" t="s">
        <v>77</v>
      </c>
      <c r="D5" s="2" t="s">
        <v>159</v>
      </c>
      <c r="E5" s="2" t="s">
        <v>339</v>
      </c>
      <c r="F5" s="1">
        <f>SUM(H5:$XED5)</f>
        <v>50.5</v>
      </c>
      <c r="G5" s="10">
        <f>COUNT(H5:$XEZ5)</f>
        <v>7</v>
      </c>
      <c r="H5" s="1"/>
      <c r="I5" s="1">
        <v>0.5</v>
      </c>
      <c r="J5" s="1"/>
      <c r="K5" s="1"/>
      <c r="L5" s="1"/>
      <c r="M5" s="1">
        <v>29</v>
      </c>
      <c r="N5" s="1"/>
      <c r="O5" s="1"/>
      <c r="P5" s="2">
        <v>0.5</v>
      </c>
      <c r="Q5" s="1"/>
      <c r="R5" s="1"/>
      <c r="S5" s="1"/>
      <c r="T5" s="1">
        <v>7.5</v>
      </c>
      <c r="U5" s="1"/>
      <c r="V5" s="1"/>
      <c r="W5" s="1"/>
      <c r="X5" s="1"/>
      <c r="Y5" s="1"/>
      <c r="Z5" s="1"/>
      <c r="AA5" s="1"/>
      <c r="AB5" s="1"/>
      <c r="AD5" s="2">
        <v>5</v>
      </c>
      <c r="AH5" s="1"/>
      <c r="AI5" s="1"/>
      <c r="AL5" s="2">
        <v>4</v>
      </c>
      <c r="AR5" s="2">
        <v>4</v>
      </c>
      <c r="AT5" s="9" t="s">
        <v>42</v>
      </c>
      <c r="BI5" s="10" t="s">
        <v>80</v>
      </c>
      <c r="BJ5" s="10" t="s">
        <v>80</v>
      </c>
      <c r="BK5" s="10" t="s">
        <v>80</v>
      </c>
      <c r="BN5" s="1"/>
      <c r="BO5" s="2" t="s">
        <v>80</v>
      </c>
      <c r="BP5" s="2" t="s">
        <v>80</v>
      </c>
      <c r="BT5" s="9" t="s">
        <v>72</v>
      </c>
    </row>
    <row r="6" spans="1:74" s="2" customFormat="1" ht="16" customHeight="1">
      <c r="A6" s="2">
        <v>2023202569</v>
      </c>
      <c r="B6" s="2" t="s">
        <v>343</v>
      </c>
      <c r="C6" s="2" t="s">
        <v>82</v>
      </c>
      <c r="D6" s="2" t="s">
        <v>159</v>
      </c>
      <c r="E6" s="2" t="s">
        <v>339</v>
      </c>
      <c r="F6" s="1">
        <f>SUM(H6:$XED6)</f>
        <v>33</v>
      </c>
      <c r="G6" s="10">
        <f>COUNT(H6:$XEZ6)</f>
        <v>8</v>
      </c>
      <c r="H6" s="1"/>
      <c r="I6" s="1"/>
      <c r="J6" s="1"/>
      <c r="K6" s="1"/>
      <c r="L6" s="1"/>
      <c r="M6" s="1"/>
      <c r="N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4</v>
      </c>
      <c r="AD6" s="2">
        <v>4</v>
      </c>
      <c r="AH6" s="1"/>
      <c r="AI6" s="1"/>
      <c r="AL6" s="2">
        <v>4</v>
      </c>
      <c r="AN6" s="2">
        <v>2</v>
      </c>
      <c r="AT6" s="9" t="s">
        <v>42</v>
      </c>
      <c r="AW6" s="2">
        <v>9</v>
      </c>
      <c r="BE6" s="2">
        <v>4</v>
      </c>
      <c r="BI6" s="10" t="s">
        <v>80</v>
      </c>
      <c r="BJ6" s="10" t="s">
        <v>80</v>
      </c>
      <c r="BK6" s="10" t="s">
        <v>80</v>
      </c>
      <c r="BN6" s="1"/>
      <c r="BO6" s="2">
        <v>4</v>
      </c>
      <c r="BP6" s="2">
        <v>2</v>
      </c>
      <c r="BT6" s="9" t="s">
        <v>72</v>
      </c>
    </row>
    <row r="7" spans="1:74" s="2" customFormat="1" ht="16" customHeight="1">
      <c r="A7" s="2">
        <v>2023202571</v>
      </c>
      <c r="B7" s="2" t="s">
        <v>344</v>
      </c>
      <c r="C7" s="2" t="s">
        <v>82</v>
      </c>
      <c r="D7" s="2" t="s">
        <v>159</v>
      </c>
      <c r="E7" s="2" t="s">
        <v>339</v>
      </c>
      <c r="F7" s="1">
        <f>SUM(H7:$XED7)</f>
        <v>46.5</v>
      </c>
      <c r="G7" s="10">
        <f>COUNT(H7:$XEZ7)</f>
        <v>10</v>
      </c>
      <c r="H7" s="1"/>
      <c r="I7" s="1">
        <v>2</v>
      </c>
      <c r="J7" s="1"/>
      <c r="K7" s="1">
        <v>2</v>
      </c>
      <c r="L7" s="1"/>
      <c r="M7" s="1"/>
      <c r="N7" s="1">
        <v>16</v>
      </c>
      <c r="O7" s="1"/>
      <c r="P7" s="2">
        <v>3.5</v>
      </c>
      <c r="Q7" s="1"/>
      <c r="R7" s="1"/>
      <c r="S7" s="1"/>
      <c r="T7" s="1"/>
      <c r="U7" s="1"/>
      <c r="V7" s="1"/>
      <c r="W7" s="1"/>
      <c r="X7" s="1"/>
      <c r="Y7" s="1">
        <v>5</v>
      </c>
      <c r="Z7" s="1"/>
      <c r="AA7" s="1"/>
      <c r="AB7" s="1"/>
      <c r="AE7" s="2">
        <v>4</v>
      </c>
      <c r="AH7" s="1"/>
      <c r="AI7" s="1"/>
      <c r="AL7" s="2">
        <v>4</v>
      </c>
      <c r="AM7" s="2">
        <v>4</v>
      </c>
      <c r="AT7" s="9" t="s">
        <v>42</v>
      </c>
      <c r="AZ7" s="2">
        <v>2</v>
      </c>
      <c r="BI7" s="10" t="s">
        <v>80</v>
      </c>
      <c r="BJ7" s="10" t="s">
        <v>80</v>
      </c>
      <c r="BK7" s="10" t="s">
        <v>80</v>
      </c>
      <c r="BN7" s="1"/>
      <c r="BO7" s="2">
        <v>4</v>
      </c>
      <c r="BP7" s="2" t="s">
        <v>80</v>
      </c>
      <c r="BT7" s="9" t="s">
        <v>72</v>
      </c>
    </row>
    <row r="8" spans="1:74" s="2" customFormat="1" ht="16" customHeight="1">
      <c r="A8" s="2">
        <v>2023202578</v>
      </c>
      <c r="B8" s="2" t="s">
        <v>345</v>
      </c>
      <c r="C8" s="2" t="s">
        <v>82</v>
      </c>
      <c r="D8" s="2" t="s">
        <v>159</v>
      </c>
      <c r="E8" s="2" t="s">
        <v>339</v>
      </c>
      <c r="F8" s="1">
        <f>SUM(H8:$XED8)</f>
        <v>111.5</v>
      </c>
      <c r="G8" s="10">
        <f>COUNT(H8:$XEZ8)</f>
        <v>14</v>
      </c>
      <c r="H8" s="1"/>
      <c r="I8" s="1">
        <v>0.5</v>
      </c>
      <c r="J8" s="1"/>
      <c r="K8" s="1"/>
      <c r="L8" s="1"/>
      <c r="M8" s="1"/>
      <c r="N8" s="1"/>
      <c r="O8" s="1"/>
      <c r="P8" s="2">
        <v>0.5</v>
      </c>
      <c r="Q8" s="1"/>
      <c r="R8" s="1">
        <v>3</v>
      </c>
      <c r="S8" s="1"/>
      <c r="T8" s="1"/>
      <c r="U8" s="1"/>
      <c r="V8" s="1"/>
      <c r="W8" s="1"/>
      <c r="X8" s="1"/>
      <c r="Y8" s="1"/>
      <c r="Z8" s="1"/>
      <c r="AA8" s="1">
        <v>3</v>
      </c>
      <c r="AB8" s="1">
        <v>4</v>
      </c>
      <c r="AD8" s="2">
        <v>4</v>
      </c>
      <c r="AE8" s="2">
        <v>8</v>
      </c>
      <c r="AH8" s="1"/>
      <c r="AI8" s="1"/>
      <c r="AL8" s="2">
        <v>4</v>
      </c>
      <c r="AM8" s="2">
        <v>4</v>
      </c>
      <c r="AR8" s="2">
        <v>4</v>
      </c>
      <c r="AS8" s="2">
        <v>63</v>
      </c>
      <c r="AT8" s="9" t="s">
        <v>42</v>
      </c>
      <c r="AU8" s="2">
        <v>9</v>
      </c>
      <c r="AZ8" s="2">
        <v>0.5</v>
      </c>
      <c r="BI8" s="10" t="s">
        <v>80</v>
      </c>
      <c r="BJ8" s="10" t="s">
        <v>80</v>
      </c>
      <c r="BK8" s="10" t="s">
        <v>80</v>
      </c>
      <c r="BN8" s="1"/>
      <c r="BO8" s="2">
        <v>4</v>
      </c>
      <c r="BP8" s="2" t="s">
        <v>80</v>
      </c>
      <c r="BT8" s="9" t="s">
        <v>72</v>
      </c>
    </row>
    <row r="9" spans="1:74" s="2" customFormat="1" ht="16" customHeight="1">
      <c r="A9" s="2">
        <v>2023202579</v>
      </c>
      <c r="B9" s="2" t="s">
        <v>346</v>
      </c>
      <c r="C9" s="2" t="s">
        <v>82</v>
      </c>
      <c r="D9" s="2" t="s">
        <v>159</v>
      </c>
      <c r="E9" s="2" t="s">
        <v>339</v>
      </c>
      <c r="F9" s="1">
        <f>SUM(H9:$XED9)</f>
        <v>162</v>
      </c>
      <c r="G9" s="10">
        <f>COUNT(H9:$XEZ9)</f>
        <v>13</v>
      </c>
      <c r="H9" s="1"/>
      <c r="I9" s="1">
        <v>0.5</v>
      </c>
      <c r="J9" s="1"/>
      <c r="K9" s="1">
        <v>2</v>
      </c>
      <c r="L9" s="1"/>
      <c r="M9" s="1"/>
      <c r="N9" s="1">
        <v>16</v>
      </c>
      <c r="O9" s="1">
        <v>5</v>
      </c>
      <c r="P9" s="2">
        <v>0.5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E9" s="2">
        <v>6</v>
      </c>
      <c r="AH9" s="1"/>
      <c r="AI9" s="1"/>
      <c r="AL9" s="2">
        <v>4</v>
      </c>
      <c r="AS9" s="2">
        <v>56</v>
      </c>
      <c r="AT9" s="9" t="s">
        <v>42</v>
      </c>
      <c r="AZ9" s="2">
        <v>1</v>
      </c>
      <c r="BC9" s="2">
        <v>16</v>
      </c>
      <c r="BF9" s="2">
        <v>27</v>
      </c>
      <c r="BG9" s="2">
        <v>20</v>
      </c>
      <c r="BI9" s="10" t="s">
        <v>80</v>
      </c>
      <c r="BJ9" s="10" t="s">
        <v>80</v>
      </c>
      <c r="BK9" s="10" t="s">
        <v>80</v>
      </c>
      <c r="BN9" s="1">
        <v>8</v>
      </c>
      <c r="BO9" s="2" t="s">
        <v>80</v>
      </c>
      <c r="BP9" s="2" t="s">
        <v>80</v>
      </c>
      <c r="BT9" s="9" t="s">
        <v>72</v>
      </c>
    </row>
    <row r="10" spans="1:74" s="2" customFormat="1" ht="16" customHeight="1">
      <c r="A10" s="2">
        <v>2023202580</v>
      </c>
      <c r="B10" s="2" t="s">
        <v>347</v>
      </c>
      <c r="C10" s="2" t="s">
        <v>82</v>
      </c>
      <c r="D10" s="2" t="s">
        <v>159</v>
      </c>
      <c r="E10" s="2" t="s">
        <v>339</v>
      </c>
      <c r="F10" s="1">
        <f>SUM(H10:$XED10)</f>
        <v>45.5</v>
      </c>
      <c r="G10" s="10">
        <f>COUNT(H10:$XEZ10)</f>
        <v>8</v>
      </c>
      <c r="H10" s="1"/>
      <c r="I10" s="1"/>
      <c r="J10" s="1"/>
      <c r="K10" s="1"/>
      <c r="L10" s="1"/>
      <c r="M10" s="1"/>
      <c r="N10" s="1"/>
      <c r="O10" s="1"/>
      <c r="P10" s="2">
        <v>0.5</v>
      </c>
      <c r="Q10" s="1"/>
      <c r="R10" s="1"/>
      <c r="S10" s="1"/>
      <c r="T10" s="1"/>
      <c r="U10" s="1"/>
      <c r="V10" s="1">
        <v>10</v>
      </c>
      <c r="W10" s="1"/>
      <c r="X10" s="1"/>
      <c r="Y10" s="1"/>
      <c r="Z10" s="1"/>
      <c r="AA10" s="1">
        <v>3</v>
      </c>
      <c r="AB10" s="1"/>
      <c r="AE10" s="2">
        <v>4</v>
      </c>
      <c r="AH10" s="1"/>
      <c r="AI10" s="1"/>
      <c r="AL10" s="2">
        <v>4</v>
      </c>
      <c r="AS10" s="2">
        <v>4</v>
      </c>
      <c r="AT10" s="9" t="s">
        <v>42</v>
      </c>
      <c r="AW10" s="2">
        <v>9</v>
      </c>
      <c r="BB10" s="2">
        <v>11</v>
      </c>
      <c r="BI10" s="10" t="s">
        <v>80</v>
      </c>
      <c r="BJ10" s="10" t="s">
        <v>80</v>
      </c>
      <c r="BK10" s="10" t="s">
        <v>80</v>
      </c>
      <c r="BN10" s="1"/>
      <c r="BO10" s="2" t="s">
        <v>80</v>
      </c>
      <c r="BP10" s="2" t="s">
        <v>80</v>
      </c>
      <c r="BT10" s="9" t="s">
        <v>72</v>
      </c>
    </row>
    <row r="11" spans="1:74" s="2" customFormat="1" ht="16" customHeight="1">
      <c r="A11" s="2">
        <v>2023202583</v>
      </c>
      <c r="B11" s="2" t="s">
        <v>348</v>
      </c>
      <c r="C11" s="2" t="s">
        <v>82</v>
      </c>
      <c r="D11" s="2" t="s">
        <v>159</v>
      </c>
      <c r="E11" s="2" t="s">
        <v>339</v>
      </c>
      <c r="F11" s="1">
        <f>SUM(H11:$XED11)</f>
        <v>4.5</v>
      </c>
      <c r="G11" s="10">
        <f>COUNT(H11:$XEZ11)</f>
        <v>2</v>
      </c>
      <c r="H11" s="1"/>
      <c r="I11" s="1"/>
      <c r="J11" s="1"/>
      <c r="K11" s="1"/>
      <c r="L11" s="1"/>
      <c r="M11" s="1"/>
      <c r="N11" s="1"/>
      <c r="O11" s="1"/>
      <c r="P11" s="2">
        <v>0.5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H11" s="1"/>
      <c r="AI11" s="1"/>
      <c r="AT11" s="9" t="s">
        <v>42</v>
      </c>
      <c r="AV11" s="2">
        <v>4</v>
      </c>
      <c r="BI11" s="10" t="s">
        <v>80</v>
      </c>
      <c r="BJ11" s="10" t="s">
        <v>80</v>
      </c>
      <c r="BK11" s="10" t="s">
        <v>80</v>
      </c>
      <c r="BN11" s="1"/>
      <c r="BO11" s="2" t="s">
        <v>80</v>
      </c>
      <c r="BP11" s="2" t="s">
        <v>80</v>
      </c>
      <c r="BT11" s="9" t="s">
        <v>72</v>
      </c>
    </row>
    <row r="12" spans="1:74" s="2" customFormat="1" ht="16" customHeight="1">
      <c r="A12" s="2">
        <v>2023202586</v>
      </c>
      <c r="B12" s="2" t="s">
        <v>349</v>
      </c>
      <c r="C12" s="2" t="s">
        <v>82</v>
      </c>
      <c r="D12" s="2" t="s">
        <v>159</v>
      </c>
      <c r="E12" s="2" t="s">
        <v>339</v>
      </c>
      <c r="F12" s="1">
        <f>SUM(H12:$XED12)</f>
        <v>0.5</v>
      </c>
      <c r="G12" s="10">
        <f>COUNT(H12:$XEZ12)</f>
        <v>1</v>
      </c>
      <c r="H12" s="1"/>
      <c r="I12" s="1"/>
      <c r="J12" s="1"/>
      <c r="K12" s="1"/>
      <c r="L12" s="1"/>
      <c r="M12" s="1"/>
      <c r="N12" s="1"/>
      <c r="O12" s="1"/>
      <c r="P12" s="2">
        <v>0.5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H12" s="1"/>
      <c r="AI12" s="1"/>
      <c r="AT12" s="9" t="s">
        <v>42</v>
      </c>
      <c r="BI12" s="10" t="s">
        <v>80</v>
      </c>
      <c r="BJ12" s="10" t="s">
        <v>80</v>
      </c>
      <c r="BK12" s="10" t="s">
        <v>80</v>
      </c>
      <c r="BN12" s="1"/>
      <c r="BO12" s="2" t="s">
        <v>80</v>
      </c>
      <c r="BP12" s="2" t="s">
        <v>80</v>
      </c>
      <c r="BT12" s="9" t="s">
        <v>72</v>
      </c>
    </row>
    <row r="13" spans="1:74" s="2" customFormat="1" ht="16" customHeight="1">
      <c r="A13" s="2">
        <v>2023202593</v>
      </c>
      <c r="B13" s="2" t="s">
        <v>350</v>
      </c>
      <c r="C13" s="2" t="s">
        <v>82</v>
      </c>
      <c r="D13" s="2" t="s">
        <v>159</v>
      </c>
      <c r="E13" s="2" t="s">
        <v>339</v>
      </c>
      <c r="F13" s="1">
        <f>SUM(H13:$XED13)</f>
        <v>60</v>
      </c>
      <c r="G13" s="10">
        <f>COUNT(H13:$XEZ13)</f>
        <v>2</v>
      </c>
      <c r="H13" s="1"/>
      <c r="I13" s="1"/>
      <c r="J13" s="1"/>
      <c r="K13" s="1"/>
      <c r="L13" s="1"/>
      <c r="M13" s="1">
        <v>5</v>
      </c>
      <c r="N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H13" s="1"/>
      <c r="AI13" s="1"/>
      <c r="AS13" s="2">
        <v>55</v>
      </c>
      <c r="AT13" s="9" t="s">
        <v>42</v>
      </c>
      <c r="BI13" s="10" t="s">
        <v>80</v>
      </c>
      <c r="BJ13" s="10" t="s">
        <v>80</v>
      </c>
      <c r="BK13" s="10" t="s">
        <v>80</v>
      </c>
      <c r="BN13" s="1"/>
      <c r="BO13" s="2" t="s">
        <v>80</v>
      </c>
      <c r="BP13" s="2" t="s">
        <v>80</v>
      </c>
      <c r="BT13" s="9" t="s">
        <v>72</v>
      </c>
    </row>
    <row r="14" spans="1:74" s="2" customFormat="1" ht="16" customHeight="1">
      <c r="A14" s="2">
        <v>2023202596</v>
      </c>
      <c r="B14" s="2" t="s">
        <v>351</v>
      </c>
      <c r="C14" s="2" t="s">
        <v>82</v>
      </c>
      <c r="D14" s="2" t="s">
        <v>159</v>
      </c>
      <c r="E14" s="2" t="s">
        <v>339</v>
      </c>
      <c r="F14" s="1">
        <f>SUM(H14:$XED14)</f>
        <v>7.5</v>
      </c>
      <c r="G14" s="10">
        <f>COUNT(H14:$XEZ14)</f>
        <v>3</v>
      </c>
      <c r="H14" s="1"/>
      <c r="I14" s="1"/>
      <c r="J14" s="1"/>
      <c r="K14" s="1"/>
      <c r="L14" s="1"/>
      <c r="M14" s="1"/>
      <c r="N14" s="1"/>
      <c r="O14" s="1"/>
      <c r="P14" s="2">
        <v>0.5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D14" s="2">
        <v>3</v>
      </c>
      <c r="AH14" s="1"/>
      <c r="AI14" s="1"/>
      <c r="AL14" s="2">
        <v>4</v>
      </c>
      <c r="AT14" s="9" t="s">
        <v>42</v>
      </c>
      <c r="BI14" s="10" t="s">
        <v>80</v>
      </c>
      <c r="BJ14" s="10" t="s">
        <v>80</v>
      </c>
      <c r="BK14" s="10" t="s">
        <v>80</v>
      </c>
      <c r="BN14" s="1"/>
      <c r="BO14" s="2" t="s">
        <v>80</v>
      </c>
      <c r="BP14" s="2" t="s">
        <v>80</v>
      </c>
      <c r="BT14" s="9" t="s">
        <v>72</v>
      </c>
    </row>
    <row r="15" spans="1:74" s="2" customFormat="1" ht="16" customHeight="1">
      <c r="A15" s="2">
        <v>2023202597</v>
      </c>
      <c r="B15" s="2" t="s">
        <v>352</v>
      </c>
      <c r="C15" s="2" t="s">
        <v>77</v>
      </c>
      <c r="D15" s="2" t="s">
        <v>159</v>
      </c>
      <c r="E15" s="2" t="s">
        <v>339</v>
      </c>
      <c r="F15" s="1">
        <f>SUM(H15:$XED15)</f>
        <v>49.5</v>
      </c>
      <c r="G15" s="10">
        <f>COUNT(H15:$XEZ15)</f>
        <v>9</v>
      </c>
      <c r="H15" s="1"/>
      <c r="I15" s="1"/>
      <c r="J15" s="1"/>
      <c r="K15" s="1"/>
      <c r="L15" s="1"/>
      <c r="M15" s="1">
        <v>16</v>
      </c>
      <c r="N15" s="1"/>
      <c r="O15" s="1"/>
      <c r="P15" s="2">
        <v>0.5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H15" s="1"/>
      <c r="AI15" s="1"/>
      <c r="AL15" s="2">
        <v>4</v>
      </c>
      <c r="AM15" s="2">
        <v>4</v>
      </c>
      <c r="AN15" s="2">
        <v>4</v>
      </c>
      <c r="AR15" s="2">
        <v>4</v>
      </c>
      <c r="AT15" s="9" t="s">
        <v>42</v>
      </c>
      <c r="AW15" s="2">
        <v>9</v>
      </c>
      <c r="BI15" s="10" t="s">
        <v>80</v>
      </c>
      <c r="BJ15" s="10" t="s">
        <v>80</v>
      </c>
      <c r="BK15" s="10" t="s">
        <v>80</v>
      </c>
      <c r="BN15" s="1"/>
      <c r="BO15" s="2">
        <v>4</v>
      </c>
      <c r="BP15" s="2">
        <v>4</v>
      </c>
      <c r="BT15" s="9" t="s">
        <v>72</v>
      </c>
    </row>
    <row r="16" spans="1:74" s="2" customFormat="1" ht="16" customHeight="1">
      <c r="A16" s="2">
        <v>2023202598</v>
      </c>
      <c r="B16" s="2" t="s">
        <v>353</v>
      </c>
      <c r="C16" s="2" t="s">
        <v>77</v>
      </c>
      <c r="D16" s="2" t="s">
        <v>159</v>
      </c>
      <c r="E16" s="2" t="s">
        <v>339</v>
      </c>
      <c r="F16" s="1">
        <f>SUM(H16:$XED16)</f>
        <v>69</v>
      </c>
      <c r="G16" s="10">
        <f>COUNT(H16:$XEZ16)</f>
        <v>7</v>
      </c>
      <c r="H16" s="1">
        <v>40</v>
      </c>
      <c r="I16" s="1">
        <v>0.5</v>
      </c>
      <c r="J16" s="1"/>
      <c r="K16" s="1"/>
      <c r="L16" s="1"/>
      <c r="M16" s="1"/>
      <c r="N16" s="1"/>
      <c r="O16" s="1"/>
      <c r="P16" s="2">
        <v>0.5</v>
      </c>
      <c r="Q16" s="1"/>
      <c r="R16" s="1"/>
      <c r="S16" s="1"/>
      <c r="T16" s="1"/>
      <c r="U16" s="1"/>
      <c r="V16" s="1"/>
      <c r="W16" s="1"/>
      <c r="X16" s="1"/>
      <c r="Y16" s="1"/>
      <c r="Z16" s="1">
        <v>12</v>
      </c>
      <c r="AA16" s="1"/>
      <c r="AB16" s="1"/>
      <c r="AH16" s="1"/>
      <c r="AI16" s="1"/>
      <c r="AL16" s="2">
        <v>4</v>
      </c>
      <c r="AN16" s="2">
        <v>2</v>
      </c>
      <c r="AT16" s="9" t="s">
        <v>42</v>
      </c>
      <c r="AW16" s="2">
        <v>10</v>
      </c>
      <c r="BI16" s="10" t="s">
        <v>80</v>
      </c>
      <c r="BJ16" s="10" t="s">
        <v>80</v>
      </c>
      <c r="BK16" s="10" t="s">
        <v>80</v>
      </c>
      <c r="BN16" s="1"/>
      <c r="BO16" s="2" t="s">
        <v>80</v>
      </c>
      <c r="BP16" s="2" t="s">
        <v>80</v>
      </c>
      <c r="BT16" s="9" t="s">
        <v>72</v>
      </c>
    </row>
    <row r="17" spans="1:74" s="2" customFormat="1" ht="16" customHeight="1">
      <c r="A17" s="2">
        <v>2023202599</v>
      </c>
      <c r="B17" s="2" t="s">
        <v>354</v>
      </c>
      <c r="C17" s="2" t="s">
        <v>77</v>
      </c>
      <c r="D17" s="2" t="s">
        <v>159</v>
      </c>
      <c r="E17" s="2" t="s">
        <v>339</v>
      </c>
      <c r="F17" s="1">
        <f>SUM(H17:$XED17)</f>
        <v>25</v>
      </c>
      <c r="G17" s="10">
        <f>COUNT(H17:$XEZ17)</f>
        <v>5</v>
      </c>
      <c r="H17" s="1"/>
      <c r="I17" s="1">
        <v>0.5</v>
      </c>
      <c r="J17" s="1"/>
      <c r="K17" s="1"/>
      <c r="L17" s="1"/>
      <c r="M17" s="1"/>
      <c r="N17" s="1">
        <v>16</v>
      </c>
      <c r="O17" s="1"/>
      <c r="P17" s="2">
        <v>0.5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H17" s="1"/>
      <c r="AI17" s="1"/>
      <c r="AL17" s="2">
        <v>4</v>
      </c>
      <c r="AR17" s="2">
        <v>4</v>
      </c>
      <c r="AT17" s="9" t="s">
        <v>42</v>
      </c>
      <c r="BI17" s="10" t="s">
        <v>80</v>
      </c>
      <c r="BJ17" s="10" t="s">
        <v>80</v>
      </c>
      <c r="BK17" s="10" t="s">
        <v>80</v>
      </c>
      <c r="BN17" s="1"/>
      <c r="BO17" s="2" t="s">
        <v>80</v>
      </c>
      <c r="BP17" s="2" t="s">
        <v>80</v>
      </c>
      <c r="BT17" s="9" t="s">
        <v>72</v>
      </c>
    </row>
    <row r="18" spans="1:74" s="2" customFormat="1" ht="16" customHeight="1">
      <c r="A18" s="2">
        <v>2023202602</v>
      </c>
      <c r="B18" s="2" t="s">
        <v>355</v>
      </c>
      <c r="C18" s="2" t="s">
        <v>77</v>
      </c>
      <c r="D18" s="2" t="s">
        <v>159</v>
      </c>
      <c r="E18" s="2" t="s">
        <v>339</v>
      </c>
      <c r="F18" s="1">
        <f>SUM(H18:$XED18)</f>
        <v>17.5</v>
      </c>
      <c r="G18" s="10">
        <f>COUNT(H18:$XEZ18)</f>
        <v>5</v>
      </c>
      <c r="H18" s="1"/>
      <c r="I18" s="1"/>
      <c r="J18" s="1"/>
      <c r="K18" s="1"/>
      <c r="L18" s="1"/>
      <c r="M18" s="1"/>
      <c r="N18" s="1"/>
      <c r="O18" s="1"/>
      <c r="P18" s="2">
        <v>0.5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H18" s="1"/>
      <c r="AI18" s="1"/>
      <c r="AL18" s="2">
        <v>4</v>
      </c>
      <c r="AN18" s="2">
        <v>2</v>
      </c>
      <c r="AT18" s="9" t="s">
        <v>42</v>
      </c>
      <c r="AW18" s="2">
        <v>9</v>
      </c>
      <c r="AZ18" s="2">
        <v>2</v>
      </c>
      <c r="BI18" s="10" t="s">
        <v>80</v>
      </c>
      <c r="BJ18" s="10" t="s">
        <v>80</v>
      </c>
      <c r="BK18" s="10" t="s">
        <v>80</v>
      </c>
      <c r="BN18" s="1"/>
      <c r="BO18" s="2" t="s">
        <v>80</v>
      </c>
      <c r="BP18" s="2" t="s">
        <v>80</v>
      </c>
      <c r="BT18" s="9" t="s">
        <v>72</v>
      </c>
    </row>
    <row r="19" spans="1:74" s="2" customFormat="1" ht="16" customHeight="1">
      <c r="A19" s="2">
        <v>2023202604</v>
      </c>
      <c r="B19" s="2" t="s">
        <v>356</v>
      </c>
      <c r="C19" s="2" t="s">
        <v>82</v>
      </c>
      <c r="D19" s="2" t="s">
        <v>159</v>
      </c>
      <c r="E19" s="2" t="s">
        <v>339</v>
      </c>
      <c r="F19" s="1">
        <f>SUM(H19:$XED19)</f>
        <v>24.5</v>
      </c>
      <c r="G19" s="10">
        <f>COUNT(H19:$XEZ19)</f>
        <v>5</v>
      </c>
      <c r="H19" s="1"/>
      <c r="I19" s="1"/>
      <c r="J19" s="1"/>
      <c r="K19" s="1"/>
      <c r="L19" s="1"/>
      <c r="M19" s="1"/>
      <c r="N19" s="1">
        <v>16</v>
      </c>
      <c r="O19" s="1"/>
      <c r="P19" s="2">
        <v>0.5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H19" s="1"/>
      <c r="AI19" s="1"/>
      <c r="AL19" s="2">
        <v>4</v>
      </c>
      <c r="AN19" s="2">
        <v>2</v>
      </c>
      <c r="AT19" s="9" t="s">
        <v>42</v>
      </c>
      <c r="BI19" s="10" t="s">
        <v>80</v>
      </c>
      <c r="BJ19" s="10" t="s">
        <v>80</v>
      </c>
      <c r="BK19" s="10" t="s">
        <v>80</v>
      </c>
      <c r="BN19" s="1"/>
      <c r="BO19" s="2" t="s">
        <v>80</v>
      </c>
      <c r="BP19" s="2">
        <v>2</v>
      </c>
      <c r="BT19" s="9" t="s">
        <v>72</v>
      </c>
    </row>
    <row r="20" spans="1:74" s="2" customFormat="1" ht="16" customHeight="1">
      <c r="A20" s="2">
        <v>2023202610</v>
      </c>
      <c r="B20" s="2" t="s">
        <v>357</v>
      </c>
      <c r="C20" s="2" t="s">
        <v>77</v>
      </c>
      <c r="D20" s="2" t="s">
        <v>159</v>
      </c>
      <c r="E20" s="2" t="s">
        <v>339</v>
      </c>
      <c r="F20" s="1">
        <f>SUM(H20:$XED20)</f>
        <v>34</v>
      </c>
      <c r="G20" s="10">
        <f>COUNT(H20:$XEZ20)</f>
        <v>4</v>
      </c>
      <c r="H20" s="1"/>
      <c r="I20" s="1"/>
      <c r="J20" s="1"/>
      <c r="K20" s="1"/>
      <c r="L20" s="1"/>
      <c r="M20" s="1">
        <v>19.5</v>
      </c>
      <c r="N20" s="1"/>
      <c r="O20" s="1"/>
      <c r="P20" s="2">
        <v>0.5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H20" s="1"/>
      <c r="AI20" s="1"/>
      <c r="AL20" s="2">
        <v>4</v>
      </c>
      <c r="AT20" s="9" t="s">
        <v>42</v>
      </c>
      <c r="AW20" s="2">
        <v>10</v>
      </c>
      <c r="BI20" s="10" t="s">
        <v>80</v>
      </c>
      <c r="BJ20" s="10" t="s">
        <v>80</v>
      </c>
      <c r="BK20" s="10" t="s">
        <v>80</v>
      </c>
      <c r="BN20" s="1"/>
      <c r="BO20" s="2" t="s">
        <v>80</v>
      </c>
      <c r="BP20" s="2" t="s">
        <v>80</v>
      </c>
      <c r="BT20" s="9" t="s">
        <v>72</v>
      </c>
    </row>
    <row r="21" spans="1:74" s="2" customFormat="1" ht="16" customHeight="1">
      <c r="A21" s="2">
        <v>2023202612</v>
      </c>
      <c r="B21" s="2" t="s">
        <v>358</v>
      </c>
      <c r="C21" s="2" t="s">
        <v>77</v>
      </c>
      <c r="D21" s="2" t="s">
        <v>159</v>
      </c>
      <c r="E21" s="2" t="s">
        <v>339</v>
      </c>
      <c r="F21" s="1">
        <f>SUM(H21:$XED21)</f>
        <v>105</v>
      </c>
      <c r="G21" s="10">
        <f>COUNT(H21:$XEZ21)</f>
        <v>12</v>
      </c>
      <c r="H21" s="1">
        <v>20</v>
      </c>
      <c r="I21" s="1">
        <v>1</v>
      </c>
      <c r="J21" s="1"/>
      <c r="K21" s="1"/>
      <c r="L21" s="1"/>
      <c r="M21" s="1">
        <v>4.5</v>
      </c>
      <c r="N21" s="1"/>
      <c r="O21" s="1"/>
      <c r="P21" s="2">
        <v>3.5</v>
      </c>
      <c r="Q21" s="1"/>
      <c r="R21" s="1"/>
      <c r="S21" s="1"/>
      <c r="T21" s="1"/>
      <c r="U21" s="1">
        <v>13</v>
      </c>
      <c r="V21" s="1"/>
      <c r="W21" s="1"/>
      <c r="X21" s="1"/>
      <c r="Y21" s="1"/>
      <c r="Z21" s="1">
        <v>12</v>
      </c>
      <c r="AA21" s="1"/>
      <c r="AB21" s="1"/>
      <c r="AD21" s="2">
        <v>4</v>
      </c>
      <c r="AH21" s="1"/>
      <c r="AI21" s="1"/>
      <c r="AL21" s="2">
        <v>4</v>
      </c>
      <c r="AM21" s="2">
        <v>4</v>
      </c>
      <c r="AT21" s="9" t="s">
        <v>42</v>
      </c>
      <c r="AU21" s="2">
        <v>11</v>
      </c>
      <c r="AW21" s="2">
        <v>10</v>
      </c>
      <c r="BI21" s="10" t="s">
        <v>80</v>
      </c>
      <c r="BJ21" s="10" t="s">
        <v>80</v>
      </c>
      <c r="BK21" s="10" t="s">
        <v>80</v>
      </c>
      <c r="BN21" s="1">
        <v>18</v>
      </c>
      <c r="BO21" s="2" t="s">
        <v>80</v>
      </c>
      <c r="BP21" s="2" t="s">
        <v>80</v>
      </c>
      <c r="BT21" s="9" t="s">
        <v>72</v>
      </c>
    </row>
    <row r="22" spans="1:74" s="2" customFormat="1" ht="16" customHeight="1">
      <c r="A22" s="2">
        <v>2023202614</v>
      </c>
      <c r="B22" s="2" t="s">
        <v>359</v>
      </c>
      <c r="C22" s="2" t="s">
        <v>82</v>
      </c>
      <c r="D22" s="2" t="s">
        <v>159</v>
      </c>
      <c r="E22" s="2" t="s">
        <v>339</v>
      </c>
      <c r="F22" s="1">
        <f>SUM(H22:$XED22)</f>
        <v>70.5</v>
      </c>
      <c r="G22" s="10">
        <f>COUNT(H22:$XEZ22)</f>
        <v>6</v>
      </c>
      <c r="H22" s="1"/>
      <c r="I22" s="1"/>
      <c r="J22" s="1"/>
      <c r="K22" s="1"/>
      <c r="L22" s="1"/>
      <c r="M22" s="1"/>
      <c r="N22" s="1"/>
      <c r="O22" s="1"/>
      <c r="P22" s="2">
        <v>0.5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E22" s="2">
        <v>4</v>
      </c>
      <c r="AH22" s="1"/>
      <c r="AI22" s="1"/>
      <c r="AL22" s="2">
        <v>4</v>
      </c>
      <c r="AM22" s="2">
        <v>4</v>
      </c>
      <c r="AS22" s="2">
        <v>54</v>
      </c>
      <c r="AT22" s="9" t="s">
        <v>42</v>
      </c>
      <c r="BI22" s="10" t="s">
        <v>80</v>
      </c>
      <c r="BJ22" s="10" t="s">
        <v>80</v>
      </c>
      <c r="BK22" s="10" t="s">
        <v>80</v>
      </c>
      <c r="BN22" s="1"/>
      <c r="BO22" s="2">
        <v>4</v>
      </c>
      <c r="BP22" s="2" t="s">
        <v>80</v>
      </c>
      <c r="BT22" s="9" t="s">
        <v>72</v>
      </c>
    </row>
    <row r="23" spans="1:74" s="2" customFormat="1" ht="16" customHeight="1">
      <c r="A23" s="2">
        <v>2023202615</v>
      </c>
      <c r="B23" s="2" t="s">
        <v>360</v>
      </c>
      <c r="C23" s="2" t="s">
        <v>82</v>
      </c>
      <c r="D23" s="2" t="s">
        <v>159</v>
      </c>
      <c r="E23" s="2" t="s">
        <v>339</v>
      </c>
      <c r="F23" s="1">
        <f>SUM(H23:$XED23)</f>
        <v>4</v>
      </c>
      <c r="G23" s="10">
        <f>COUNT(H23:$XEZ23)</f>
        <v>2</v>
      </c>
      <c r="H23" s="1"/>
      <c r="I23" s="1">
        <v>3.5</v>
      </c>
      <c r="J23" s="1"/>
      <c r="K23" s="1"/>
      <c r="L23" s="1"/>
      <c r="M23" s="1"/>
      <c r="N23" s="1"/>
      <c r="O23" s="1"/>
      <c r="P23" s="2">
        <v>0.5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H23" s="1"/>
      <c r="AI23" s="1"/>
      <c r="AT23" s="9" t="s">
        <v>42</v>
      </c>
      <c r="BI23" s="10" t="s">
        <v>80</v>
      </c>
      <c r="BJ23" s="10" t="s">
        <v>80</v>
      </c>
      <c r="BK23" s="10" t="s">
        <v>80</v>
      </c>
      <c r="BN23" s="1"/>
      <c r="BO23" s="2" t="s">
        <v>80</v>
      </c>
      <c r="BP23" s="2" t="s">
        <v>80</v>
      </c>
      <c r="BT23" s="9" t="s">
        <v>72</v>
      </c>
    </row>
    <row r="24" spans="1:74" s="2" customFormat="1" ht="16" customHeight="1">
      <c r="A24" s="2">
        <v>2023202621</v>
      </c>
      <c r="B24" s="2" t="s">
        <v>361</v>
      </c>
      <c r="C24" s="2" t="s">
        <v>77</v>
      </c>
      <c r="D24" s="2" t="s">
        <v>159</v>
      </c>
      <c r="E24" s="2" t="s">
        <v>339</v>
      </c>
      <c r="F24" s="1">
        <f>SUM(H24:$XED24)</f>
        <v>141.75</v>
      </c>
      <c r="G24" s="10">
        <f>COUNT(H24:$XEZ24)</f>
        <v>19</v>
      </c>
      <c r="H24" s="1"/>
      <c r="I24" s="1">
        <v>0.5</v>
      </c>
      <c r="J24" s="1"/>
      <c r="K24" s="1"/>
      <c r="L24" s="1"/>
      <c r="M24" s="1"/>
      <c r="N24" s="1"/>
      <c r="O24" s="1"/>
      <c r="P24" s="2">
        <v>3.5</v>
      </c>
      <c r="Q24" s="1"/>
      <c r="R24" s="1"/>
      <c r="S24" s="1"/>
      <c r="T24" s="1"/>
      <c r="U24" s="1">
        <v>15</v>
      </c>
      <c r="V24" s="1"/>
      <c r="W24" s="1">
        <v>9</v>
      </c>
      <c r="X24" s="1"/>
      <c r="Y24" s="1"/>
      <c r="Z24" s="1">
        <v>12</v>
      </c>
      <c r="AA24" s="1"/>
      <c r="AB24" s="1"/>
      <c r="AE24" s="2">
        <v>4</v>
      </c>
      <c r="AG24" s="2">
        <v>4</v>
      </c>
      <c r="AH24" s="1">
        <v>4</v>
      </c>
      <c r="AI24" s="1"/>
      <c r="AL24" s="2">
        <v>4</v>
      </c>
      <c r="AM24" s="2">
        <v>4</v>
      </c>
      <c r="AS24" s="2">
        <v>12</v>
      </c>
      <c r="AT24" s="9" t="s">
        <v>42</v>
      </c>
      <c r="AV24" s="2">
        <v>4</v>
      </c>
      <c r="AZ24" s="2">
        <v>0.75</v>
      </c>
      <c r="BD24" s="2">
        <v>4</v>
      </c>
      <c r="BF24" s="2">
        <v>24</v>
      </c>
      <c r="BH24" s="2">
        <v>4</v>
      </c>
      <c r="BI24" s="10" t="s">
        <v>80</v>
      </c>
      <c r="BJ24" s="10" t="s">
        <v>80</v>
      </c>
      <c r="BK24" s="10" t="s">
        <v>80</v>
      </c>
      <c r="BN24" s="1">
        <v>24</v>
      </c>
      <c r="BO24" s="2">
        <v>4</v>
      </c>
      <c r="BP24" s="2" t="s">
        <v>80</v>
      </c>
      <c r="BR24" s="2">
        <v>5</v>
      </c>
      <c r="BT24" s="9" t="s">
        <v>72</v>
      </c>
    </row>
    <row r="25" spans="1:74" s="2" customFormat="1" ht="16" customHeight="1">
      <c r="A25" s="2">
        <v>2023202623</v>
      </c>
      <c r="B25" s="2" t="s">
        <v>362</v>
      </c>
      <c r="C25" s="2" t="s">
        <v>77</v>
      </c>
      <c r="D25" s="2" t="s">
        <v>159</v>
      </c>
      <c r="E25" s="2" t="s">
        <v>339</v>
      </c>
      <c r="F25" s="1">
        <f>SUM(H25:$XED25)</f>
        <v>34.5</v>
      </c>
      <c r="G25" s="10">
        <f>COUNT(H25:$XEZ25)</f>
        <v>5</v>
      </c>
      <c r="H25" s="1"/>
      <c r="I25" s="1">
        <v>1</v>
      </c>
      <c r="J25" s="1"/>
      <c r="K25" s="1"/>
      <c r="L25" s="1"/>
      <c r="M25" s="1">
        <v>25</v>
      </c>
      <c r="N25" s="1"/>
      <c r="O25" s="1"/>
      <c r="P25" s="2">
        <v>0.5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E25" s="2">
        <v>4</v>
      </c>
      <c r="AH25" s="1"/>
      <c r="AI25" s="1"/>
      <c r="AL25" s="2">
        <v>4</v>
      </c>
      <c r="AT25" s="9" t="s">
        <v>42</v>
      </c>
      <c r="BI25" s="10" t="s">
        <v>80</v>
      </c>
      <c r="BJ25" s="10" t="s">
        <v>80</v>
      </c>
      <c r="BK25" s="10" t="s">
        <v>80</v>
      </c>
      <c r="BN25" s="1"/>
      <c r="BO25" s="2" t="s">
        <v>80</v>
      </c>
      <c r="BP25" s="2" t="s">
        <v>80</v>
      </c>
      <c r="BT25" s="9" t="s">
        <v>72</v>
      </c>
    </row>
    <row r="26" spans="1:74" s="2" customFormat="1" ht="16" customHeight="1">
      <c r="A26" s="2">
        <v>2023202626</v>
      </c>
      <c r="B26" s="2" t="s">
        <v>363</v>
      </c>
      <c r="C26" s="2" t="s">
        <v>77</v>
      </c>
      <c r="D26" s="2" t="s">
        <v>159</v>
      </c>
      <c r="E26" s="2" t="s">
        <v>339</v>
      </c>
      <c r="F26" s="1">
        <f>SUM(H26:$XED26)</f>
        <v>51</v>
      </c>
      <c r="G26" s="10">
        <f>COUNT(H26:$XEZ26)</f>
        <v>9</v>
      </c>
      <c r="H26" s="1"/>
      <c r="I26" s="1"/>
      <c r="J26" s="1">
        <v>12</v>
      </c>
      <c r="K26" s="1"/>
      <c r="L26" s="1"/>
      <c r="M26" s="1"/>
      <c r="N26" s="1"/>
      <c r="O26" s="1"/>
      <c r="Q26" s="1"/>
      <c r="R26" s="1"/>
      <c r="S26" s="1">
        <v>4</v>
      </c>
      <c r="T26" s="1"/>
      <c r="U26" s="1"/>
      <c r="V26" s="1"/>
      <c r="W26" s="1"/>
      <c r="X26" s="1"/>
      <c r="Y26" s="1"/>
      <c r="Z26" s="1"/>
      <c r="AA26" s="1"/>
      <c r="AB26" s="1"/>
      <c r="AH26" s="1"/>
      <c r="AI26" s="1"/>
      <c r="AL26" s="2">
        <v>4</v>
      </c>
      <c r="AM26" s="2">
        <v>4</v>
      </c>
      <c r="AN26" s="2">
        <v>4</v>
      </c>
      <c r="AR26" s="2">
        <v>4</v>
      </c>
      <c r="AT26" s="9" t="s">
        <v>42</v>
      </c>
      <c r="AW26" s="2">
        <v>9</v>
      </c>
      <c r="BI26" s="10" t="s">
        <v>80</v>
      </c>
      <c r="BJ26" s="10" t="s">
        <v>80</v>
      </c>
      <c r="BK26" s="10" t="s">
        <v>80</v>
      </c>
      <c r="BN26" s="1"/>
      <c r="BO26" s="2">
        <v>4</v>
      </c>
      <c r="BP26" s="2">
        <v>6</v>
      </c>
      <c r="BT26" s="9" t="s">
        <v>72</v>
      </c>
    </row>
    <row r="27" spans="1:74" s="2" customFormat="1" ht="16" customHeight="1">
      <c r="A27" s="2">
        <v>2023202627</v>
      </c>
      <c r="B27" s="2" t="s">
        <v>364</v>
      </c>
      <c r="C27" s="2" t="s">
        <v>82</v>
      </c>
      <c r="D27" s="2" t="s">
        <v>159</v>
      </c>
      <c r="E27" s="2" t="s">
        <v>339</v>
      </c>
      <c r="F27" s="1">
        <f>SUM(H27:$XED27)</f>
        <v>4.5</v>
      </c>
      <c r="G27" s="10">
        <f>COUNT(H27:$XEZ27)</f>
        <v>2</v>
      </c>
      <c r="H27" s="1"/>
      <c r="I27" s="1"/>
      <c r="J27" s="1"/>
      <c r="K27" s="1"/>
      <c r="L27" s="1"/>
      <c r="M27" s="1"/>
      <c r="N27" s="1"/>
      <c r="O27" s="1"/>
      <c r="P27" s="2">
        <v>0.5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H27" s="1"/>
      <c r="AI27" s="1"/>
      <c r="AL27" s="2">
        <v>4</v>
      </c>
      <c r="AT27" s="9" t="s">
        <v>42</v>
      </c>
      <c r="BI27" s="10" t="s">
        <v>80</v>
      </c>
      <c r="BJ27" s="10" t="s">
        <v>80</v>
      </c>
      <c r="BK27" s="10" t="s">
        <v>80</v>
      </c>
      <c r="BN27" s="1"/>
      <c r="BO27" s="2" t="s">
        <v>80</v>
      </c>
      <c r="BP27" s="2" t="s">
        <v>80</v>
      </c>
      <c r="BT27" s="9" t="s">
        <v>72</v>
      </c>
    </row>
    <row r="28" spans="1:74" s="2" customFormat="1" ht="16" customHeight="1">
      <c r="A28" s="2">
        <v>2023202628</v>
      </c>
      <c r="B28" s="2" t="s">
        <v>365</v>
      </c>
      <c r="C28" s="2" t="s">
        <v>77</v>
      </c>
      <c r="D28" s="2" t="s">
        <v>159</v>
      </c>
      <c r="E28" s="2" t="s">
        <v>339</v>
      </c>
      <c r="F28" s="1">
        <f>SUM(H28:$XED28)</f>
        <v>42</v>
      </c>
      <c r="G28" s="10">
        <f>COUNT(H28:$XEZ28)</f>
        <v>9</v>
      </c>
      <c r="H28" s="1"/>
      <c r="I28" s="1">
        <v>1</v>
      </c>
      <c r="J28" s="1"/>
      <c r="K28" s="1">
        <v>1</v>
      </c>
      <c r="L28" s="1"/>
      <c r="M28" s="1"/>
      <c r="N28" s="1"/>
      <c r="O28" s="1"/>
      <c r="P28" s="2">
        <v>0.5</v>
      </c>
      <c r="Q28" s="1">
        <v>7.5</v>
      </c>
      <c r="R28" s="1"/>
      <c r="S28" s="1"/>
      <c r="T28" s="1">
        <v>20</v>
      </c>
      <c r="U28" s="1"/>
      <c r="V28" s="1"/>
      <c r="W28" s="1"/>
      <c r="X28" s="1"/>
      <c r="Y28" s="1"/>
      <c r="Z28" s="1"/>
      <c r="AA28" s="1"/>
      <c r="AB28" s="1"/>
      <c r="AD28" s="2">
        <v>4</v>
      </c>
      <c r="AH28" s="1"/>
      <c r="AI28" s="1"/>
      <c r="AL28" s="2">
        <v>4</v>
      </c>
      <c r="AN28" s="2">
        <v>2</v>
      </c>
      <c r="AT28" s="9" t="s">
        <v>42</v>
      </c>
      <c r="BI28" s="10" t="s">
        <v>80</v>
      </c>
      <c r="BJ28" s="10" t="s">
        <v>80</v>
      </c>
      <c r="BK28" s="10" t="s">
        <v>80</v>
      </c>
      <c r="BN28" s="1"/>
      <c r="BO28" s="2" t="s">
        <v>80</v>
      </c>
      <c r="BP28" s="2">
        <v>2</v>
      </c>
      <c r="BT28" s="9" t="s">
        <v>72</v>
      </c>
    </row>
    <row r="29" spans="1:74" s="2" customFormat="1" ht="16" customHeight="1">
      <c r="A29" s="2">
        <v>2023202630</v>
      </c>
      <c r="B29" s="2" t="s">
        <v>366</v>
      </c>
      <c r="C29" s="2" t="s">
        <v>82</v>
      </c>
      <c r="D29" s="2" t="s">
        <v>159</v>
      </c>
      <c r="E29" s="2" t="s">
        <v>339</v>
      </c>
      <c r="F29" s="1">
        <f>SUM(H29:$XED29)</f>
        <v>12.5</v>
      </c>
      <c r="G29" s="10">
        <f>COUNT(H29:$XEZ29)</f>
        <v>3</v>
      </c>
      <c r="H29" s="1"/>
      <c r="I29" s="1"/>
      <c r="J29" s="1"/>
      <c r="K29" s="1"/>
      <c r="L29" s="1"/>
      <c r="M29" s="1"/>
      <c r="N29" s="1"/>
      <c r="O29" s="1"/>
      <c r="P29" s="2">
        <v>0.5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H29" s="1"/>
      <c r="AI29" s="1"/>
      <c r="AL29" s="2">
        <v>4</v>
      </c>
      <c r="AT29" s="9" t="s">
        <v>42</v>
      </c>
      <c r="AY29" s="2">
        <v>8</v>
      </c>
      <c r="BI29" s="10" t="s">
        <v>80</v>
      </c>
      <c r="BJ29" s="10" t="s">
        <v>80</v>
      </c>
      <c r="BK29" s="10" t="s">
        <v>80</v>
      </c>
      <c r="BN29" s="1"/>
      <c r="BO29" s="2" t="s">
        <v>80</v>
      </c>
      <c r="BP29" s="2" t="s">
        <v>80</v>
      </c>
      <c r="BT29" s="9" t="s">
        <v>72</v>
      </c>
    </row>
    <row r="30" spans="1:74" s="2" customFormat="1" ht="16" customHeight="1">
      <c r="A30" s="2">
        <v>2023202631</v>
      </c>
      <c r="B30" s="2" t="s">
        <v>367</v>
      </c>
      <c r="C30" s="2" t="s">
        <v>77</v>
      </c>
      <c r="D30" s="2" t="s">
        <v>159</v>
      </c>
      <c r="E30" s="2" t="s">
        <v>339</v>
      </c>
      <c r="F30" s="1">
        <f>SUM(H30:$XED30)</f>
        <v>10</v>
      </c>
      <c r="G30" s="10">
        <f>COUNT(H30:$XEZ30)</f>
        <v>3</v>
      </c>
      <c r="H30" s="1"/>
      <c r="I30" s="1">
        <v>1.5</v>
      </c>
      <c r="J30" s="1"/>
      <c r="K30" s="1"/>
      <c r="L30" s="1"/>
      <c r="M30" s="1"/>
      <c r="N30" s="1"/>
      <c r="O30" s="1"/>
      <c r="P30" s="2">
        <v>0.5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H30" s="1"/>
      <c r="AI30" s="1"/>
      <c r="AT30" s="9" t="s">
        <v>42</v>
      </c>
      <c r="BI30" s="10" t="s">
        <v>80</v>
      </c>
      <c r="BJ30" s="10" t="s">
        <v>80</v>
      </c>
      <c r="BK30" s="10" t="s">
        <v>80</v>
      </c>
      <c r="BN30" s="1"/>
      <c r="BO30" s="2" t="s">
        <v>80</v>
      </c>
      <c r="BP30" s="2" t="s">
        <v>80</v>
      </c>
      <c r="BT30" s="9" t="s">
        <v>72</v>
      </c>
      <c r="BV30" s="2">
        <v>8</v>
      </c>
    </row>
    <row r="31" spans="1:74" s="2" customFormat="1" ht="16" customHeight="1">
      <c r="A31" s="2">
        <v>2023202641</v>
      </c>
      <c r="B31" s="2" t="s">
        <v>368</v>
      </c>
      <c r="C31" s="2" t="s">
        <v>77</v>
      </c>
      <c r="D31" s="2" t="s">
        <v>159</v>
      </c>
      <c r="E31" s="2" t="s">
        <v>339</v>
      </c>
      <c r="F31" s="1">
        <f>SUM(H31:$XED31)</f>
        <v>53.5</v>
      </c>
      <c r="G31" s="10">
        <f>COUNT(H31:$XEZ31)</f>
        <v>9</v>
      </c>
      <c r="H31" s="1"/>
      <c r="I31" s="1">
        <v>0.5</v>
      </c>
      <c r="J31" s="1"/>
      <c r="K31" s="1"/>
      <c r="L31" s="1">
        <v>5</v>
      </c>
      <c r="M31" s="1"/>
      <c r="N31" s="1">
        <v>16</v>
      </c>
      <c r="O31" s="1"/>
      <c r="P31" s="2">
        <v>0.5</v>
      </c>
      <c r="Q31" s="1"/>
      <c r="R31" s="1"/>
      <c r="S31" s="1"/>
      <c r="T31" s="1">
        <v>20</v>
      </c>
      <c r="U31" s="1"/>
      <c r="V31" s="1"/>
      <c r="W31" s="1"/>
      <c r="X31" s="1"/>
      <c r="Y31" s="1"/>
      <c r="Z31" s="1"/>
      <c r="AA31" s="1"/>
      <c r="AB31" s="1"/>
      <c r="AG31" s="2">
        <v>4</v>
      </c>
      <c r="AH31" s="1"/>
      <c r="AI31" s="1"/>
      <c r="AL31" s="2">
        <v>4</v>
      </c>
      <c r="AN31" s="2">
        <v>2</v>
      </c>
      <c r="AP31" s="2">
        <v>1.5</v>
      </c>
      <c r="AT31" s="9" t="s">
        <v>42</v>
      </c>
      <c r="BI31" s="10" t="s">
        <v>80</v>
      </c>
      <c r="BJ31" s="10" t="s">
        <v>80</v>
      </c>
      <c r="BK31" s="10" t="s">
        <v>80</v>
      </c>
      <c r="BN31" s="1"/>
      <c r="BO31" s="2" t="s">
        <v>80</v>
      </c>
      <c r="BP31" s="2" t="s">
        <v>80</v>
      </c>
      <c r="BT31" s="9" t="s">
        <v>72</v>
      </c>
    </row>
    <row r="32" spans="1:74" s="2" customFormat="1" ht="16" customHeight="1">
      <c r="A32" s="2">
        <v>2023202643</v>
      </c>
      <c r="B32" s="2" t="s">
        <v>369</v>
      </c>
      <c r="C32" s="2" t="s">
        <v>77</v>
      </c>
      <c r="D32" s="2" t="s">
        <v>159</v>
      </c>
      <c r="E32" s="2" t="s">
        <v>339</v>
      </c>
      <c r="F32" s="1">
        <f>SUM(H32:$XED32)</f>
        <v>34</v>
      </c>
      <c r="G32" s="10">
        <f>COUNT(H32:$XEZ32)</f>
        <v>5</v>
      </c>
      <c r="H32" s="1"/>
      <c r="I32" s="1"/>
      <c r="J32" s="1"/>
      <c r="K32" s="1"/>
      <c r="L32" s="1"/>
      <c r="M32" s="1"/>
      <c r="N32" s="1"/>
      <c r="O32" s="1"/>
      <c r="P32" s="2">
        <v>0.5</v>
      </c>
      <c r="Q32" s="1"/>
      <c r="R32" s="1"/>
      <c r="S32" s="1"/>
      <c r="T32" s="1"/>
      <c r="U32" s="1"/>
      <c r="V32" s="1"/>
      <c r="W32" s="1">
        <v>9</v>
      </c>
      <c r="X32" s="1"/>
      <c r="Y32" s="1"/>
      <c r="Z32" s="1"/>
      <c r="AA32" s="1"/>
      <c r="AB32" s="1"/>
      <c r="AG32" s="2">
        <v>4</v>
      </c>
      <c r="AH32" s="1"/>
      <c r="AI32" s="1"/>
      <c r="AL32" s="2">
        <v>4</v>
      </c>
      <c r="AQ32" s="2">
        <v>16.5</v>
      </c>
      <c r="AT32" s="9" t="s">
        <v>42</v>
      </c>
      <c r="BI32" s="10" t="s">
        <v>80</v>
      </c>
      <c r="BJ32" s="10" t="s">
        <v>80</v>
      </c>
      <c r="BK32" s="10" t="s">
        <v>80</v>
      </c>
      <c r="BN32" s="1"/>
      <c r="BO32" s="2" t="s">
        <v>80</v>
      </c>
      <c r="BP32" s="2" t="s">
        <v>80</v>
      </c>
      <c r="BT32" s="9" t="s">
        <v>72</v>
      </c>
    </row>
    <row r="33" spans="1:74" s="2" customFormat="1" ht="16" customHeight="1">
      <c r="A33" s="2">
        <v>2023202644</v>
      </c>
      <c r="B33" s="2" t="s">
        <v>370</v>
      </c>
      <c r="C33" s="2" t="s">
        <v>77</v>
      </c>
      <c r="D33" s="2" t="s">
        <v>159</v>
      </c>
      <c r="E33" s="2" t="s">
        <v>339</v>
      </c>
      <c r="F33" s="1">
        <f>SUM(H33:$XED33)</f>
        <v>61</v>
      </c>
      <c r="G33" s="10">
        <f>COUNT(H33:$XEZ33)</f>
        <v>8</v>
      </c>
      <c r="H33" s="1"/>
      <c r="I33" s="1">
        <v>1</v>
      </c>
      <c r="J33" s="1"/>
      <c r="K33" s="1">
        <v>1</v>
      </c>
      <c r="L33" s="1"/>
      <c r="M33" s="1">
        <v>29</v>
      </c>
      <c r="N33" s="1"/>
      <c r="O33" s="1"/>
      <c r="P33" s="2">
        <v>0.5</v>
      </c>
      <c r="Q33" s="1"/>
      <c r="R33" s="1"/>
      <c r="S33" s="1"/>
      <c r="T33" s="1">
        <v>20.5</v>
      </c>
      <c r="U33" s="1"/>
      <c r="V33" s="1"/>
      <c r="W33" s="1"/>
      <c r="X33" s="1"/>
      <c r="Y33" s="1"/>
      <c r="Z33" s="1"/>
      <c r="AA33" s="1"/>
      <c r="AB33" s="1"/>
      <c r="AG33" s="2">
        <v>4</v>
      </c>
      <c r="AH33" s="1"/>
      <c r="AI33" s="1"/>
      <c r="AL33" s="2">
        <v>4</v>
      </c>
      <c r="AT33" s="9" t="s">
        <v>42</v>
      </c>
      <c r="AZ33" s="2">
        <v>1</v>
      </c>
      <c r="BI33" s="10" t="s">
        <v>80</v>
      </c>
      <c r="BJ33" s="10" t="s">
        <v>80</v>
      </c>
      <c r="BK33" s="10" t="s">
        <v>80</v>
      </c>
      <c r="BN33" s="1"/>
      <c r="BO33" s="2" t="s">
        <v>80</v>
      </c>
      <c r="BP33" s="2" t="s">
        <v>80</v>
      </c>
      <c r="BT33" s="9" t="s">
        <v>72</v>
      </c>
    </row>
    <row r="34" spans="1:74" s="2" customFormat="1" ht="16" customHeight="1">
      <c r="A34" s="2">
        <v>2023202645</v>
      </c>
      <c r="B34" s="2" t="s">
        <v>371</v>
      </c>
      <c r="C34" s="2" t="s">
        <v>77</v>
      </c>
      <c r="D34" s="2" t="s">
        <v>159</v>
      </c>
      <c r="E34" s="2" t="s">
        <v>339</v>
      </c>
      <c r="F34" s="1">
        <f>SUM(H34:$XED34)</f>
        <v>237</v>
      </c>
      <c r="G34" s="10">
        <f>COUNT(H34:$XEZ34)</f>
        <v>15</v>
      </c>
      <c r="H34" s="1">
        <v>20</v>
      </c>
      <c r="I34" s="1">
        <v>0.5</v>
      </c>
      <c r="J34" s="1"/>
      <c r="K34" s="1"/>
      <c r="L34" s="1"/>
      <c r="M34" s="1"/>
      <c r="N34" s="1">
        <v>16</v>
      </c>
      <c r="O34" s="1"/>
      <c r="P34" s="2">
        <v>0.5</v>
      </c>
      <c r="Q34" s="1"/>
      <c r="R34" s="1"/>
      <c r="S34" s="1">
        <v>8</v>
      </c>
      <c r="T34" s="1"/>
      <c r="U34" s="1"/>
      <c r="V34" s="1"/>
      <c r="W34" s="1"/>
      <c r="X34" s="1"/>
      <c r="Y34" s="1"/>
      <c r="Z34" s="1"/>
      <c r="AA34" s="1"/>
      <c r="AB34" s="1"/>
      <c r="AD34" s="2">
        <v>4</v>
      </c>
      <c r="AF34" s="2">
        <v>18</v>
      </c>
      <c r="AH34" s="1"/>
      <c r="AI34" s="1"/>
      <c r="AL34" s="2">
        <v>4</v>
      </c>
      <c r="AM34" s="2">
        <v>4</v>
      </c>
      <c r="AS34" s="2">
        <v>72</v>
      </c>
      <c r="AT34" s="9" t="s">
        <v>42</v>
      </c>
      <c r="BI34" s="10" t="s">
        <v>80</v>
      </c>
      <c r="BJ34" s="10" t="s">
        <v>80</v>
      </c>
      <c r="BK34" s="10" t="s">
        <v>80</v>
      </c>
      <c r="BN34" s="1"/>
      <c r="BO34" s="2">
        <v>4</v>
      </c>
      <c r="BP34" s="2" t="s">
        <v>80</v>
      </c>
      <c r="BR34" s="2">
        <v>70</v>
      </c>
      <c r="BS34" s="2">
        <v>12</v>
      </c>
      <c r="BT34" s="9" t="s">
        <v>72</v>
      </c>
      <c r="BU34" s="2">
        <v>1</v>
      </c>
      <c r="BV34" s="2">
        <v>3</v>
      </c>
    </row>
    <row r="35" spans="1:74" s="2" customFormat="1" ht="16" customHeight="1">
      <c r="A35" s="2">
        <v>2023202655</v>
      </c>
      <c r="B35" s="2" t="s">
        <v>372</v>
      </c>
      <c r="C35" s="2" t="s">
        <v>82</v>
      </c>
      <c r="D35" s="2" t="s">
        <v>159</v>
      </c>
      <c r="E35" s="2" t="s">
        <v>339</v>
      </c>
      <c r="F35" s="1">
        <f>SUM(H35:$XED35)</f>
        <v>8.5</v>
      </c>
      <c r="G35" s="10">
        <f>COUNT(H35:$XEZ35)</f>
        <v>3</v>
      </c>
      <c r="H35" s="1"/>
      <c r="I35" s="1"/>
      <c r="J35" s="1"/>
      <c r="K35" s="1"/>
      <c r="L35" s="1"/>
      <c r="M35" s="1"/>
      <c r="N35" s="1"/>
      <c r="O35" s="1"/>
      <c r="P35" s="2">
        <v>0.5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E35" s="2">
        <v>4</v>
      </c>
      <c r="AH35" s="1">
        <v>4</v>
      </c>
      <c r="AI35" s="1"/>
      <c r="AT35" s="9" t="s">
        <v>42</v>
      </c>
      <c r="BI35" s="10" t="s">
        <v>80</v>
      </c>
      <c r="BJ35" s="10" t="s">
        <v>80</v>
      </c>
      <c r="BK35" s="10" t="s">
        <v>80</v>
      </c>
      <c r="BN35" s="1"/>
      <c r="BO35" s="2" t="s">
        <v>80</v>
      </c>
      <c r="BP35" s="2" t="s">
        <v>80</v>
      </c>
      <c r="BT35" s="9" t="s">
        <v>72</v>
      </c>
    </row>
    <row r="36" spans="1:74" s="2" customFormat="1" ht="16" customHeight="1">
      <c r="A36" s="2">
        <v>2023202657</v>
      </c>
      <c r="B36" s="2" t="s">
        <v>373</v>
      </c>
      <c r="C36" s="2" t="s">
        <v>82</v>
      </c>
      <c r="D36" s="2" t="s">
        <v>159</v>
      </c>
      <c r="E36" s="2" t="s">
        <v>339</v>
      </c>
      <c r="F36" s="1">
        <f>SUM(H36:$XED36)</f>
        <v>100</v>
      </c>
      <c r="G36" s="10">
        <f>COUNT(H36:$XEZ36)</f>
        <v>6</v>
      </c>
      <c r="H36" s="1"/>
      <c r="I36" s="1"/>
      <c r="J36" s="1"/>
      <c r="K36" s="1"/>
      <c r="L36" s="1"/>
      <c r="M36" s="1"/>
      <c r="N36" s="1">
        <v>16</v>
      </c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H36" s="1">
        <v>4</v>
      </c>
      <c r="AI36" s="1"/>
      <c r="AL36" s="2">
        <v>4</v>
      </c>
      <c r="AM36" s="2">
        <v>4</v>
      </c>
      <c r="AS36" s="2">
        <v>56</v>
      </c>
      <c r="AT36" s="9" t="s">
        <v>42</v>
      </c>
      <c r="BC36" s="2">
        <v>16</v>
      </c>
      <c r="BI36" s="10" t="s">
        <v>80</v>
      </c>
      <c r="BJ36" s="10" t="s">
        <v>80</v>
      </c>
      <c r="BK36" s="10" t="s">
        <v>80</v>
      </c>
      <c r="BN36" s="1"/>
      <c r="BO36" s="2" t="s">
        <v>80</v>
      </c>
      <c r="BP36" s="2" t="s">
        <v>80</v>
      </c>
      <c r="BT36" s="9" t="s">
        <v>72</v>
      </c>
    </row>
    <row r="37" spans="1:74" s="2" customFormat="1" ht="16" customHeight="1">
      <c r="A37" s="2">
        <v>2023202658</v>
      </c>
      <c r="B37" s="2" t="s">
        <v>374</v>
      </c>
      <c r="C37" s="2" t="s">
        <v>82</v>
      </c>
      <c r="D37" s="2" t="s">
        <v>159</v>
      </c>
      <c r="E37" s="2" t="s">
        <v>339</v>
      </c>
      <c r="F37" s="1">
        <f>SUM(H37:$XED37)</f>
        <v>51.5</v>
      </c>
      <c r="G37" s="10">
        <f>COUNT(H37:$XEZ37)</f>
        <v>7</v>
      </c>
      <c r="H37" s="1"/>
      <c r="I37" s="1"/>
      <c r="J37" s="1"/>
      <c r="K37" s="1"/>
      <c r="L37" s="1"/>
      <c r="M37" s="1"/>
      <c r="N37" s="1">
        <v>16</v>
      </c>
      <c r="O37" s="1"/>
      <c r="P37" s="2">
        <v>0.5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H37" s="1"/>
      <c r="AI37" s="1"/>
      <c r="AL37" s="2">
        <v>4</v>
      </c>
      <c r="AM37" s="2">
        <v>4</v>
      </c>
      <c r="AN37" s="2">
        <v>2</v>
      </c>
      <c r="AT37" s="9" t="s">
        <v>42</v>
      </c>
      <c r="AW37" s="2">
        <v>9</v>
      </c>
      <c r="BC37" s="2">
        <v>16</v>
      </c>
      <c r="BI37" s="10" t="s">
        <v>80</v>
      </c>
      <c r="BJ37" s="10" t="s">
        <v>80</v>
      </c>
      <c r="BK37" s="10" t="s">
        <v>80</v>
      </c>
      <c r="BN37" s="1"/>
      <c r="BO37" s="2" t="s">
        <v>80</v>
      </c>
      <c r="BP37" s="2" t="s">
        <v>80</v>
      </c>
      <c r="BT37" s="9" t="s">
        <v>72</v>
      </c>
    </row>
    <row r="38" spans="1:74" s="2" customFormat="1" ht="16" customHeight="1">
      <c r="A38" s="2">
        <v>2023202662</v>
      </c>
      <c r="B38" s="2" t="s">
        <v>375</v>
      </c>
      <c r="C38" s="2" t="s">
        <v>82</v>
      </c>
      <c r="D38" s="2" t="s">
        <v>159</v>
      </c>
      <c r="E38" s="2" t="s">
        <v>339</v>
      </c>
      <c r="F38" s="1">
        <f>SUM(H38:$XED38)</f>
        <v>38.5</v>
      </c>
      <c r="G38" s="10">
        <f>COUNT(H38:$XEZ38)</f>
        <v>4</v>
      </c>
      <c r="H38" s="1"/>
      <c r="I38" s="1"/>
      <c r="J38" s="1"/>
      <c r="K38" s="1"/>
      <c r="L38" s="1"/>
      <c r="M38" s="1"/>
      <c r="N38" s="1"/>
      <c r="O38" s="1"/>
      <c r="P38" s="2">
        <v>0.5</v>
      </c>
      <c r="Q38" s="1"/>
      <c r="R38" s="1"/>
      <c r="S38" s="1"/>
      <c r="T38" s="1"/>
      <c r="U38" s="1">
        <v>16</v>
      </c>
      <c r="V38" s="1"/>
      <c r="W38" s="1"/>
      <c r="X38" s="1"/>
      <c r="Y38" s="1"/>
      <c r="Z38" s="1"/>
      <c r="AA38" s="1"/>
      <c r="AB38" s="1"/>
      <c r="AE38" s="2">
        <v>6</v>
      </c>
      <c r="AH38" s="1"/>
      <c r="AI38" s="1"/>
      <c r="AT38" s="9" t="s">
        <v>42</v>
      </c>
      <c r="BC38" s="2">
        <v>16</v>
      </c>
      <c r="BI38" s="10" t="s">
        <v>80</v>
      </c>
      <c r="BJ38" s="10" t="s">
        <v>80</v>
      </c>
      <c r="BK38" s="10" t="s">
        <v>80</v>
      </c>
      <c r="BN38" s="1"/>
      <c r="BO38" s="2" t="s">
        <v>80</v>
      </c>
      <c r="BP38" s="2" t="s">
        <v>80</v>
      </c>
      <c r="BT38" s="9" t="s">
        <v>72</v>
      </c>
    </row>
    <row r="39" spans="1:74" s="2" customFormat="1" ht="16" customHeight="1">
      <c r="A39" s="2">
        <v>2023202663</v>
      </c>
      <c r="B39" s="13" t="s">
        <v>166</v>
      </c>
      <c r="C39" s="2" t="s">
        <v>82</v>
      </c>
      <c r="D39" s="2" t="s">
        <v>159</v>
      </c>
      <c r="E39" s="2" t="s">
        <v>339</v>
      </c>
      <c r="F39" s="1">
        <f>SUM(H39:$XED39)</f>
        <v>32.5</v>
      </c>
      <c r="G39" s="10">
        <f>COUNT(H39:$XEZ39)</f>
        <v>3</v>
      </c>
      <c r="H39" s="1">
        <v>24</v>
      </c>
      <c r="I39" s="1"/>
      <c r="J39" s="1"/>
      <c r="K39" s="1"/>
      <c r="L39" s="1"/>
      <c r="M39" s="1"/>
      <c r="N39" s="1"/>
      <c r="O39" s="1"/>
      <c r="P39" s="2">
        <v>0.5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H39" s="1"/>
      <c r="AI39" s="1"/>
      <c r="AT39" s="9" t="s">
        <v>42</v>
      </c>
      <c r="BI39" s="10" t="s">
        <v>80</v>
      </c>
      <c r="BJ39" s="10" t="s">
        <v>80</v>
      </c>
      <c r="BK39" s="10" t="s">
        <v>80</v>
      </c>
      <c r="BN39" s="1">
        <v>8</v>
      </c>
      <c r="BO39" s="2" t="s">
        <v>80</v>
      </c>
      <c r="BP39" s="2" t="s">
        <v>80</v>
      </c>
      <c r="BT39" s="9" t="s">
        <v>72</v>
      </c>
    </row>
    <row r="40" spans="1:74" s="2" customFormat="1" ht="16" customHeight="1">
      <c r="A40" s="2">
        <v>2023202669</v>
      </c>
      <c r="B40" s="2" t="s">
        <v>376</v>
      </c>
      <c r="C40" s="2" t="s">
        <v>77</v>
      </c>
      <c r="D40" s="2" t="s">
        <v>159</v>
      </c>
      <c r="E40" s="2" t="s">
        <v>339</v>
      </c>
      <c r="F40" s="1">
        <f>SUM(H40:$XED40)</f>
        <v>157</v>
      </c>
      <c r="G40" s="10">
        <f>COUNT(H40:$XEZ40)</f>
        <v>8</v>
      </c>
      <c r="H40" s="1"/>
      <c r="I40" s="1">
        <v>0.5</v>
      </c>
      <c r="J40" s="1"/>
      <c r="K40" s="1">
        <v>2</v>
      </c>
      <c r="L40" s="1"/>
      <c r="M40" s="1"/>
      <c r="N40" s="1"/>
      <c r="O40" s="1"/>
      <c r="P40" s="2">
        <v>0.5</v>
      </c>
      <c r="Q40" s="1"/>
      <c r="R40" s="1"/>
      <c r="S40" s="1"/>
      <c r="T40" s="1">
        <v>20</v>
      </c>
      <c r="U40" s="1"/>
      <c r="V40" s="1"/>
      <c r="W40" s="1"/>
      <c r="X40" s="1"/>
      <c r="Y40" s="1"/>
      <c r="Z40" s="1"/>
      <c r="AA40" s="1"/>
      <c r="AB40" s="1"/>
      <c r="AE40" s="2">
        <v>4</v>
      </c>
      <c r="AH40" s="1"/>
      <c r="AI40" s="1"/>
      <c r="AL40" s="2">
        <v>4</v>
      </c>
      <c r="AR40" s="2">
        <v>4</v>
      </c>
      <c r="AS40" s="2">
        <v>122</v>
      </c>
      <c r="AT40" s="9" t="s">
        <v>42</v>
      </c>
      <c r="BI40" s="10" t="s">
        <v>80</v>
      </c>
      <c r="BJ40" s="10" t="s">
        <v>80</v>
      </c>
      <c r="BK40" s="10" t="s">
        <v>80</v>
      </c>
      <c r="BN40" s="1"/>
      <c r="BO40" s="2" t="s">
        <v>80</v>
      </c>
      <c r="BP40" s="2" t="s">
        <v>80</v>
      </c>
      <c r="BT40" s="9" t="s">
        <v>72</v>
      </c>
    </row>
    <row r="41" spans="1:74" s="2" customFormat="1" ht="16" customHeight="1">
      <c r="A41" s="2">
        <v>2023202671</v>
      </c>
      <c r="B41" s="2" t="s">
        <v>377</v>
      </c>
      <c r="C41" s="2" t="s">
        <v>77</v>
      </c>
      <c r="D41" s="2" t="s">
        <v>159</v>
      </c>
      <c r="E41" s="2" t="s">
        <v>339</v>
      </c>
      <c r="F41" s="1">
        <f>SUM(H41:$XED41)</f>
        <v>38</v>
      </c>
      <c r="G41" s="10">
        <f>COUNT(H41:$XEZ41)</f>
        <v>8</v>
      </c>
      <c r="H41" s="1"/>
      <c r="I41" s="1">
        <v>0.5</v>
      </c>
      <c r="J41" s="1"/>
      <c r="K41" s="1"/>
      <c r="L41" s="1"/>
      <c r="M41" s="1"/>
      <c r="N41" s="1">
        <v>16</v>
      </c>
      <c r="O41" s="1"/>
      <c r="P41" s="2">
        <v>0.5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4</v>
      </c>
      <c r="AH41" s="1"/>
      <c r="AI41" s="1"/>
      <c r="AL41" s="2">
        <v>4</v>
      </c>
      <c r="AN41" s="2">
        <v>2</v>
      </c>
      <c r="AT41" s="9" t="s">
        <v>42</v>
      </c>
      <c r="AW41" s="2">
        <v>9</v>
      </c>
      <c r="BI41" s="10" t="s">
        <v>80</v>
      </c>
      <c r="BJ41" s="10" t="s">
        <v>80</v>
      </c>
      <c r="BK41" s="10" t="s">
        <v>80</v>
      </c>
      <c r="BN41" s="1"/>
      <c r="BO41" s="2" t="s">
        <v>80</v>
      </c>
      <c r="BP41" s="2">
        <v>2</v>
      </c>
      <c r="BT41" s="9" t="s">
        <v>72</v>
      </c>
    </row>
    <row r="42" spans="1:74" s="2" customFormat="1" ht="16" customHeight="1">
      <c r="A42" s="2">
        <v>2023202673</v>
      </c>
      <c r="B42" s="2" t="s">
        <v>378</v>
      </c>
      <c r="C42" s="2" t="s">
        <v>82</v>
      </c>
      <c r="D42" s="2" t="s">
        <v>159</v>
      </c>
      <c r="E42" s="2" t="s">
        <v>339</v>
      </c>
      <c r="F42" s="1">
        <f>SUM(H42:$XED42)</f>
        <v>54</v>
      </c>
      <c r="G42" s="10">
        <f>COUNT(H42:$XEZ42)</f>
        <v>8</v>
      </c>
      <c r="H42" s="1"/>
      <c r="I42" s="1">
        <v>0.5</v>
      </c>
      <c r="J42" s="1"/>
      <c r="K42" s="1"/>
      <c r="L42" s="1"/>
      <c r="M42" s="1"/>
      <c r="N42" s="1"/>
      <c r="O42" s="1"/>
      <c r="P42" s="2">
        <v>0.5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H42" s="1"/>
      <c r="AI42" s="1"/>
      <c r="AL42" s="2">
        <v>4</v>
      </c>
      <c r="AM42" s="2">
        <v>4</v>
      </c>
      <c r="AR42" s="2">
        <v>4</v>
      </c>
      <c r="AS42" s="2">
        <v>35</v>
      </c>
      <c r="AT42" s="9" t="s">
        <v>42</v>
      </c>
      <c r="AZ42" s="2">
        <v>2</v>
      </c>
      <c r="BI42" s="10" t="s">
        <v>80</v>
      </c>
      <c r="BJ42" s="10" t="s">
        <v>80</v>
      </c>
      <c r="BK42" s="10" t="s">
        <v>80</v>
      </c>
      <c r="BN42" s="1"/>
      <c r="BO42" s="2">
        <v>4</v>
      </c>
      <c r="BP42" s="2" t="s">
        <v>80</v>
      </c>
      <c r="BT42" s="9" t="s">
        <v>72</v>
      </c>
    </row>
    <row r="43" spans="1:74" s="2" customFormat="1" ht="16" customHeight="1">
      <c r="A43" s="2">
        <v>2023202675</v>
      </c>
      <c r="B43" s="2" t="s">
        <v>379</v>
      </c>
      <c r="C43" s="2" t="s">
        <v>77</v>
      </c>
      <c r="D43" s="2" t="s">
        <v>159</v>
      </c>
      <c r="E43" s="2" t="s">
        <v>339</v>
      </c>
      <c r="F43" s="1">
        <f>SUM(H43:$XED43)</f>
        <v>76.5</v>
      </c>
      <c r="G43" s="10">
        <f>COUNT(H43:$XEZ43)</f>
        <v>10</v>
      </c>
      <c r="H43" s="1"/>
      <c r="I43" s="1">
        <v>2.5</v>
      </c>
      <c r="J43" s="1"/>
      <c r="K43" s="1"/>
      <c r="L43" s="1"/>
      <c r="M43" s="1">
        <v>22.5</v>
      </c>
      <c r="N43" s="1"/>
      <c r="O43" s="1"/>
      <c r="P43" s="2">
        <v>0.5</v>
      </c>
      <c r="Q43" s="1"/>
      <c r="R43" s="1"/>
      <c r="S43" s="1"/>
      <c r="T43" s="1">
        <v>20</v>
      </c>
      <c r="U43" s="1"/>
      <c r="V43" s="1"/>
      <c r="W43" s="1"/>
      <c r="X43" s="1"/>
      <c r="Y43" s="1"/>
      <c r="Z43" s="1"/>
      <c r="AA43" s="1"/>
      <c r="AB43" s="1"/>
      <c r="AD43" s="2">
        <v>4</v>
      </c>
      <c r="AH43" s="1"/>
      <c r="AI43" s="1"/>
      <c r="AL43" s="2">
        <v>4</v>
      </c>
      <c r="AM43" s="2">
        <v>4</v>
      </c>
      <c r="AS43" s="2">
        <v>10</v>
      </c>
      <c r="AT43" s="9" t="s">
        <v>42</v>
      </c>
      <c r="BE43" s="2">
        <v>5</v>
      </c>
      <c r="BI43" s="10" t="s">
        <v>80</v>
      </c>
      <c r="BJ43" s="10" t="s">
        <v>80</v>
      </c>
      <c r="BK43" s="10" t="s">
        <v>80</v>
      </c>
      <c r="BN43" s="1"/>
      <c r="BO43" s="2">
        <v>4</v>
      </c>
      <c r="BP43" s="2" t="s">
        <v>80</v>
      </c>
      <c r="BT43" s="9" t="s">
        <v>72</v>
      </c>
    </row>
    <row r="44" spans="1:74" s="2" customFormat="1" ht="16" customHeight="1">
      <c r="A44" s="2">
        <v>2023202677</v>
      </c>
      <c r="B44" s="2" t="s">
        <v>380</v>
      </c>
      <c r="C44" s="2" t="s">
        <v>82</v>
      </c>
      <c r="D44" s="2" t="s">
        <v>159</v>
      </c>
      <c r="E44" s="2" t="s">
        <v>339</v>
      </c>
      <c r="F44" s="1">
        <f>SUM(H44:$XED44)</f>
        <v>22</v>
      </c>
      <c r="G44" s="10">
        <f>COUNT(H44:$XEZ44)</f>
        <v>2</v>
      </c>
      <c r="H44" s="1"/>
      <c r="I44" s="1"/>
      <c r="J44" s="1"/>
      <c r="K44" s="1"/>
      <c r="L44" s="1"/>
      <c r="M44" s="1"/>
      <c r="N44" s="1"/>
      <c r="O44" s="1"/>
      <c r="P44" s="2">
        <v>0.5</v>
      </c>
      <c r="Q44" s="1">
        <v>21.5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H44" s="1"/>
      <c r="AI44" s="1"/>
      <c r="AT44" s="9" t="s">
        <v>42</v>
      </c>
      <c r="BI44" s="10" t="s">
        <v>80</v>
      </c>
      <c r="BJ44" s="10" t="s">
        <v>80</v>
      </c>
      <c r="BK44" s="10" t="s">
        <v>80</v>
      </c>
      <c r="BN44" s="1"/>
      <c r="BO44" s="2" t="s">
        <v>80</v>
      </c>
      <c r="BP44" s="2" t="s">
        <v>80</v>
      </c>
      <c r="BT44" s="9" t="s">
        <v>72</v>
      </c>
    </row>
    <row r="45" spans="1:74" s="2" customFormat="1" ht="16" customHeight="1">
      <c r="A45" s="2">
        <v>2023202685</v>
      </c>
      <c r="B45" s="2" t="s">
        <v>381</v>
      </c>
      <c r="C45" s="2" t="s">
        <v>82</v>
      </c>
      <c r="D45" s="2" t="s">
        <v>159</v>
      </c>
      <c r="E45" s="2" t="s">
        <v>339</v>
      </c>
      <c r="F45" s="1">
        <f>SUM(H45:$XED45)</f>
        <v>60.5</v>
      </c>
      <c r="G45" s="10">
        <f>COUNT(H45:$XEZ45)</f>
        <v>8</v>
      </c>
      <c r="H45" s="1"/>
      <c r="I45" s="1">
        <v>0.5</v>
      </c>
      <c r="J45" s="1"/>
      <c r="K45" s="1"/>
      <c r="L45" s="1"/>
      <c r="M45" s="1"/>
      <c r="N45" s="1">
        <v>16</v>
      </c>
      <c r="O45" s="1"/>
      <c r="P45" s="2">
        <v>0.5</v>
      </c>
      <c r="Q45" s="1"/>
      <c r="R45" s="1"/>
      <c r="S45" s="1"/>
      <c r="T45" s="1">
        <v>20</v>
      </c>
      <c r="U45" s="1"/>
      <c r="V45" s="1"/>
      <c r="W45" s="1"/>
      <c r="X45" s="1"/>
      <c r="Y45" s="1"/>
      <c r="Z45" s="1"/>
      <c r="AA45" s="1"/>
      <c r="AB45" s="1"/>
      <c r="AD45" s="2">
        <v>15</v>
      </c>
      <c r="AG45" s="2">
        <v>4</v>
      </c>
      <c r="AH45" s="1"/>
      <c r="AI45" s="1"/>
      <c r="AL45" s="2">
        <v>4</v>
      </c>
      <c r="AT45" s="9" t="s">
        <v>42</v>
      </c>
      <c r="BI45" s="10" t="s">
        <v>80</v>
      </c>
      <c r="BJ45" s="10" t="s">
        <v>80</v>
      </c>
      <c r="BK45" s="10">
        <v>0.5</v>
      </c>
      <c r="BN45" s="1"/>
      <c r="BO45" s="2" t="s">
        <v>80</v>
      </c>
      <c r="BP45" s="2" t="s">
        <v>80</v>
      </c>
      <c r="BT45" s="9" t="s">
        <v>72</v>
      </c>
    </row>
    <row r="46" spans="1:74" s="2" customFormat="1" ht="16" customHeight="1">
      <c r="A46" s="2">
        <v>2023202687</v>
      </c>
      <c r="B46" s="2" t="s">
        <v>382</v>
      </c>
      <c r="C46" s="2" t="s">
        <v>82</v>
      </c>
      <c r="D46" s="2" t="s">
        <v>159</v>
      </c>
      <c r="E46" s="2" t="s">
        <v>339</v>
      </c>
      <c r="F46" s="1">
        <f>SUM(H46:$XED46)</f>
        <v>9.5</v>
      </c>
      <c r="G46" s="10">
        <f>COUNT(H46:$XEZ46)</f>
        <v>4</v>
      </c>
      <c r="H46" s="1"/>
      <c r="I46" s="1">
        <v>1</v>
      </c>
      <c r="J46" s="1"/>
      <c r="K46" s="1"/>
      <c r="L46" s="1"/>
      <c r="M46" s="1"/>
      <c r="N46" s="1"/>
      <c r="O46" s="1"/>
      <c r="P46" s="2">
        <v>0.5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H46" s="1"/>
      <c r="AI46" s="1"/>
      <c r="AL46" s="2">
        <v>4</v>
      </c>
      <c r="AR46" s="2">
        <v>4</v>
      </c>
      <c r="AT46" s="9" t="s">
        <v>42</v>
      </c>
      <c r="BI46" s="10" t="s">
        <v>80</v>
      </c>
      <c r="BJ46" s="10" t="s">
        <v>80</v>
      </c>
      <c r="BK46" s="10" t="s">
        <v>80</v>
      </c>
      <c r="BN46" s="1"/>
      <c r="BO46" s="2" t="s">
        <v>80</v>
      </c>
      <c r="BP46" s="2" t="s">
        <v>80</v>
      </c>
      <c r="BT46" s="9" t="s">
        <v>72</v>
      </c>
    </row>
    <row r="47" spans="1:74" s="2" customFormat="1" ht="16" customHeight="1">
      <c r="A47" s="2">
        <v>2023202698</v>
      </c>
      <c r="B47" s="2" t="s">
        <v>383</v>
      </c>
      <c r="C47" s="2" t="s">
        <v>82</v>
      </c>
      <c r="D47" s="2" t="s">
        <v>159</v>
      </c>
      <c r="E47" s="2" t="s">
        <v>339</v>
      </c>
      <c r="F47" s="1">
        <f>SUM(H47:$XED47)</f>
        <v>51.5</v>
      </c>
      <c r="G47" s="10">
        <f>COUNT(H47:$XEZ47)</f>
        <v>5</v>
      </c>
      <c r="H47" s="1"/>
      <c r="I47" s="1"/>
      <c r="J47" s="1"/>
      <c r="K47" s="1"/>
      <c r="L47" s="1"/>
      <c r="M47" s="1"/>
      <c r="N47" s="1">
        <v>16</v>
      </c>
      <c r="O47" s="1"/>
      <c r="P47" s="2">
        <v>0.5</v>
      </c>
      <c r="Q47" s="1"/>
      <c r="R47" s="1"/>
      <c r="S47" s="1"/>
      <c r="T47" s="1"/>
      <c r="U47" s="1">
        <v>15</v>
      </c>
      <c r="V47" s="1"/>
      <c r="W47" s="1"/>
      <c r="X47" s="1"/>
      <c r="Y47" s="1"/>
      <c r="Z47" s="1"/>
      <c r="AA47" s="1"/>
      <c r="AB47" s="1"/>
      <c r="AH47" s="1"/>
      <c r="AI47" s="1"/>
      <c r="AM47" s="2">
        <v>4</v>
      </c>
      <c r="AT47" s="9" t="s">
        <v>42</v>
      </c>
      <c r="BC47" s="2">
        <v>16</v>
      </c>
      <c r="BI47" s="10" t="s">
        <v>80</v>
      </c>
      <c r="BJ47" s="10" t="s">
        <v>80</v>
      </c>
      <c r="BK47" s="10" t="s">
        <v>80</v>
      </c>
      <c r="BN47" s="1"/>
      <c r="BO47" s="2" t="s">
        <v>80</v>
      </c>
      <c r="BP47" s="2" t="s">
        <v>80</v>
      </c>
      <c r="BT47" s="9" t="s">
        <v>72</v>
      </c>
    </row>
    <row r="48" spans="1:74" s="2" customFormat="1" ht="16" customHeight="1">
      <c r="A48" s="2">
        <v>2023202701</v>
      </c>
      <c r="B48" s="2" t="s">
        <v>384</v>
      </c>
      <c r="C48" s="2" t="s">
        <v>82</v>
      </c>
      <c r="D48" s="2" t="s">
        <v>159</v>
      </c>
      <c r="E48" s="2" t="s">
        <v>339</v>
      </c>
      <c r="F48" s="1">
        <f>SUM(H48:$XED48)</f>
        <v>52.5</v>
      </c>
      <c r="G48" s="10">
        <f>COUNT(H48:$XEZ48)</f>
        <v>8</v>
      </c>
      <c r="H48" s="1"/>
      <c r="I48" s="1"/>
      <c r="J48" s="1"/>
      <c r="K48" s="1"/>
      <c r="L48" s="1"/>
      <c r="M48" s="1"/>
      <c r="N48" s="1">
        <v>16</v>
      </c>
      <c r="O48" s="1"/>
      <c r="P48" s="2">
        <v>0.5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H48" s="1"/>
      <c r="AI48" s="1"/>
      <c r="AL48" s="2">
        <v>4</v>
      </c>
      <c r="AM48" s="2">
        <v>4</v>
      </c>
      <c r="AN48" s="2">
        <v>4</v>
      </c>
      <c r="AT48" s="9" t="s">
        <v>42</v>
      </c>
      <c r="BC48" s="2">
        <v>16</v>
      </c>
      <c r="BI48" s="10" t="s">
        <v>80</v>
      </c>
      <c r="BJ48" s="10" t="s">
        <v>80</v>
      </c>
      <c r="BK48" s="10" t="s">
        <v>80</v>
      </c>
      <c r="BN48" s="1"/>
      <c r="BO48" s="2">
        <v>4</v>
      </c>
      <c r="BP48" s="2">
        <v>4</v>
      </c>
      <c r="BT48" s="9" t="s">
        <v>72</v>
      </c>
    </row>
    <row r="49" spans="1:72" s="2" customFormat="1" ht="16" customHeight="1">
      <c r="A49" s="2">
        <v>2023202704</v>
      </c>
      <c r="B49" s="2" t="s">
        <v>385</v>
      </c>
      <c r="C49" s="2" t="s">
        <v>77</v>
      </c>
      <c r="D49" s="2" t="s">
        <v>159</v>
      </c>
      <c r="E49" s="2" t="s">
        <v>339</v>
      </c>
      <c r="F49" s="1">
        <f>SUM(H49:$XED49)</f>
        <v>37.5</v>
      </c>
      <c r="G49" s="10">
        <f>COUNT(H49:$XEZ49)</f>
        <v>7</v>
      </c>
      <c r="H49" s="1"/>
      <c r="I49" s="1">
        <v>0.5</v>
      </c>
      <c r="J49" s="1"/>
      <c r="K49" s="1">
        <v>3</v>
      </c>
      <c r="L49" s="1"/>
      <c r="M49" s="1">
        <v>3</v>
      </c>
      <c r="N49" s="1"/>
      <c r="O49" s="1"/>
      <c r="P49" s="2">
        <v>0.5</v>
      </c>
      <c r="Q49" s="1"/>
      <c r="R49" s="1"/>
      <c r="S49" s="1"/>
      <c r="T49" s="1">
        <v>20</v>
      </c>
      <c r="U49" s="1"/>
      <c r="V49" s="1"/>
      <c r="W49" s="1"/>
      <c r="X49" s="1"/>
      <c r="Y49" s="1"/>
      <c r="Z49" s="1"/>
      <c r="AA49" s="1"/>
      <c r="AB49" s="1"/>
      <c r="AH49" s="1"/>
      <c r="AI49" s="1"/>
      <c r="AT49" s="9" t="s">
        <v>42</v>
      </c>
      <c r="AU49" s="2">
        <v>10</v>
      </c>
      <c r="AZ49" s="2">
        <v>0.5</v>
      </c>
      <c r="BI49" s="10" t="s">
        <v>80</v>
      </c>
      <c r="BJ49" s="10" t="s">
        <v>80</v>
      </c>
      <c r="BK49" s="10" t="s">
        <v>80</v>
      </c>
      <c r="BN49" s="1"/>
      <c r="BO49" s="2" t="s">
        <v>80</v>
      </c>
      <c r="BP49" s="2" t="s">
        <v>80</v>
      </c>
      <c r="BT49" s="9" t="s">
        <v>72</v>
      </c>
    </row>
    <row r="50" spans="1:72" s="2" customFormat="1" ht="16" customHeight="1">
      <c r="A50" s="2">
        <v>2023202707</v>
      </c>
      <c r="B50" s="2" t="s">
        <v>386</v>
      </c>
      <c r="C50" s="2" t="s">
        <v>77</v>
      </c>
      <c r="D50" s="2" t="s">
        <v>159</v>
      </c>
      <c r="E50" s="2" t="s">
        <v>339</v>
      </c>
      <c r="F50" s="1">
        <f>SUM(H50:$XED50)</f>
        <v>31</v>
      </c>
      <c r="G50" s="10">
        <f>COUNT(H50:$XEZ50)</f>
        <v>5</v>
      </c>
      <c r="H50" s="1"/>
      <c r="I50" s="1"/>
      <c r="J50" s="1"/>
      <c r="K50" s="1"/>
      <c r="L50" s="1"/>
      <c r="M50" s="1">
        <v>18.5</v>
      </c>
      <c r="N50" s="1"/>
      <c r="O50" s="1"/>
      <c r="P50" s="2">
        <v>0.5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G50" s="2">
        <v>4</v>
      </c>
      <c r="AH50" s="1"/>
      <c r="AI50" s="1"/>
      <c r="AL50" s="2">
        <v>4</v>
      </c>
      <c r="AT50" s="9" t="s">
        <v>42</v>
      </c>
      <c r="AV50" s="2">
        <v>4</v>
      </c>
      <c r="BI50" s="10" t="s">
        <v>80</v>
      </c>
      <c r="BJ50" s="10" t="s">
        <v>80</v>
      </c>
      <c r="BK50" s="10" t="s">
        <v>80</v>
      </c>
      <c r="BN50" s="1"/>
      <c r="BO50" s="2" t="s">
        <v>80</v>
      </c>
      <c r="BP50" s="2" t="s">
        <v>80</v>
      </c>
      <c r="BT50" s="9" t="s">
        <v>72</v>
      </c>
    </row>
    <row r="51" spans="1:72" s="2" customFormat="1" ht="16" customHeight="1">
      <c r="A51" s="2">
        <v>2023202710</v>
      </c>
      <c r="B51" s="2" t="s">
        <v>387</v>
      </c>
      <c r="C51" s="2" t="s">
        <v>77</v>
      </c>
      <c r="D51" s="2" t="s">
        <v>159</v>
      </c>
      <c r="E51" s="2" t="s">
        <v>339</v>
      </c>
      <c r="F51" s="1">
        <f>SUM(H51:$XED51)</f>
        <v>66</v>
      </c>
      <c r="G51" s="10">
        <f>COUNT(H51:$XEZ51)</f>
        <v>7</v>
      </c>
      <c r="H51" s="1"/>
      <c r="I51" s="1"/>
      <c r="J51" s="1"/>
      <c r="K51" s="1"/>
      <c r="L51" s="1"/>
      <c r="M51" s="1"/>
      <c r="N51" s="1"/>
      <c r="O51" s="1"/>
      <c r="P51" s="2">
        <v>0.5</v>
      </c>
      <c r="Q51" s="1"/>
      <c r="R51" s="1"/>
      <c r="S51" s="1">
        <v>4</v>
      </c>
      <c r="T51" s="1"/>
      <c r="U51" s="1"/>
      <c r="V51" s="1"/>
      <c r="W51" s="1"/>
      <c r="X51" s="1">
        <v>4.5</v>
      </c>
      <c r="Y51" s="1"/>
      <c r="Z51" s="1"/>
      <c r="AA51" s="1"/>
      <c r="AB51" s="1"/>
      <c r="AD51" s="2">
        <v>4</v>
      </c>
      <c r="AH51" s="1"/>
      <c r="AI51" s="1"/>
      <c r="AL51" s="2">
        <v>4</v>
      </c>
      <c r="AT51" s="9" t="s">
        <v>42</v>
      </c>
      <c r="AU51" s="2">
        <v>9</v>
      </c>
      <c r="BI51" s="10" t="s">
        <v>80</v>
      </c>
      <c r="BJ51" s="10" t="s">
        <v>80</v>
      </c>
      <c r="BK51" s="10" t="s">
        <v>80</v>
      </c>
      <c r="BN51" s="1"/>
      <c r="BO51" s="2" t="s">
        <v>80</v>
      </c>
      <c r="BP51" s="2" t="s">
        <v>80</v>
      </c>
      <c r="BQ51" s="2">
        <v>40</v>
      </c>
      <c r="BT51" s="9" t="s">
        <v>72</v>
      </c>
    </row>
    <row r="52" spans="1:72" s="2" customFormat="1" ht="16" customHeight="1">
      <c r="A52" s="2">
        <v>2023202712</v>
      </c>
      <c r="B52" s="2" t="s">
        <v>388</v>
      </c>
      <c r="C52" s="2" t="s">
        <v>82</v>
      </c>
      <c r="D52" s="2" t="s">
        <v>159</v>
      </c>
      <c r="E52" s="2" t="s">
        <v>339</v>
      </c>
      <c r="F52" s="1">
        <f>SUM(H52:$XED52)</f>
        <v>29.5</v>
      </c>
      <c r="G52" s="10">
        <f>COUNT(H52:$XEZ52)</f>
        <v>5</v>
      </c>
      <c r="H52" s="1"/>
      <c r="I52" s="1">
        <v>1</v>
      </c>
      <c r="J52" s="1"/>
      <c r="K52" s="1"/>
      <c r="L52" s="1"/>
      <c r="M52" s="1"/>
      <c r="N52" s="1"/>
      <c r="O52" s="1"/>
      <c r="P52" s="2">
        <v>0.5</v>
      </c>
      <c r="Q52" s="1"/>
      <c r="R52" s="1"/>
      <c r="S52" s="1"/>
      <c r="T52" s="1">
        <v>20</v>
      </c>
      <c r="U52" s="1"/>
      <c r="V52" s="1"/>
      <c r="W52" s="1"/>
      <c r="X52" s="1"/>
      <c r="Y52" s="1"/>
      <c r="Z52" s="1"/>
      <c r="AA52" s="1"/>
      <c r="AB52" s="1"/>
      <c r="AG52" s="2">
        <v>4</v>
      </c>
      <c r="AH52" s="1"/>
      <c r="AI52" s="1"/>
      <c r="AL52" s="2">
        <v>4</v>
      </c>
      <c r="AT52" s="9" t="s">
        <v>42</v>
      </c>
      <c r="BI52" s="10" t="s">
        <v>80</v>
      </c>
      <c r="BJ52" s="10" t="s">
        <v>80</v>
      </c>
      <c r="BK52" s="10" t="s">
        <v>80</v>
      </c>
      <c r="BN52" s="1"/>
      <c r="BO52" s="2" t="s">
        <v>80</v>
      </c>
      <c r="BP52" s="2" t="s">
        <v>80</v>
      </c>
      <c r="BT52" s="9" t="s">
        <v>72</v>
      </c>
    </row>
    <row r="53" spans="1:72" s="2" customFormat="1" ht="16" customHeight="1">
      <c r="A53" s="2">
        <v>2023202713</v>
      </c>
      <c r="B53" s="2" t="s">
        <v>389</v>
      </c>
      <c r="C53" s="2" t="s">
        <v>77</v>
      </c>
      <c r="D53" s="2" t="s">
        <v>159</v>
      </c>
      <c r="E53" s="2" t="s">
        <v>339</v>
      </c>
      <c r="F53" s="1">
        <f>SUM(H53:$XED53)</f>
        <v>65</v>
      </c>
      <c r="G53" s="10">
        <f>COUNT(H53:$XEZ53)</f>
        <v>11</v>
      </c>
      <c r="H53" s="1"/>
      <c r="I53" s="1">
        <v>0.5</v>
      </c>
      <c r="J53" s="1">
        <v>10</v>
      </c>
      <c r="K53" s="1"/>
      <c r="L53" s="1"/>
      <c r="M53" s="1">
        <v>21</v>
      </c>
      <c r="N53" s="1"/>
      <c r="O53" s="1"/>
      <c r="P53" s="2">
        <v>0.5</v>
      </c>
      <c r="Q53" s="1"/>
      <c r="R53" s="1"/>
      <c r="S53" s="1"/>
      <c r="T53" s="1">
        <v>2</v>
      </c>
      <c r="U53" s="1"/>
      <c r="V53" s="1"/>
      <c r="W53" s="1"/>
      <c r="X53" s="1"/>
      <c r="Y53" s="1"/>
      <c r="Z53" s="1"/>
      <c r="AA53" s="1"/>
      <c r="AB53" s="1"/>
      <c r="AD53" s="2">
        <v>3</v>
      </c>
      <c r="AG53" s="2">
        <v>4</v>
      </c>
      <c r="AH53" s="1"/>
      <c r="AI53" s="1"/>
      <c r="AL53" s="2">
        <v>4</v>
      </c>
      <c r="AM53" s="2">
        <v>4</v>
      </c>
      <c r="AO53" s="2">
        <v>12</v>
      </c>
      <c r="AT53" s="9" t="s">
        <v>42</v>
      </c>
      <c r="BI53" s="10" t="s">
        <v>80</v>
      </c>
      <c r="BJ53" s="10" t="s">
        <v>80</v>
      </c>
      <c r="BK53" s="10" t="s">
        <v>80</v>
      </c>
      <c r="BN53" s="1"/>
      <c r="BO53" s="2">
        <v>4</v>
      </c>
      <c r="BP53" s="2" t="s">
        <v>80</v>
      </c>
      <c r="BT53" s="9" t="s">
        <v>72</v>
      </c>
    </row>
    <row r="54" spans="1:72" s="2" customFormat="1" ht="16" customHeight="1">
      <c r="A54" s="2">
        <v>2023202716</v>
      </c>
      <c r="B54" s="2" t="s">
        <v>390</v>
      </c>
      <c r="C54" s="2" t="s">
        <v>82</v>
      </c>
      <c r="D54" s="2" t="s">
        <v>159</v>
      </c>
      <c r="E54" s="2" t="s">
        <v>339</v>
      </c>
      <c r="F54" s="1">
        <f>SUM(H54:$XED54)</f>
        <v>43</v>
      </c>
      <c r="G54" s="10">
        <f>COUNT(H54:$XEZ54)</f>
        <v>5</v>
      </c>
      <c r="H54" s="1"/>
      <c r="I54" s="1">
        <v>2.5</v>
      </c>
      <c r="J54" s="1"/>
      <c r="K54" s="1"/>
      <c r="L54" s="1"/>
      <c r="M54" s="1"/>
      <c r="N54" s="1"/>
      <c r="O54" s="1"/>
      <c r="P54" s="2">
        <v>0.5</v>
      </c>
      <c r="Q54" s="1"/>
      <c r="R54" s="1"/>
      <c r="S54" s="1"/>
      <c r="T54" s="1"/>
      <c r="U54" s="1">
        <v>24</v>
      </c>
      <c r="V54" s="1"/>
      <c r="W54" s="1"/>
      <c r="X54" s="1"/>
      <c r="Y54" s="1"/>
      <c r="Z54" s="1"/>
      <c r="AA54" s="1"/>
      <c r="AB54" s="1"/>
      <c r="AE54" s="2">
        <v>12</v>
      </c>
      <c r="AH54" s="1"/>
      <c r="AI54" s="1"/>
      <c r="AL54" s="2">
        <v>4</v>
      </c>
      <c r="AT54" s="9" t="s">
        <v>42</v>
      </c>
      <c r="BI54" s="10" t="s">
        <v>80</v>
      </c>
      <c r="BJ54" s="10" t="s">
        <v>80</v>
      </c>
      <c r="BK54" s="10" t="s">
        <v>80</v>
      </c>
      <c r="BN54" s="1"/>
      <c r="BO54" s="2" t="s">
        <v>80</v>
      </c>
      <c r="BP54" s="2" t="s">
        <v>80</v>
      </c>
      <c r="BT54" s="9" t="s">
        <v>72</v>
      </c>
    </row>
    <row r="55" spans="1:72" s="2" customFormat="1" ht="16" customHeight="1">
      <c r="A55" s="2">
        <v>2023202717</v>
      </c>
      <c r="B55" s="2" t="s">
        <v>391</v>
      </c>
      <c r="C55" s="2" t="s">
        <v>77</v>
      </c>
      <c r="D55" s="2" t="s">
        <v>159</v>
      </c>
      <c r="E55" s="2" t="s">
        <v>339</v>
      </c>
      <c r="F55" s="1">
        <f>SUM(H55:$XED55)</f>
        <v>87</v>
      </c>
      <c r="G55" s="10">
        <f>COUNT(H55:$XEZ55)</f>
        <v>12</v>
      </c>
      <c r="H55" s="1"/>
      <c r="I55" s="1">
        <v>0.5</v>
      </c>
      <c r="J55" s="1"/>
      <c r="K55" s="1">
        <v>2</v>
      </c>
      <c r="L55" s="1"/>
      <c r="M55" s="1"/>
      <c r="N55" s="1"/>
      <c r="O55" s="1"/>
      <c r="Q55" s="1"/>
      <c r="R55" s="1"/>
      <c r="S55" s="1"/>
      <c r="T55" s="1">
        <v>20</v>
      </c>
      <c r="U55" s="1"/>
      <c r="V55" s="1"/>
      <c r="W55" s="1"/>
      <c r="X55" s="1"/>
      <c r="Y55" s="1"/>
      <c r="Z55" s="1"/>
      <c r="AA55" s="1"/>
      <c r="AB55" s="1"/>
      <c r="AD55" s="2">
        <v>4</v>
      </c>
      <c r="AE55" s="2">
        <v>4</v>
      </c>
      <c r="AH55" s="1"/>
      <c r="AI55" s="1"/>
      <c r="AL55" s="2">
        <v>4</v>
      </c>
      <c r="AM55" s="2">
        <v>4</v>
      </c>
      <c r="AN55" s="2">
        <v>2</v>
      </c>
      <c r="AS55" s="2">
        <v>40</v>
      </c>
      <c r="AT55" s="9" t="s">
        <v>42</v>
      </c>
      <c r="BI55" s="10" t="s">
        <v>80</v>
      </c>
      <c r="BJ55" s="10" t="s">
        <v>80</v>
      </c>
      <c r="BK55" s="10">
        <v>0.5</v>
      </c>
      <c r="BN55" s="1"/>
      <c r="BO55" s="2">
        <v>4</v>
      </c>
      <c r="BP55" s="2">
        <v>2</v>
      </c>
      <c r="BT55" s="9" t="s">
        <v>72</v>
      </c>
    </row>
    <row r="56" spans="1:72" s="2" customFormat="1" ht="16" customHeight="1">
      <c r="A56" s="2">
        <v>2023202480</v>
      </c>
      <c r="B56" s="2" t="s">
        <v>76</v>
      </c>
      <c r="C56" s="2" t="s">
        <v>77</v>
      </c>
      <c r="D56" s="2" t="s">
        <v>78</v>
      </c>
      <c r="E56" s="2" t="s">
        <v>339</v>
      </c>
      <c r="F56" s="1" t="s">
        <v>392</v>
      </c>
      <c r="G56" s="10">
        <f>COUNT(H56:$XEZ56)</f>
        <v>0</v>
      </c>
      <c r="H56" s="1"/>
      <c r="I56" s="1"/>
      <c r="J56" s="1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H56" s="1"/>
      <c r="AI56" s="1"/>
      <c r="AT56" s="9" t="s">
        <v>42</v>
      </c>
      <c r="BN56" s="1"/>
      <c r="BP56" s="2" t="s">
        <v>80</v>
      </c>
      <c r="BT56" s="9" t="s">
        <v>72</v>
      </c>
    </row>
  </sheetData>
  <phoneticPr fontId="13" type="noConversion"/>
  <pageMargins left="0.75" right="0.75" top="1" bottom="1" header="0.5" footer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57"/>
  <sheetViews>
    <sheetView zoomScale="68" zoomScaleNormal="68" workbookViewId="0">
      <pane xSplit="7" ySplit="1" topLeftCell="BH2" activePane="bottomRight" state="frozen"/>
      <selection pane="topRight"/>
      <selection pane="bottomLeft"/>
      <selection pane="bottomRight" activeCell="BU1" sqref="BU1:BU1048576"/>
    </sheetView>
  </sheetViews>
  <sheetFormatPr baseColWidth="10" defaultColWidth="9.6640625" defaultRowHeight="17"/>
  <cols>
    <col min="1" max="1" width="9.5" style="4" hidden="1" customWidth="1"/>
    <col min="2" max="2" width="9.1640625" style="4" customWidth="1"/>
    <col min="3" max="3" width="4" style="4" customWidth="1"/>
    <col min="4" max="4" width="9.6640625" style="4" customWidth="1"/>
    <col min="5" max="6" width="7.83203125" style="4"/>
    <col min="7" max="7" width="9.6640625" style="4" customWidth="1"/>
    <col min="8" max="8" width="27.83203125" style="4" customWidth="1"/>
    <col min="9" max="9" width="18.83203125" style="4" customWidth="1"/>
    <col min="10" max="10" width="7.83203125" style="4"/>
    <col min="11" max="11" width="11.5" style="4" customWidth="1"/>
    <col min="12" max="12" width="10.83203125" style="4" customWidth="1"/>
    <col min="13" max="14" width="7.83203125" style="4"/>
    <col min="15" max="16" width="19.5" style="4" customWidth="1"/>
    <col min="17" max="17" width="10.83203125" style="4" customWidth="1"/>
    <col min="18" max="18" width="19.33203125" style="4" customWidth="1"/>
    <col min="19" max="19" width="11.83203125" style="4" customWidth="1"/>
    <col min="20" max="20" width="21" style="4" customWidth="1"/>
    <col min="21" max="21" width="7.83203125" style="4"/>
    <col min="22" max="22" width="9.5" style="4" customWidth="1"/>
    <col min="23" max="23" width="11" style="4" customWidth="1"/>
    <col min="24" max="24" width="13.6640625" style="4" customWidth="1"/>
    <col min="25" max="25" width="10.33203125" style="4" customWidth="1"/>
    <col min="26" max="26" width="10.6640625" style="4" customWidth="1"/>
    <col min="27" max="27" width="7.83203125" style="4"/>
    <col min="28" max="28" width="10.6640625" style="4" customWidth="1"/>
    <col min="29" max="29" width="9.6640625" style="4"/>
    <col min="30" max="30" width="20" style="4" customWidth="1"/>
    <col min="31" max="31" width="9.6640625" style="4"/>
    <col min="32" max="33" width="14" style="4" customWidth="1"/>
    <col min="34" max="35" width="10.5" style="4" customWidth="1"/>
    <col min="36" max="39" width="9.6640625" style="4"/>
    <col min="40" max="40" width="10.33203125" style="4" customWidth="1"/>
    <col min="41" max="44" width="9.6640625" style="4"/>
    <col min="45" max="45" width="8.6640625" style="4" customWidth="1"/>
    <col min="46" max="47" width="9.6640625" style="4"/>
    <col min="48" max="48" width="11.33203125" style="4" customWidth="1"/>
    <col min="49" max="50" width="13" style="4" customWidth="1"/>
    <col min="51" max="58" width="9.6640625" style="4"/>
    <col min="59" max="60" width="10.6640625" style="4" customWidth="1"/>
    <col min="61" max="62" width="9.6640625" style="4"/>
    <col min="63" max="63" width="13.6640625" style="4" customWidth="1"/>
    <col min="64" max="64" width="18.83203125" style="4" customWidth="1"/>
    <col min="65" max="65" width="20.1640625" customWidth="1"/>
    <col min="66" max="66" width="17.1640625" style="4" customWidth="1"/>
    <col min="67" max="68" width="9.6640625" style="4"/>
    <col min="69" max="69" width="11.5" style="4" customWidth="1"/>
    <col min="70" max="70" width="13" style="4" customWidth="1"/>
    <col min="71" max="71" width="8.6640625" style="4" customWidth="1"/>
    <col min="72" max="16384" width="9.6640625" style="4"/>
  </cols>
  <sheetData>
    <row r="1" spans="1:72" s="1" customFormat="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" t="s">
        <v>8</v>
      </c>
      <c r="J1" s="7" t="s">
        <v>9</v>
      </c>
      <c r="K1" s="1" t="s">
        <v>10</v>
      </c>
      <c r="L1" s="1" t="s">
        <v>393</v>
      </c>
      <c r="M1" s="8" t="s">
        <v>11</v>
      </c>
      <c r="N1" s="1" t="s">
        <v>110</v>
      </c>
      <c r="O1" s="1" t="s">
        <v>13</v>
      </c>
      <c r="P1" s="1" t="s">
        <v>14</v>
      </c>
      <c r="Q1" s="1" t="s">
        <v>15</v>
      </c>
      <c r="R1" s="1" t="s">
        <v>112</v>
      </c>
      <c r="S1" s="1" t="s">
        <v>17</v>
      </c>
      <c r="T1" s="1" t="s">
        <v>18</v>
      </c>
      <c r="U1" s="1" t="s">
        <v>170</v>
      </c>
      <c r="V1" s="1" t="s">
        <v>171</v>
      </c>
      <c r="W1" s="1" t="s">
        <v>114</v>
      </c>
      <c r="X1" s="1" t="s">
        <v>21</v>
      </c>
      <c r="Y1" s="1" t="s">
        <v>23</v>
      </c>
      <c r="Z1" s="1" t="s">
        <v>243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113</v>
      </c>
      <c r="AI1" s="1" t="s">
        <v>32</v>
      </c>
      <c r="AJ1" s="1" t="s">
        <v>33</v>
      </c>
      <c r="AK1" s="1" t="s">
        <v>34</v>
      </c>
      <c r="AL1" s="1" t="s">
        <v>394</v>
      </c>
      <c r="AM1" s="1" t="s">
        <v>35</v>
      </c>
      <c r="AN1" s="1" t="s">
        <v>36</v>
      </c>
      <c r="AO1" s="1" t="s">
        <v>37</v>
      </c>
      <c r="AP1" s="1" t="s">
        <v>41</v>
      </c>
      <c r="AQ1" s="1" t="s">
        <v>11</v>
      </c>
      <c r="AR1" s="1" t="s">
        <v>40</v>
      </c>
      <c r="AS1" s="9" t="s">
        <v>42</v>
      </c>
      <c r="AT1" s="1" t="s">
        <v>117</v>
      </c>
      <c r="AU1" s="1" t="s">
        <v>44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52</v>
      </c>
      <c r="BA1" s="1" t="s">
        <v>53</v>
      </c>
      <c r="BB1" s="1" t="s">
        <v>54</v>
      </c>
      <c r="BC1" s="1" t="s">
        <v>174</v>
      </c>
      <c r="BD1" s="1" t="s">
        <v>55</v>
      </c>
      <c r="BE1" s="2" t="s">
        <v>56</v>
      </c>
      <c r="BF1" s="1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" t="s">
        <v>64</v>
      </c>
      <c r="BL1" s="1" t="s">
        <v>70</v>
      </c>
      <c r="BM1" s="10" t="s">
        <v>119</v>
      </c>
      <c r="BN1" s="1" t="s">
        <v>66</v>
      </c>
      <c r="BO1" s="1" t="s">
        <v>67</v>
      </c>
      <c r="BP1" s="1" t="s">
        <v>69</v>
      </c>
      <c r="BQ1" s="1" t="s">
        <v>215</v>
      </c>
      <c r="BR1" s="1" t="s">
        <v>216</v>
      </c>
      <c r="BS1" s="9" t="s">
        <v>72</v>
      </c>
      <c r="BT1" s="1" t="s">
        <v>395</v>
      </c>
    </row>
    <row r="2" spans="1:72" s="2" customFormat="1" ht="16" customHeight="1">
      <c r="A2" s="2">
        <v>2023202559</v>
      </c>
      <c r="B2" s="2" t="s">
        <v>396</v>
      </c>
      <c r="C2" s="2" t="s">
        <v>82</v>
      </c>
      <c r="D2" s="2" t="s">
        <v>159</v>
      </c>
      <c r="E2" s="2" t="s">
        <v>397</v>
      </c>
      <c r="F2" s="1">
        <f>SUM(H2:$XEU2)</f>
        <v>74</v>
      </c>
      <c r="G2" s="10">
        <f>COUNT(H2:$XFC2)</f>
        <v>3</v>
      </c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H2" s="1"/>
      <c r="AI2" s="1"/>
      <c r="AP2" s="2">
        <v>56</v>
      </c>
      <c r="AS2" s="9" t="s">
        <v>42</v>
      </c>
      <c r="AW2" s="2">
        <v>2</v>
      </c>
      <c r="BA2" s="2">
        <v>16</v>
      </c>
      <c r="BG2" s="10" t="s">
        <v>80</v>
      </c>
      <c r="BH2" s="10" t="s">
        <v>80</v>
      </c>
      <c r="BI2" s="10" t="s">
        <v>80</v>
      </c>
      <c r="BL2" s="1"/>
      <c r="BM2" s="10" t="s">
        <v>80</v>
      </c>
      <c r="BN2" s="2" t="s">
        <v>80</v>
      </c>
      <c r="BO2" s="2" t="s">
        <v>80</v>
      </c>
      <c r="BS2" s="9" t="s">
        <v>72</v>
      </c>
    </row>
    <row r="3" spans="1:72" s="2" customFormat="1" ht="16" customHeight="1">
      <c r="A3" s="2">
        <v>2023202565</v>
      </c>
      <c r="B3" s="2" t="s">
        <v>398</v>
      </c>
      <c r="C3" s="2" t="s">
        <v>82</v>
      </c>
      <c r="D3" s="2" t="s">
        <v>159</v>
      </c>
      <c r="E3" s="2" t="s">
        <v>397</v>
      </c>
      <c r="F3" s="1">
        <f>SUM(H3:$XEU3)</f>
        <v>28.5</v>
      </c>
      <c r="G3" s="10">
        <f>COUNT(H3:$XFC3)</f>
        <v>5</v>
      </c>
      <c r="H3" s="1"/>
      <c r="I3" s="1"/>
      <c r="J3" s="1"/>
      <c r="K3" s="1"/>
      <c r="L3" s="1"/>
      <c r="M3" s="1"/>
      <c r="N3" s="1"/>
      <c r="O3" s="1">
        <v>16</v>
      </c>
      <c r="P3" s="1"/>
      <c r="Q3" s="2">
        <v>0.5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H3" s="1"/>
      <c r="AI3" s="1"/>
      <c r="AM3" s="2">
        <v>4</v>
      </c>
      <c r="AO3" s="2">
        <v>4</v>
      </c>
      <c r="AS3" s="9" t="s">
        <v>42</v>
      </c>
      <c r="BG3" s="10" t="s">
        <v>80</v>
      </c>
      <c r="BH3" s="10" t="s">
        <v>80</v>
      </c>
      <c r="BI3" s="10" t="s">
        <v>80</v>
      </c>
      <c r="BL3" s="1"/>
      <c r="BM3" s="10" t="s">
        <v>80</v>
      </c>
      <c r="BN3" s="2" t="s">
        <v>80</v>
      </c>
      <c r="BO3" s="2">
        <v>4</v>
      </c>
      <c r="BS3" s="9" t="s">
        <v>72</v>
      </c>
    </row>
    <row r="4" spans="1:72" s="2" customFormat="1" ht="16" customHeight="1">
      <c r="A4" s="2">
        <v>2023202570</v>
      </c>
      <c r="B4" s="2" t="s">
        <v>399</v>
      </c>
      <c r="C4" s="2" t="s">
        <v>77</v>
      </c>
      <c r="D4" s="2" t="s">
        <v>159</v>
      </c>
      <c r="E4" s="2" t="s">
        <v>397</v>
      </c>
      <c r="F4" s="1">
        <f>SUM(H4:$XEU4)</f>
        <v>64</v>
      </c>
      <c r="G4" s="10">
        <f>COUNT(H4:$XFC4)</f>
        <v>10</v>
      </c>
      <c r="H4" s="1">
        <v>4</v>
      </c>
      <c r="I4" s="1">
        <v>1.5</v>
      </c>
      <c r="J4" s="1"/>
      <c r="K4" s="1">
        <v>2</v>
      </c>
      <c r="L4" s="1"/>
      <c r="M4" s="1"/>
      <c r="N4" s="1">
        <v>21</v>
      </c>
      <c r="O4" s="1"/>
      <c r="P4" s="1"/>
      <c r="Q4" s="2">
        <v>0.5</v>
      </c>
      <c r="R4" s="1"/>
      <c r="S4" s="1"/>
      <c r="T4" s="1">
        <v>20</v>
      </c>
      <c r="U4" s="1"/>
      <c r="V4" s="1"/>
      <c r="W4" s="1"/>
      <c r="X4" s="1">
        <v>5</v>
      </c>
      <c r="Y4" s="1"/>
      <c r="Z4" s="1"/>
      <c r="AA4" s="1"/>
      <c r="AB4" s="1"/>
      <c r="AH4" s="1"/>
      <c r="AI4" s="1"/>
      <c r="AM4" s="2">
        <v>4</v>
      </c>
      <c r="AN4" s="2">
        <v>4</v>
      </c>
      <c r="AO4" s="2">
        <v>2</v>
      </c>
      <c r="AS4" s="9" t="s">
        <v>42</v>
      </c>
      <c r="BG4" s="10" t="s">
        <v>80</v>
      </c>
      <c r="BH4" s="10" t="s">
        <v>80</v>
      </c>
      <c r="BI4" s="10" t="s">
        <v>80</v>
      </c>
      <c r="BL4" s="1"/>
      <c r="BM4" s="10" t="s">
        <v>80</v>
      </c>
      <c r="BN4" s="2" t="s">
        <v>80</v>
      </c>
      <c r="BO4" s="2" t="s">
        <v>80</v>
      </c>
      <c r="BS4" s="9" t="s">
        <v>72</v>
      </c>
    </row>
    <row r="5" spans="1:72" s="2" customFormat="1" ht="16" customHeight="1">
      <c r="A5" s="2">
        <v>2023202572</v>
      </c>
      <c r="B5" s="2" t="s">
        <v>400</v>
      </c>
      <c r="C5" s="2" t="s">
        <v>77</v>
      </c>
      <c r="D5" s="2" t="s">
        <v>159</v>
      </c>
      <c r="E5" s="2" t="s">
        <v>397</v>
      </c>
      <c r="F5" s="1">
        <f>SUM(H5:$XEU5)</f>
        <v>55</v>
      </c>
      <c r="G5" s="10">
        <f>COUNT(H5:$XFC5)</f>
        <v>10</v>
      </c>
      <c r="H5" s="1"/>
      <c r="I5" s="1">
        <v>0.5</v>
      </c>
      <c r="J5" s="1"/>
      <c r="K5" s="1">
        <v>2</v>
      </c>
      <c r="L5" s="1"/>
      <c r="M5" s="1"/>
      <c r="N5" s="1"/>
      <c r="O5" s="1"/>
      <c r="P5" s="1"/>
      <c r="Q5" s="2">
        <v>0.5</v>
      </c>
      <c r="R5" s="1"/>
      <c r="S5" s="1">
        <v>5</v>
      </c>
      <c r="T5" s="1"/>
      <c r="U5" s="1"/>
      <c r="V5" s="1"/>
      <c r="W5" s="1"/>
      <c r="X5" s="1"/>
      <c r="Y5" s="1"/>
      <c r="Z5" s="1"/>
      <c r="AA5" s="1"/>
      <c r="AB5" s="1"/>
      <c r="AD5" s="2">
        <v>4</v>
      </c>
      <c r="AH5" s="1"/>
      <c r="AI5" s="1"/>
      <c r="AM5" s="2">
        <v>4</v>
      </c>
      <c r="AN5" s="2">
        <v>4</v>
      </c>
      <c r="AS5" s="9" t="s">
        <v>42</v>
      </c>
      <c r="BF5" s="2">
        <v>4</v>
      </c>
      <c r="BG5" s="10" t="s">
        <v>80</v>
      </c>
      <c r="BH5" s="10" t="s">
        <v>80</v>
      </c>
      <c r="BI5" s="10">
        <v>2</v>
      </c>
      <c r="BL5" s="1"/>
      <c r="BM5" s="10" t="s">
        <v>80</v>
      </c>
      <c r="BN5" s="2" t="s">
        <v>80</v>
      </c>
      <c r="BO5" s="2" t="s">
        <v>80</v>
      </c>
      <c r="BS5" s="9" t="s">
        <v>72</v>
      </c>
      <c r="BT5" s="2">
        <v>29</v>
      </c>
    </row>
    <row r="6" spans="1:72" s="2" customFormat="1" ht="16" customHeight="1">
      <c r="A6" s="2">
        <v>2023202574</v>
      </c>
      <c r="B6" s="2" t="s">
        <v>401</v>
      </c>
      <c r="C6" s="2" t="s">
        <v>77</v>
      </c>
      <c r="D6" s="2" t="s">
        <v>159</v>
      </c>
      <c r="E6" s="2" t="s">
        <v>397</v>
      </c>
      <c r="F6" s="1">
        <f>SUM(H6:$XEU6)</f>
        <v>50.5</v>
      </c>
      <c r="G6" s="10">
        <f>COUNT(H6:$XFC6)</f>
        <v>7</v>
      </c>
      <c r="H6" s="1"/>
      <c r="I6" s="1"/>
      <c r="J6" s="1"/>
      <c r="K6" s="1"/>
      <c r="L6" s="1"/>
      <c r="M6" s="1"/>
      <c r="N6" s="1"/>
      <c r="O6" s="1">
        <v>16</v>
      </c>
      <c r="P6" s="1"/>
      <c r="Q6" s="2">
        <v>0.5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E6" s="2">
        <v>18</v>
      </c>
      <c r="AH6" s="1"/>
      <c r="AI6" s="1"/>
      <c r="AM6" s="2">
        <v>4</v>
      </c>
      <c r="AN6" s="2">
        <v>4</v>
      </c>
      <c r="AO6" s="2">
        <v>4</v>
      </c>
      <c r="AS6" s="9" t="s">
        <v>42</v>
      </c>
      <c r="BC6" s="2">
        <v>4</v>
      </c>
      <c r="BG6" s="10" t="s">
        <v>80</v>
      </c>
      <c r="BH6" s="10" t="s">
        <v>80</v>
      </c>
      <c r="BI6" s="10" t="s">
        <v>80</v>
      </c>
      <c r="BL6" s="1"/>
      <c r="BM6" s="10" t="s">
        <v>80</v>
      </c>
      <c r="BN6" s="2" t="s">
        <v>80</v>
      </c>
      <c r="BO6" s="2" t="s">
        <v>80</v>
      </c>
      <c r="BS6" s="9" t="s">
        <v>72</v>
      </c>
    </row>
    <row r="7" spans="1:72" s="2" customFormat="1" ht="16" customHeight="1">
      <c r="A7" s="2">
        <v>2023202575</v>
      </c>
      <c r="B7" s="2" t="s">
        <v>402</v>
      </c>
      <c r="C7" s="2" t="s">
        <v>82</v>
      </c>
      <c r="D7" s="2" t="s">
        <v>159</v>
      </c>
      <c r="E7" s="2" t="s">
        <v>397</v>
      </c>
      <c r="F7" s="1">
        <f>SUM(H7:$XEU7)</f>
        <v>4</v>
      </c>
      <c r="G7" s="10">
        <f>COUNT(H7:$XFC7)</f>
        <v>1</v>
      </c>
      <c r="H7" s="1"/>
      <c r="I7" s="1"/>
      <c r="J7" s="1"/>
      <c r="K7" s="1"/>
      <c r="L7" s="1"/>
      <c r="M7" s="1"/>
      <c r="N7" s="1"/>
      <c r="O7" s="1"/>
      <c r="P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F7" s="2">
        <v>4</v>
      </c>
      <c r="AH7" s="1"/>
      <c r="AI7" s="1"/>
      <c r="AS7" s="9" t="s">
        <v>42</v>
      </c>
      <c r="BG7" s="10" t="s">
        <v>80</v>
      </c>
      <c r="BH7" s="10" t="s">
        <v>80</v>
      </c>
      <c r="BI7" s="10" t="s">
        <v>80</v>
      </c>
      <c r="BL7" s="1"/>
      <c r="BM7" s="10" t="s">
        <v>80</v>
      </c>
      <c r="BN7" s="2" t="s">
        <v>80</v>
      </c>
      <c r="BO7" s="2" t="s">
        <v>80</v>
      </c>
      <c r="BS7" s="9" t="s">
        <v>72</v>
      </c>
    </row>
    <row r="8" spans="1:72" s="2" customFormat="1" ht="16" customHeight="1">
      <c r="A8" s="2">
        <v>2023202582</v>
      </c>
      <c r="B8" s="2" t="s">
        <v>403</v>
      </c>
      <c r="C8" s="2" t="s">
        <v>77</v>
      </c>
      <c r="D8" s="2" t="s">
        <v>159</v>
      </c>
      <c r="E8" s="2" t="s">
        <v>397</v>
      </c>
      <c r="F8" s="1">
        <f>SUM(H8:$XEU8)</f>
        <v>42</v>
      </c>
      <c r="G8" s="10">
        <f>COUNT(H8:$XFC8)</f>
        <v>9</v>
      </c>
      <c r="H8" s="1"/>
      <c r="I8" s="1">
        <v>2.5</v>
      </c>
      <c r="J8" s="1"/>
      <c r="K8" s="1">
        <v>2</v>
      </c>
      <c r="L8" s="1"/>
      <c r="M8" s="1"/>
      <c r="N8" s="1"/>
      <c r="O8" s="1"/>
      <c r="P8" s="1"/>
      <c r="Q8" s="2">
        <v>0.5</v>
      </c>
      <c r="R8" s="1"/>
      <c r="S8" s="1">
        <v>5</v>
      </c>
      <c r="T8" s="1">
        <v>20</v>
      </c>
      <c r="U8" s="1"/>
      <c r="V8" s="1"/>
      <c r="W8" s="1"/>
      <c r="X8" s="1"/>
      <c r="Y8" s="1"/>
      <c r="Z8" s="1"/>
      <c r="AA8" s="1">
        <v>4.5</v>
      </c>
      <c r="AB8" s="1"/>
      <c r="AH8" s="1"/>
      <c r="AI8" s="1"/>
      <c r="AM8" s="2">
        <v>4</v>
      </c>
      <c r="AO8" s="2">
        <v>2</v>
      </c>
      <c r="AS8" s="9" t="s">
        <v>42</v>
      </c>
      <c r="BG8" s="10" t="s">
        <v>80</v>
      </c>
      <c r="BH8" s="10" t="s">
        <v>80</v>
      </c>
      <c r="BI8" s="10">
        <v>1.5</v>
      </c>
      <c r="BL8" s="1"/>
      <c r="BM8" s="10" t="s">
        <v>80</v>
      </c>
      <c r="BN8" s="2" t="s">
        <v>80</v>
      </c>
      <c r="BO8" s="2" t="s">
        <v>80</v>
      </c>
      <c r="BS8" s="9" t="s">
        <v>72</v>
      </c>
    </row>
    <row r="9" spans="1:72" s="2" customFormat="1" ht="16" customHeight="1">
      <c r="A9" s="2">
        <v>2023202584</v>
      </c>
      <c r="B9" s="2" t="s">
        <v>404</v>
      </c>
      <c r="C9" s="2" t="s">
        <v>77</v>
      </c>
      <c r="D9" s="2" t="s">
        <v>159</v>
      </c>
      <c r="E9" s="2" t="s">
        <v>397</v>
      </c>
      <c r="F9" s="1">
        <f>SUM(H9:$XEU9)</f>
        <v>35</v>
      </c>
      <c r="G9" s="10">
        <f>COUNT(H9:$XFC9)</f>
        <v>6</v>
      </c>
      <c r="H9" s="1"/>
      <c r="I9" s="1">
        <v>0.5</v>
      </c>
      <c r="J9" s="1"/>
      <c r="K9" s="1">
        <v>2</v>
      </c>
      <c r="L9" s="1"/>
      <c r="M9" s="1"/>
      <c r="N9" s="1"/>
      <c r="O9" s="1"/>
      <c r="P9" s="1"/>
      <c r="Q9" s="2">
        <v>0.5</v>
      </c>
      <c r="R9" s="1"/>
      <c r="S9" s="1">
        <v>8</v>
      </c>
      <c r="T9" s="1">
        <v>20</v>
      </c>
      <c r="U9" s="1"/>
      <c r="V9" s="1"/>
      <c r="W9" s="1"/>
      <c r="X9" s="1"/>
      <c r="Y9" s="1"/>
      <c r="Z9" s="1"/>
      <c r="AA9" s="1"/>
      <c r="AB9" s="1"/>
      <c r="AH9" s="1"/>
      <c r="AI9" s="1"/>
      <c r="AS9" s="9" t="s">
        <v>42</v>
      </c>
      <c r="AU9" s="2">
        <v>4</v>
      </c>
      <c r="BG9" s="10" t="s">
        <v>80</v>
      </c>
      <c r="BH9" s="10" t="s">
        <v>80</v>
      </c>
      <c r="BI9" s="10" t="s">
        <v>80</v>
      </c>
      <c r="BL9" s="1"/>
      <c r="BM9" s="10" t="s">
        <v>80</v>
      </c>
      <c r="BN9" s="2" t="s">
        <v>80</v>
      </c>
      <c r="BO9" s="2" t="s">
        <v>80</v>
      </c>
      <c r="BS9" s="9" t="s">
        <v>72</v>
      </c>
    </row>
    <row r="10" spans="1:72" s="2" customFormat="1" ht="16" customHeight="1">
      <c r="A10" s="2">
        <v>2023202585</v>
      </c>
      <c r="B10" s="2" t="s">
        <v>405</v>
      </c>
      <c r="C10" s="2" t="s">
        <v>77</v>
      </c>
      <c r="D10" s="2" t="s">
        <v>159</v>
      </c>
      <c r="E10" s="2" t="s">
        <v>397</v>
      </c>
      <c r="F10" s="1">
        <f>SUM(H10:$XEU10)</f>
        <v>84.5</v>
      </c>
      <c r="G10" s="10">
        <f>COUNT(H10:$XFC10)</f>
        <v>8</v>
      </c>
      <c r="H10" s="1"/>
      <c r="I10" s="1">
        <v>0.5</v>
      </c>
      <c r="J10" s="1"/>
      <c r="K10" s="1"/>
      <c r="L10" s="1"/>
      <c r="M10" s="1"/>
      <c r="N10" s="1"/>
      <c r="O10" s="1">
        <v>16</v>
      </c>
      <c r="P10" s="1"/>
      <c r="R10" s="1"/>
      <c r="S10" s="1">
        <v>5</v>
      </c>
      <c r="T10" s="1"/>
      <c r="U10" s="1"/>
      <c r="V10" s="1"/>
      <c r="W10" s="1"/>
      <c r="X10" s="1"/>
      <c r="Y10" s="1"/>
      <c r="Z10" s="1"/>
      <c r="AA10" s="1"/>
      <c r="AB10" s="1"/>
      <c r="AH10" s="1"/>
      <c r="AI10" s="1"/>
      <c r="AM10" s="2">
        <v>4</v>
      </c>
      <c r="AN10" s="2">
        <v>4</v>
      </c>
      <c r="AO10" s="2">
        <v>2</v>
      </c>
      <c r="AS10" s="9" t="s">
        <v>42</v>
      </c>
      <c r="BA10" s="2">
        <v>16</v>
      </c>
      <c r="BG10" s="10" t="s">
        <v>80</v>
      </c>
      <c r="BH10" s="10" t="s">
        <v>80</v>
      </c>
      <c r="BI10" s="10" t="s">
        <v>80</v>
      </c>
      <c r="BL10" s="1"/>
      <c r="BM10" s="10" t="s">
        <v>80</v>
      </c>
      <c r="BN10" s="2" t="s">
        <v>80</v>
      </c>
      <c r="BO10" s="2" t="s">
        <v>80</v>
      </c>
      <c r="BS10" s="9" t="s">
        <v>72</v>
      </c>
      <c r="BT10" s="2">
        <v>37</v>
      </c>
    </row>
    <row r="11" spans="1:72" s="2" customFormat="1" ht="16" customHeight="1">
      <c r="A11" s="2">
        <v>2023202590</v>
      </c>
      <c r="B11" s="2" t="s">
        <v>406</v>
      </c>
      <c r="C11" s="2" t="s">
        <v>82</v>
      </c>
      <c r="D11" s="2" t="s">
        <v>159</v>
      </c>
      <c r="E11" s="2" t="s">
        <v>397</v>
      </c>
      <c r="F11" s="1">
        <f>SUM(H11:$XEU11)</f>
        <v>42</v>
      </c>
      <c r="G11" s="10">
        <f>COUNT(H11:$XFC11)</f>
        <v>5</v>
      </c>
      <c r="H11" s="1"/>
      <c r="I11" s="1"/>
      <c r="J11" s="1"/>
      <c r="K11" s="1"/>
      <c r="L11" s="1"/>
      <c r="M11" s="1"/>
      <c r="N11" s="1"/>
      <c r="O11" s="1">
        <v>16</v>
      </c>
      <c r="P11" s="1"/>
      <c r="R11" s="1">
        <v>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H11" s="1"/>
      <c r="AI11" s="1"/>
      <c r="AM11" s="2">
        <v>4</v>
      </c>
      <c r="AN11" s="2">
        <v>4</v>
      </c>
      <c r="AS11" s="9" t="s">
        <v>42</v>
      </c>
      <c r="BA11" s="2">
        <v>16</v>
      </c>
      <c r="BG11" s="10" t="s">
        <v>80</v>
      </c>
      <c r="BH11" s="10" t="s">
        <v>80</v>
      </c>
      <c r="BI11" s="10" t="s">
        <v>80</v>
      </c>
      <c r="BL11" s="1"/>
      <c r="BM11" s="10" t="s">
        <v>80</v>
      </c>
      <c r="BN11" s="2" t="s">
        <v>80</v>
      </c>
      <c r="BO11" s="2" t="s">
        <v>80</v>
      </c>
      <c r="BS11" s="9" t="s">
        <v>72</v>
      </c>
    </row>
    <row r="12" spans="1:72" s="2" customFormat="1" ht="16" customHeight="1">
      <c r="A12" s="2">
        <v>2023202591</v>
      </c>
      <c r="B12" s="2" t="s">
        <v>407</v>
      </c>
      <c r="C12" s="2" t="s">
        <v>82</v>
      </c>
      <c r="D12" s="2" t="s">
        <v>159</v>
      </c>
      <c r="E12" s="2" t="s">
        <v>397</v>
      </c>
      <c r="F12" s="1">
        <f>SUM(H12:$XEU12)</f>
        <v>0.5</v>
      </c>
      <c r="G12" s="10">
        <f>COUNT(H12:$XFC12)</f>
        <v>1</v>
      </c>
      <c r="H12" s="1"/>
      <c r="I12" s="1"/>
      <c r="J12" s="1"/>
      <c r="K12" s="1"/>
      <c r="L12" s="1"/>
      <c r="M12" s="1"/>
      <c r="N12" s="1"/>
      <c r="O12" s="1"/>
      <c r="P12" s="1"/>
      <c r="Q12" s="2">
        <v>0.5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H12" s="1"/>
      <c r="AI12" s="1"/>
      <c r="AS12" s="9" t="s">
        <v>42</v>
      </c>
      <c r="BG12" s="10" t="s">
        <v>80</v>
      </c>
      <c r="BH12" s="10" t="s">
        <v>80</v>
      </c>
      <c r="BI12" s="10" t="s">
        <v>80</v>
      </c>
      <c r="BL12" s="1"/>
      <c r="BM12" s="10" t="s">
        <v>80</v>
      </c>
      <c r="BN12" s="2" t="s">
        <v>80</v>
      </c>
      <c r="BO12" s="2" t="s">
        <v>80</v>
      </c>
      <c r="BS12" s="9" t="s">
        <v>72</v>
      </c>
    </row>
    <row r="13" spans="1:72" s="2" customFormat="1" ht="16" customHeight="1">
      <c r="A13" s="2">
        <v>2023202600</v>
      </c>
      <c r="B13" s="2" t="s">
        <v>408</v>
      </c>
      <c r="C13" s="2" t="s">
        <v>77</v>
      </c>
      <c r="D13" s="2" t="s">
        <v>159</v>
      </c>
      <c r="E13" s="2" t="s">
        <v>397</v>
      </c>
      <c r="F13" s="1">
        <f>SUM(H13:$XEU13)</f>
        <v>53.5</v>
      </c>
      <c r="G13" s="10">
        <f>COUNT(H13:$XFC13)</f>
        <v>7</v>
      </c>
      <c r="H13" s="1"/>
      <c r="I13" s="1">
        <v>0.5</v>
      </c>
      <c r="J13" s="1"/>
      <c r="K13" s="1">
        <v>2</v>
      </c>
      <c r="L13" s="1"/>
      <c r="M13" s="1"/>
      <c r="N13" s="1"/>
      <c r="O13" s="1"/>
      <c r="P13" s="1"/>
      <c r="Q13" s="2">
        <v>0.5</v>
      </c>
      <c r="R13" s="1"/>
      <c r="S13" s="1">
        <v>5</v>
      </c>
      <c r="T13" s="1"/>
      <c r="U13" s="1"/>
      <c r="V13" s="1"/>
      <c r="W13" s="1"/>
      <c r="X13" s="1"/>
      <c r="Y13" s="1"/>
      <c r="Z13" s="1"/>
      <c r="AA13" s="1"/>
      <c r="AB13" s="1"/>
      <c r="AH13" s="1"/>
      <c r="AI13" s="1"/>
      <c r="AM13" s="2">
        <v>4</v>
      </c>
      <c r="AP13" s="2">
        <v>40</v>
      </c>
      <c r="AS13" s="9" t="s">
        <v>42</v>
      </c>
      <c r="BG13" s="10" t="s">
        <v>80</v>
      </c>
      <c r="BH13" s="10" t="s">
        <v>80</v>
      </c>
      <c r="BI13" s="10">
        <v>1.5</v>
      </c>
      <c r="BL13" s="1"/>
      <c r="BM13" s="10" t="s">
        <v>80</v>
      </c>
      <c r="BN13" s="2" t="s">
        <v>80</v>
      </c>
      <c r="BO13" s="2" t="s">
        <v>80</v>
      </c>
      <c r="BS13" s="9" t="s">
        <v>72</v>
      </c>
    </row>
    <row r="14" spans="1:72" s="2" customFormat="1" ht="16" customHeight="1">
      <c r="A14" s="2">
        <v>2023202605</v>
      </c>
      <c r="B14" s="2" t="s">
        <v>409</v>
      </c>
      <c r="C14" s="2" t="s">
        <v>77</v>
      </c>
      <c r="D14" s="2" t="s">
        <v>159</v>
      </c>
      <c r="E14" s="2" t="s">
        <v>397</v>
      </c>
      <c r="F14" s="1">
        <f>SUM(H14:$XEU14)</f>
        <v>20</v>
      </c>
      <c r="G14" s="10">
        <f>COUNT(H14:$XFC14)</f>
        <v>6</v>
      </c>
      <c r="H14" s="1"/>
      <c r="I14" s="1">
        <v>0.5</v>
      </c>
      <c r="J14" s="1"/>
      <c r="K14" s="1"/>
      <c r="L14" s="1"/>
      <c r="M14" s="1"/>
      <c r="N14" s="1"/>
      <c r="O14" s="1"/>
      <c r="P14" s="1"/>
      <c r="R14" s="1"/>
      <c r="S14" s="1">
        <v>5</v>
      </c>
      <c r="T14" s="1"/>
      <c r="U14" s="1"/>
      <c r="V14" s="1"/>
      <c r="W14" s="1">
        <v>4.5</v>
      </c>
      <c r="X14" s="1"/>
      <c r="Y14" s="1"/>
      <c r="Z14" s="1"/>
      <c r="AA14" s="1"/>
      <c r="AB14" s="1"/>
      <c r="AH14" s="1"/>
      <c r="AI14" s="1"/>
      <c r="AL14" s="2">
        <v>4</v>
      </c>
      <c r="AS14" s="9" t="s">
        <v>42</v>
      </c>
      <c r="AY14" s="2">
        <v>2</v>
      </c>
      <c r="BG14" s="10" t="s">
        <v>80</v>
      </c>
      <c r="BH14" s="10" t="s">
        <v>80</v>
      </c>
      <c r="BI14" s="10" t="s">
        <v>80</v>
      </c>
      <c r="BL14" s="1">
        <v>4</v>
      </c>
      <c r="BM14" s="10" t="s">
        <v>80</v>
      </c>
      <c r="BN14" s="2" t="s">
        <v>80</v>
      </c>
      <c r="BO14" s="2" t="s">
        <v>80</v>
      </c>
      <c r="BS14" s="9" t="s">
        <v>72</v>
      </c>
    </row>
    <row r="15" spans="1:72" s="2" customFormat="1" ht="16" customHeight="1">
      <c r="A15" s="2">
        <v>2023202607</v>
      </c>
      <c r="B15" s="2" t="s">
        <v>410</v>
      </c>
      <c r="C15" s="2" t="s">
        <v>77</v>
      </c>
      <c r="D15" s="2" t="s">
        <v>159</v>
      </c>
      <c r="E15" s="2" t="s">
        <v>397</v>
      </c>
      <c r="F15" s="1">
        <f>SUM(H15:$XEU15)</f>
        <v>21.5</v>
      </c>
      <c r="G15" s="10">
        <f>COUNT(H15:$XFC15)</f>
        <v>4</v>
      </c>
      <c r="H15" s="1"/>
      <c r="I15" s="1">
        <v>1</v>
      </c>
      <c r="J15" s="1"/>
      <c r="K15" s="1"/>
      <c r="L15" s="1"/>
      <c r="M15" s="1"/>
      <c r="N15" s="1"/>
      <c r="O15" s="1">
        <v>16</v>
      </c>
      <c r="P15" s="1"/>
      <c r="Q15" s="2">
        <v>0.5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H15" s="1"/>
      <c r="AI15" s="1"/>
      <c r="AM15" s="2">
        <v>4</v>
      </c>
      <c r="AS15" s="9" t="s">
        <v>42</v>
      </c>
      <c r="BG15" s="10" t="s">
        <v>80</v>
      </c>
      <c r="BH15" s="10" t="s">
        <v>80</v>
      </c>
      <c r="BI15" s="10" t="s">
        <v>80</v>
      </c>
      <c r="BL15" s="1"/>
      <c r="BM15" s="10" t="s">
        <v>80</v>
      </c>
      <c r="BN15" s="2" t="s">
        <v>80</v>
      </c>
      <c r="BO15" s="2" t="s">
        <v>80</v>
      </c>
      <c r="BS15" s="9" t="s">
        <v>72</v>
      </c>
    </row>
    <row r="16" spans="1:72" s="2" customFormat="1" ht="16" customHeight="1">
      <c r="A16" s="2">
        <v>2023202611</v>
      </c>
      <c r="B16" s="2" t="s">
        <v>411</v>
      </c>
      <c r="C16" s="2" t="s">
        <v>77</v>
      </c>
      <c r="D16" s="2" t="s">
        <v>159</v>
      </c>
      <c r="E16" s="2" t="s">
        <v>397</v>
      </c>
      <c r="F16" s="1">
        <f>SUM(H16:$XEU16)</f>
        <v>65.5</v>
      </c>
      <c r="G16" s="10">
        <f>COUNT(H16:$XFC16)</f>
        <v>6</v>
      </c>
      <c r="H16" s="1"/>
      <c r="I16" s="1">
        <v>6</v>
      </c>
      <c r="J16" s="1"/>
      <c r="K16" s="1"/>
      <c r="L16" s="1"/>
      <c r="M16" s="1"/>
      <c r="N16" s="1">
        <v>3.5</v>
      </c>
      <c r="O16" s="1"/>
      <c r="P16" s="1"/>
      <c r="R16" s="1"/>
      <c r="S16" s="1"/>
      <c r="T16" s="1">
        <v>11</v>
      </c>
      <c r="U16" s="1"/>
      <c r="V16" s="1"/>
      <c r="W16" s="1"/>
      <c r="X16" s="1"/>
      <c r="Y16" s="1"/>
      <c r="Z16" s="1"/>
      <c r="AA16" s="1">
        <v>4</v>
      </c>
      <c r="AB16" s="1"/>
      <c r="AH16" s="1"/>
      <c r="AI16" s="1"/>
      <c r="AM16" s="2">
        <v>4</v>
      </c>
      <c r="AP16" s="2">
        <v>37</v>
      </c>
      <c r="AS16" s="9" t="s">
        <v>42</v>
      </c>
      <c r="BG16" s="10" t="s">
        <v>80</v>
      </c>
      <c r="BH16" s="10" t="s">
        <v>80</v>
      </c>
      <c r="BI16" s="10" t="s">
        <v>80</v>
      </c>
      <c r="BL16" s="1"/>
      <c r="BM16" s="10" t="s">
        <v>80</v>
      </c>
      <c r="BN16" s="2" t="s">
        <v>80</v>
      </c>
      <c r="BO16" s="2" t="s">
        <v>80</v>
      </c>
      <c r="BS16" s="9" t="s">
        <v>72</v>
      </c>
    </row>
    <row r="17" spans="1:71" s="2" customFormat="1" ht="16" customHeight="1">
      <c r="A17" s="2">
        <v>2023202613</v>
      </c>
      <c r="B17" s="2" t="s">
        <v>412</v>
      </c>
      <c r="C17" s="2" t="s">
        <v>77</v>
      </c>
      <c r="D17" s="2" t="s">
        <v>159</v>
      </c>
      <c r="E17" s="2" t="s">
        <v>397</v>
      </c>
      <c r="F17" s="1">
        <f>SUM(H17:$XEU17)</f>
        <v>0</v>
      </c>
      <c r="G17" s="10">
        <f>COUNT(H17:$XFC17)</f>
        <v>0</v>
      </c>
      <c r="H17" s="1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H17" s="1"/>
      <c r="AI17" s="1"/>
      <c r="AS17" s="9" t="s">
        <v>42</v>
      </c>
      <c r="BG17" s="10" t="s">
        <v>80</v>
      </c>
      <c r="BH17" s="10" t="s">
        <v>80</v>
      </c>
      <c r="BI17" s="10" t="s">
        <v>80</v>
      </c>
      <c r="BL17" s="1"/>
      <c r="BM17" s="10" t="s">
        <v>80</v>
      </c>
      <c r="BN17" s="2" t="s">
        <v>80</v>
      </c>
      <c r="BO17" s="2" t="s">
        <v>80</v>
      </c>
      <c r="BS17" s="9" t="s">
        <v>72</v>
      </c>
    </row>
    <row r="18" spans="1:71" s="2" customFormat="1" ht="16" customHeight="1">
      <c r="A18" s="2">
        <v>2023202616</v>
      </c>
      <c r="B18" s="2" t="s">
        <v>413</v>
      </c>
      <c r="C18" s="2" t="s">
        <v>77</v>
      </c>
      <c r="D18" s="2" t="s">
        <v>159</v>
      </c>
      <c r="E18" s="2" t="s">
        <v>397</v>
      </c>
      <c r="F18" s="1">
        <f>SUM(H18:$XEU18)</f>
        <v>34</v>
      </c>
      <c r="G18" s="10">
        <f>COUNT(H18:$XFC18)</f>
        <v>6</v>
      </c>
      <c r="H18" s="1"/>
      <c r="I18" s="1">
        <v>3</v>
      </c>
      <c r="J18" s="1"/>
      <c r="K18" s="1"/>
      <c r="L18" s="1"/>
      <c r="M18" s="1"/>
      <c r="N18" s="1"/>
      <c r="O18" s="1"/>
      <c r="P18" s="1"/>
      <c r="R18" s="1"/>
      <c r="S18" s="1"/>
      <c r="T18" s="1"/>
      <c r="U18" s="1">
        <v>15</v>
      </c>
      <c r="V18" s="1"/>
      <c r="W18" s="1"/>
      <c r="X18" s="1"/>
      <c r="Y18" s="1"/>
      <c r="Z18" s="1"/>
      <c r="AA18" s="1"/>
      <c r="AB18" s="1"/>
      <c r="AH18" s="1"/>
      <c r="AI18" s="1"/>
      <c r="AS18" s="9" t="s">
        <v>42</v>
      </c>
      <c r="AU18" s="2">
        <v>4</v>
      </c>
      <c r="AX18" s="2">
        <v>8</v>
      </c>
      <c r="AY18" s="2">
        <v>2</v>
      </c>
      <c r="BG18" s="10" t="s">
        <v>80</v>
      </c>
      <c r="BH18" s="10" t="s">
        <v>80</v>
      </c>
      <c r="BI18" s="10">
        <v>2</v>
      </c>
      <c r="BL18" s="1"/>
      <c r="BM18" s="10" t="s">
        <v>80</v>
      </c>
      <c r="BN18" s="2" t="s">
        <v>80</v>
      </c>
      <c r="BO18" s="2" t="s">
        <v>80</v>
      </c>
      <c r="BS18" s="9" t="s">
        <v>72</v>
      </c>
    </row>
    <row r="19" spans="1:71" s="2" customFormat="1" ht="16" customHeight="1">
      <c r="A19" s="2">
        <v>2023202617</v>
      </c>
      <c r="B19" s="2" t="s">
        <v>414</v>
      </c>
      <c r="C19" s="2" t="s">
        <v>82</v>
      </c>
      <c r="D19" s="2" t="s">
        <v>159</v>
      </c>
      <c r="E19" s="2" t="s">
        <v>397</v>
      </c>
      <c r="F19" s="1">
        <f>SUM(H19:$XEU19)</f>
        <v>0</v>
      </c>
      <c r="G19" s="10">
        <f>COUNT(H19:$XFC19)</f>
        <v>0</v>
      </c>
      <c r="H19" s="1"/>
      <c r="I19" s="1"/>
      <c r="J19" s="1"/>
      <c r="K19" s="1"/>
      <c r="L19" s="1"/>
      <c r="M19" s="1"/>
      <c r="N19" s="1"/>
      <c r="O19" s="1"/>
      <c r="P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H19" s="1"/>
      <c r="AI19" s="1"/>
      <c r="AS19" s="9" t="s">
        <v>42</v>
      </c>
      <c r="BG19" s="10" t="s">
        <v>80</v>
      </c>
      <c r="BH19" s="10" t="s">
        <v>80</v>
      </c>
      <c r="BI19" s="10" t="s">
        <v>80</v>
      </c>
      <c r="BL19" s="1"/>
      <c r="BM19" s="10" t="s">
        <v>80</v>
      </c>
      <c r="BN19" s="2" t="s">
        <v>80</v>
      </c>
      <c r="BO19" s="2" t="s">
        <v>80</v>
      </c>
      <c r="BS19" s="9" t="s">
        <v>72</v>
      </c>
    </row>
    <row r="20" spans="1:71" s="2" customFormat="1" ht="16" customHeight="1">
      <c r="A20" s="2">
        <v>2023202618</v>
      </c>
      <c r="B20" s="2" t="s">
        <v>415</v>
      </c>
      <c r="C20" s="2" t="s">
        <v>82</v>
      </c>
      <c r="D20" s="2" t="s">
        <v>159</v>
      </c>
      <c r="E20" s="2" t="s">
        <v>397</v>
      </c>
      <c r="F20" s="1">
        <f>SUM(H20:$XEU20)</f>
        <v>16.5</v>
      </c>
      <c r="G20" s="10">
        <f>COUNT(H20:$XFC20)</f>
        <v>2</v>
      </c>
      <c r="H20" s="1"/>
      <c r="I20" s="1"/>
      <c r="J20" s="1"/>
      <c r="K20" s="1"/>
      <c r="L20" s="1"/>
      <c r="M20" s="1"/>
      <c r="N20" s="1"/>
      <c r="O20" s="1">
        <v>16</v>
      </c>
      <c r="P20" s="1"/>
      <c r="Q20" s="2">
        <v>0.5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H20" s="1"/>
      <c r="AI20" s="1"/>
      <c r="AS20" s="9" t="s">
        <v>42</v>
      </c>
      <c r="BG20" s="10" t="s">
        <v>80</v>
      </c>
      <c r="BH20" s="10" t="s">
        <v>80</v>
      </c>
      <c r="BI20" s="10" t="s">
        <v>80</v>
      </c>
      <c r="BL20" s="1"/>
      <c r="BM20" s="10" t="s">
        <v>80</v>
      </c>
      <c r="BN20" s="2" t="s">
        <v>80</v>
      </c>
      <c r="BO20" s="2" t="s">
        <v>80</v>
      </c>
      <c r="BS20" s="9" t="s">
        <v>72</v>
      </c>
    </row>
    <row r="21" spans="1:71" s="2" customFormat="1" ht="16" customHeight="1">
      <c r="A21" s="2">
        <v>2023202629</v>
      </c>
      <c r="B21" s="2" t="s">
        <v>416</v>
      </c>
      <c r="C21" s="2" t="s">
        <v>82</v>
      </c>
      <c r="D21" s="2" t="s">
        <v>159</v>
      </c>
      <c r="E21" s="2" t="s">
        <v>397</v>
      </c>
      <c r="F21" s="1">
        <f>SUM(H21:$XEU21)</f>
        <v>109.5</v>
      </c>
      <c r="G21" s="10">
        <f>COUNT(H21:$XFC21)</f>
        <v>4</v>
      </c>
      <c r="H21" s="1"/>
      <c r="I21" s="1"/>
      <c r="J21" s="1"/>
      <c r="K21" s="1"/>
      <c r="L21" s="1"/>
      <c r="M21" s="1"/>
      <c r="N21" s="1"/>
      <c r="O21" s="1"/>
      <c r="P21" s="1"/>
      <c r="Q21" s="2">
        <v>0.5</v>
      </c>
      <c r="R21" s="1"/>
      <c r="S21" s="1"/>
      <c r="T21" s="1">
        <v>20</v>
      </c>
      <c r="U21" s="1"/>
      <c r="V21" s="1"/>
      <c r="W21" s="1"/>
      <c r="X21" s="1"/>
      <c r="Y21" s="1"/>
      <c r="Z21" s="1"/>
      <c r="AA21" s="1"/>
      <c r="AB21" s="1"/>
      <c r="AH21" s="1"/>
      <c r="AI21" s="1"/>
      <c r="AS21" s="9" t="s">
        <v>42</v>
      </c>
      <c r="BG21" s="10" t="s">
        <v>80</v>
      </c>
      <c r="BH21" s="10" t="s">
        <v>80</v>
      </c>
      <c r="BI21" s="10" t="s">
        <v>80</v>
      </c>
      <c r="BL21" s="1">
        <v>85</v>
      </c>
      <c r="BM21" s="10" t="s">
        <v>80</v>
      </c>
      <c r="BN21" s="2" t="s">
        <v>80</v>
      </c>
      <c r="BO21" s="2" t="s">
        <v>80</v>
      </c>
      <c r="BR21" s="2">
        <v>4</v>
      </c>
      <c r="BS21" s="9" t="s">
        <v>72</v>
      </c>
    </row>
    <row r="22" spans="1:71" s="2" customFormat="1" ht="16" customHeight="1">
      <c r="A22" s="2">
        <v>2023202632</v>
      </c>
      <c r="B22" s="2" t="s">
        <v>417</v>
      </c>
      <c r="C22" s="2" t="s">
        <v>77</v>
      </c>
      <c r="D22" s="2" t="s">
        <v>159</v>
      </c>
      <c r="E22" s="2" t="s">
        <v>397</v>
      </c>
      <c r="F22" s="1">
        <f>SUM(H22:$XEU22)</f>
        <v>38.5</v>
      </c>
      <c r="G22" s="10">
        <f>COUNT(H22:$XFC22)</f>
        <v>4</v>
      </c>
      <c r="H22" s="1"/>
      <c r="I22" s="1"/>
      <c r="J22" s="1"/>
      <c r="K22" s="1"/>
      <c r="L22" s="1"/>
      <c r="M22" s="1"/>
      <c r="N22" s="1"/>
      <c r="O22" s="1"/>
      <c r="P22" s="1"/>
      <c r="Q22" s="2">
        <v>0.5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2">
        <v>4</v>
      </c>
      <c r="AH22" s="1"/>
      <c r="AI22" s="1"/>
      <c r="AO22" s="2">
        <v>2</v>
      </c>
      <c r="AS22" s="9" t="s">
        <v>42</v>
      </c>
      <c r="BG22" s="10" t="s">
        <v>80</v>
      </c>
      <c r="BH22" s="10" t="s">
        <v>80</v>
      </c>
      <c r="BI22" s="10" t="s">
        <v>80</v>
      </c>
      <c r="BL22" s="1">
        <v>32</v>
      </c>
      <c r="BM22" s="10" t="s">
        <v>80</v>
      </c>
      <c r="BN22" s="2" t="s">
        <v>80</v>
      </c>
      <c r="BO22" s="2" t="s">
        <v>80</v>
      </c>
      <c r="BS22" s="9" t="s">
        <v>72</v>
      </c>
    </row>
    <row r="23" spans="1:71" s="2" customFormat="1" ht="16" customHeight="1">
      <c r="A23" s="2">
        <v>2023202633</v>
      </c>
      <c r="B23" s="2" t="s">
        <v>418</v>
      </c>
      <c r="C23" s="2" t="s">
        <v>82</v>
      </c>
      <c r="D23" s="2" t="s">
        <v>159</v>
      </c>
      <c r="E23" s="2" t="s">
        <v>397</v>
      </c>
      <c r="F23" s="1">
        <f>SUM(H23:$XEU23)</f>
        <v>0.5</v>
      </c>
      <c r="G23" s="10">
        <f>COUNT(H23:$XFC23)</f>
        <v>1</v>
      </c>
      <c r="H23" s="1"/>
      <c r="I23" s="1"/>
      <c r="J23" s="1"/>
      <c r="K23" s="1"/>
      <c r="L23" s="1"/>
      <c r="M23" s="1"/>
      <c r="N23" s="1"/>
      <c r="O23" s="1"/>
      <c r="P23" s="1"/>
      <c r="Q23" s="2">
        <v>0.5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H23" s="1"/>
      <c r="AI23" s="1"/>
      <c r="AS23" s="9" t="s">
        <v>42</v>
      </c>
      <c r="BG23" s="10" t="s">
        <v>80</v>
      </c>
      <c r="BH23" s="10" t="s">
        <v>80</v>
      </c>
      <c r="BI23" s="10" t="s">
        <v>80</v>
      </c>
      <c r="BL23" s="1"/>
      <c r="BM23" s="10" t="s">
        <v>80</v>
      </c>
      <c r="BN23" s="2" t="s">
        <v>80</v>
      </c>
      <c r="BO23" s="2" t="s">
        <v>80</v>
      </c>
      <c r="BS23" s="9" t="s">
        <v>72</v>
      </c>
    </row>
    <row r="24" spans="1:71" s="2" customFormat="1" ht="16" customHeight="1">
      <c r="A24" s="2">
        <v>2023202635</v>
      </c>
      <c r="B24" s="2" t="s">
        <v>419</v>
      </c>
      <c r="C24" s="2" t="s">
        <v>82</v>
      </c>
      <c r="D24" s="2" t="s">
        <v>159</v>
      </c>
      <c r="E24" s="2" t="s">
        <v>397</v>
      </c>
      <c r="F24" s="1">
        <f>SUM(H24:$XEU24)</f>
        <v>10.5</v>
      </c>
      <c r="G24" s="10">
        <f>COUNT(H24:$XFC24)</f>
        <v>4</v>
      </c>
      <c r="H24" s="1"/>
      <c r="I24" s="1"/>
      <c r="J24" s="1"/>
      <c r="K24" s="1"/>
      <c r="L24" s="1"/>
      <c r="M24" s="1"/>
      <c r="N24" s="1"/>
      <c r="O24" s="1"/>
      <c r="P24" s="1"/>
      <c r="Q24" s="2">
        <v>0.5</v>
      </c>
      <c r="R24" s="1">
        <v>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F24" s="2">
        <v>4</v>
      </c>
      <c r="AH24" s="1"/>
      <c r="AI24" s="1"/>
      <c r="AM24" s="2">
        <v>4</v>
      </c>
      <c r="AS24" s="9" t="s">
        <v>42</v>
      </c>
      <c r="BG24" s="10" t="s">
        <v>80</v>
      </c>
      <c r="BH24" s="10" t="s">
        <v>80</v>
      </c>
      <c r="BI24" s="10" t="s">
        <v>80</v>
      </c>
      <c r="BL24" s="1"/>
      <c r="BM24" s="10" t="s">
        <v>80</v>
      </c>
      <c r="BN24" s="2" t="s">
        <v>80</v>
      </c>
      <c r="BO24" s="2" t="s">
        <v>80</v>
      </c>
      <c r="BS24" s="9" t="s">
        <v>72</v>
      </c>
    </row>
    <row r="25" spans="1:71" s="2" customFormat="1" ht="16" customHeight="1">
      <c r="A25" s="2">
        <v>2023202636</v>
      </c>
      <c r="B25" s="2" t="s">
        <v>420</v>
      </c>
      <c r="C25" s="2" t="s">
        <v>82</v>
      </c>
      <c r="D25" s="2" t="s">
        <v>159</v>
      </c>
      <c r="E25" s="2" t="s">
        <v>397</v>
      </c>
      <c r="F25" s="1">
        <f>SUM(H25:$XEU25)</f>
        <v>0.5</v>
      </c>
      <c r="G25" s="10">
        <f>COUNT(H25:$XFC25)</f>
        <v>1</v>
      </c>
      <c r="H25" s="1"/>
      <c r="I25" s="1"/>
      <c r="J25" s="1"/>
      <c r="K25" s="1"/>
      <c r="L25" s="1"/>
      <c r="M25" s="1"/>
      <c r="N25" s="1"/>
      <c r="O25" s="1"/>
      <c r="P25" s="1"/>
      <c r="Q25" s="2">
        <v>0.5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H25" s="1"/>
      <c r="AI25" s="1"/>
      <c r="AS25" s="9" t="s">
        <v>42</v>
      </c>
      <c r="BG25" s="10" t="s">
        <v>80</v>
      </c>
      <c r="BH25" s="10" t="s">
        <v>80</v>
      </c>
      <c r="BI25" s="10" t="s">
        <v>80</v>
      </c>
      <c r="BL25" s="1"/>
      <c r="BM25" s="10" t="s">
        <v>80</v>
      </c>
      <c r="BN25" s="2" t="s">
        <v>80</v>
      </c>
      <c r="BO25" s="2" t="s">
        <v>80</v>
      </c>
      <c r="BS25" s="9" t="s">
        <v>72</v>
      </c>
    </row>
    <row r="26" spans="1:71" s="2" customFormat="1" ht="16" customHeight="1">
      <c r="A26" s="2">
        <v>2023202639</v>
      </c>
      <c r="B26" s="2" t="s">
        <v>421</v>
      </c>
      <c r="C26" s="2" t="s">
        <v>77</v>
      </c>
      <c r="D26" s="2" t="s">
        <v>159</v>
      </c>
      <c r="E26" s="2" t="s">
        <v>397</v>
      </c>
      <c r="F26" s="1">
        <f>SUM(H26:$XEU26)</f>
        <v>11.5</v>
      </c>
      <c r="G26" s="10">
        <f>COUNT(H26:$XFC26)</f>
        <v>2</v>
      </c>
      <c r="H26" s="1">
        <v>7.5</v>
      </c>
      <c r="I26" s="1"/>
      <c r="J26" s="1"/>
      <c r="K26" s="1"/>
      <c r="L26" s="1"/>
      <c r="M26" s="1"/>
      <c r="N26" s="1"/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H26" s="1"/>
      <c r="AI26" s="1"/>
      <c r="AM26" s="2">
        <v>4</v>
      </c>
      <c r="AS26" s="9" t="s">
        <v>42</v>
      </c>
      <c r="BG26" s="10" t="s">
        <v>80</v>
      </c>
      <c r="BH26" s="10" t="s">
        <v>80</v>
      </c>
      <c r="BI26" s="10" t="s">
        <v>80</v>
      </c>
      <c r="BL26" s="1"/>
      <c r="BM26" s="10" t="s">
        <v>80</v>
      </c>
      <c r="BN26" s="2" t="s">
        <v>80</v>
      </c>
      <c r="BO26" s="2" t="s">
        <v>80</v>
      </c>
      <c r="BS26" s="9" t="s">
        <v>72</v>
      </c>
    </row>
    <row r="27" spans="1:71" s="2" customFormat="1" ht="16" customHeight="1">
      <c r="A27" s="2">
        <v>2023202640</v>
      </c>
      <c r="B27" s="2" t="s">
        <v>422</v>
      </c>
      <c r="C27" s="2" t="s">
        <v>82</v>
      </c>
      <c r="D27" s="2" t="s">
        <v>159</v>
      </c>
      <c r="E27" s="2" t="s">
        <v>397</v>
      </c>
      <c r="F27" s="1">
        <f>SUM(H27:$XEU27)</f>
        <v>0</v>
      </c>
      <c r="G27" s="10">
        <f>COUNT(H27:$XFC27)</f>
        <v>0</v>
      </c>
      <c r="H27" s="1"/>
      <c r="I27" s="1"/>
      <c r="J27" s="1"/>
      <c r="K27" s="1"/>
      <c r="L27" s="1"/>
      <c r="M27" s="1"/>
      <c r="N27" s="1"/>
      <c r="O27" s="1"/>
      <c r="P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H27" s="1"/>
      <c r="AI27" s="1"/>
      <c r="AS27" s="9" t="s">
        <v>42</v>
      </c>
      <c r="BG27" s="10" t="s">
        <v>80</v>
      </c>
      <c r="BH27" s="10" t="s">
        <v>80</v>
      </c>
      <c r="BI27" s="10" t="s">
        <v>80</v>
      </c>
      <c r="BL27" s="1"/>
      <c r="BM27" s="10" t="s">
        <v>80</v>
      </c>
      <c r="BN27" s="2" t="s">
        <v>80</v>
      </c>
      <c r="BO27" s="2" t="s">
        <v>80</v>
      </c>
      <c r="BS27" s="9" t="s">
        <v>72</v>
      </c>
    </row>
    <row r="28" spans="1:71" s="2" customFormat="1" ht="16" customHeight="1">
      <c r="A28" s="2">
        <v>2023202642</v>
      </c>
      <c r="B28" s="2" t="s">
        <v>423</v>
      </c>
      <c r="C28" s="2" t="s">
        <v>82</v>
      </c>
      <c r="D28" s="2" t="s">
        <v>159</v>
      </c>
      <c r="E28" s="2" t="s">
        <v>397</v>
      </c>
      <c r="F28" s="1">
        <f>SUM(H28:$XEU28)</f>
        <v>42</v>
      </c>
      <c r="G28" s="10">
        <f>COUNT(H28:$XFC28)</f>
        <v>10</v>
      </c>
      <c r="H28" s="1"/>
      <c r="I28" s="1">
        <v>0.5</v>
      </c>
      <c r="J28" s="1"/>
      <c r="K28" s="1"/>
      <c r="L28" s="1"/>
      <c r="M28" s="1"/>
      <c r="N28" s="1"/>
      <c r="O28" s="1"/>
      <c r="P28" s="1"/>
      <c r="Q28" s="2">
        <v>0.5</v>
      </c>
      <c r="R28" s="1"/>
      <c r="S28" s="1">
        <v>2</v>
      </c>
      <c r="T28" s="1">
        <v>20</v>
      </c>
      <c r="U28" s="1"/>
      <c r="V28" s="1"/>
      <c r="W28" s="1"/>
      <c r="X28" s="1"/>
      <c r="Y28" s="1">
        <v>1</v>
      </c>
      <c r="Z28" s="1"/>
      <c r="AA28" s="1"/>
      <c r="AB28" s="1"/>
      <c r="AD28" s="2">
        <v>4</v>
      </c>
      <c r="AG28" s="2">
        <v>4</v>
      </c>
      <c r="AH28" s="1">
        <v>4</v>
      </c>
      <c r="AI28" s="1"/>
      <c r="AM28" s="2">
        <v>4</v>
      </c>
      <c r="AO28" s="2">
        <v>2</v>
      </c>
      <c r="AS28" s="9" t="s">
        <v>42</v>
      </c>
      <c r="BG28" s="10" t="s">
        <v>80</v>
      </c>
      <c r="BH28" s="10" t="s">
        <v>80</v>
      </c>
      <c r="BI28" s="10" t="s">
        <v>80</v>
      </c>
      <c r="BL28" s="1"/>
      <c r="BM28" s="10" t="s">
        <v>80</v>
      </c>
      <c r="BN28" s="2" t="s">
        <v>80</v>
      </c>
      <c r="BO28" s="2" t="s">
        <v>80</v>
      </c>
      <c r="BS28" s="9" t="s">
        <v>72</v>
      </c>
    </row>
    <row r="29" spans="1:71" s="2" customFormat="1" ht="16" customHeight="1">
      <c r="A29" s="2">
        <v>2023202646</v>
      </c>
      <c r="B29" s="2" t="s">
        <v>424</v>
      </c>
      <c r="C29" s="2" t="s">
        <v>82</v>
      </c>
      <c r="D29" s="2" t="s">
        <v>159</v>
      </c>
      <c r="E29" s="2" t="s">
        <v>397</v>
      </c>
      <c r="F29" s="1">
        <f>SUM(H29:$XEU29)</f>
        <v>54.5</v>
      </c>
      <c r="G29" s="10">
        <f>COUNT(H29:$XFC29)</f>
        <v>12</v>
      </c>
      <c r="H29" s="1"/>
      <c r="I29" s="1">
        <v>0.5</v>
      </c>
      <c r="J29" s="1"/>
      <c r="K29" s="1">
        <v>0.5</v>
      </c>
      <c r="L29" s="1"/>
      <c r="M29" s="1">
        <v>4</v>
      </c>
      <c r="N29" s="1"/>
      <c r="O29" s="1"/>
      <c r="P29" s="1">
        <v>5</v>
      </c>
      <c r="R29" s="1"/>
      <c r="S29" s="1"/>
      <c r="T29" s="1"/>
      <c r="U29" s="1"/>
      <c r="V29" s="1"/>
      <c r="W29" s="1"/>
      <c r="X29" s="1"/>
      <c r="Y29" s="1"/>
      <c r="Z29" s="1">
        <v>6</v>
      </c>
      <c r="AA29" s="1">
        <v>4.5</v>
      </c>
      <c r="AB29" s="1"/>
      <c r="AF29" s="2">
        <v>4</v>
      </c>
      <c r="AH29" s="1"/>
      <c r="AI29" s="1"/>
      <c r="AM29" s="2">
        <v>4</v>
      </c>
      <c r="AN29" s="2">
        <v>4</v>
      </c>
      <c r="AQ29" s="2">
        <v>3.5</v>
      </c>
      <c r="AS29" s="9" t="s">
        <v>42</v>
      </c>
      <c r="AT29" s="2">
        <v>4</v>
      </c>
      <c r="BG29" s="10" t="s">
        <v>80</v>
      </c>
      <c r="BH29" s="10" t="s">
        <v>80</v>
      </c>
      <c r="BI29" s="10" t="s">
        <v>80</v>
      </c>
      <c r="BL29" s="1"/>
      <c r="BM29" s="10">
        <v>14.5</v>
      </c>
      <c r="BN29" s="2" t="s">
        <v>80</v>
      </c>
      <c r="BO29" s="2" t="s">
        <v>80</v>
      </c>
      <c r="BS29" s="9" t="s">
        <v>72</v>
      </c>
    </row>
    <row r="30" spans="1:71" s="2" customFormat="1" ht="16" customHeight="1">
      <c r="A30" s="2">
        <v>2023202649</v>
      </c>
      <c r="B30" s="2" t="s">
        <v>425</v>
      </c>
      <c r="C30" s="2" t="s">
        <v>77</v>
      </c>
      <c r="D30" s="2" t="s">
        <v>159</v>
      </c>
      <c r="E30" s="2" t="s">
        <v>397</v>
      </c>
      <c r="F30" s="1">
        <f>SUM(H30:$XEU30)</f>
        <v>4.5</v>
      </c>
      <c r="G30" s="10">
        <f>COUNT(H30:$XFC30)</f>
        <v>2</v>
      </c>
      <c r="H30" s="1"/>
      <c r="I30" s="1"/>
      <c r="J30" s="1"/>
      <c r="K30" s="1"/>
      <c r="L30" s="1"/>
      <c r="M30" s="1"/>
      <c r="N30" s="1"/>
      <c r="O30" s="1"/>
      <c r="P30" s="1"/>
      <c r="Q30" s="2">
        <v>0.5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F30" s="2">
        <v>4</v>
      </c>
      <c r="AH30" s="1"/>
      <c r="AI30" s="1"/>
      <c r="AS30" s="9" t="s">
        <v>42</v>
      </c>
      <c r="BG30" s="10" t="s">
        <v>80</v>
      </c>
      <c r="BH30" s="10" t="s">
        <v>80</v>
      </c>
      <c r="BI30" s="10" t="s">
        <v>80</v>
      </c>
      <c r="BL30" s="1"/>
      <c r="BM30" s="10" t="s">
        <v>80</v>
      </c>
      <c r="BN30" s="2" t="s">
        <v>80</v>
      </c>
      <c r="BO30" s="2" t="s">
        <v>80</v>
      </c>
      <c r="BS30" s="9" t="s">
        <v>72</v>
      </c>
    </row>
    <row r="31" spans="1:71" s="2" customFormat="1" ht="16" customHeight="1">
      <c r="A31" s="2">
        <v>2023202650</v>
      </c>
      <c r="B31" s="2" t="s">
        <v>426</v>
      </c>
      <c r="C31" s="2" t="s">
        <v>82</v>
      </c>
      <c r="D31" s="2" t="s">
        <v>159</v>
      </c>
      <c r="E31" s="2" t="s">
        <v>397</v>
      </c>
      <c r="F31" s="1">
        <f>SUM(H31:$XEU31)</f>
        <v>83</v>
      </c>
      <c r="G31" s="10">
        <f>COUNT(H31:$XFC31)</f>
        <v>12</v>
      </c>
      <c r="H31" s="1"/>
      <c r="I31" s="1"/>
      <c r="J31" s="1"/>
      <c r="K31" s="1">
        <v>2</v>
      </c>
      <c r="L31" s="1"/>
      <c r="M31" s="1"/>
      <c r="N31" s="1"/>
      <c r="O31" s="1">
        <v>16</v>
      </c>
      <c r="P31" s="1"/>
      <c r="Q31" s="2">
        <v>0.5</v>
      </c>
      <c r="R31" s="1"/>
      <c r="S31" s="1">
        <v>5</v>
      </c>
      <c r="T31" s="1"/>
      <c r="U31" s="1"/>
      <c r="V31" s="1"/>
      <c r="W31" s="1"/>
      <c r="X31" s="1"/>
      <c r="Y31" s="1"/>
      <c r="Z31" s="1"/>
      <c r="AA31" s="1"/>
      <c r="AB31" s="1"/>
      <c r="AC31" s="2">
        <v>11</v>
      </c>
      <c r="AF31" s="2">
        <v>4</v>
      </c>
      <c r="AG31" s="2">
        <v>4</v>
      </c>
      <c r="AH31" s="1"/>
      <c r="AI31" s="1"/>
      <c r="AM31" s="2">
        <v>4</v>
      </c>
      <c r="AN31" s="2">
        <v>4</v>
      </c>
      <c r="AS31" s="9" t="s">
        <v>42</v>
      </c>
      <c r="AY31" s="2">
        <v>2</v>
      </c>
      <c r="AZ31" s="2">
        <v>14.5</v>
      </c>
      <c r="BA31" s="2">
        <v>16</v>
      </c>
      <c r="BG31" s="10" t="s">
        <v>80</v>
      </c>
      <c r="BH31" s="10" t="s">
        <v>80</v>
      </c>
      <c r="BI31" s="10" t="s">
        <v>80</v>
      </c>
      <c r="BL31" s="1"/>
      <c r="BM31" s="10" t="s">
        <v>80</v>
      </c>
      <c r="BN31" s="2" t="s">
        <v>80</v>
      </c>
      <c r="BO31" s="2" t="s">
        <v>80</v>
      </c>
      <c r="BS31" s="9" t="s">
        <v>72</v>
      </c>
    </row>
    <row r="32" spans="1:71" s="2" customFormat="1" ht="16" customHeight="1">
      <c r="A32" s="2">
        <v>2023202652</v>
      </c>
      <c r="B32" s="2" t="s">
        <v>427</v>
      </c>
      <c r="C32" s="2" t="s">
        <v>82</v>
      </c>
      <c r="D32" s="2" t="s">
        <v>159</v>
      </c>
      <c r="E32" s="2" t="s">
        <v>397</v>
      </c>
      <c r="F32" s="1">
        <f>SUM(H32:$XEU32)</f>
        <v>31</v>
      </c>
      <c r="G32" s="10">
        <f>COUNT(H32:$XFC32)</f>
        <v>4</v>
      </c>
      <c r="H32" s="1"/>
      <c r="I32" s="1"/>
      <c r="J32" s="1"/>
      <c r="K32" s="1"/>
      <c r="L32" s="1"/>
      <c r="M32" s="1">
        <v>9</v>
      </c>
      <c r="N32" s="1"/>
      <c r="O32" s="1"/>
      <c r="P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F32" s="2">
        <v>4</v>
      </c>
      <c r="AH32" s="1"/>
      <c r="AI32" s="1"/>
      <c r="AM32" s="2">
        <v>4</v>
      </c>
      <c r="AQ32" s="2">
        <v>14</v>
      </c>
      <c r="AS32" s="9" t="s">
        <v>42</v>
      </c>
      <c r="BG32" s="10" t="s">
        <v>80</v>
      </c>
      <c r="BH32" s="10" t="s">
        <v>80</v>
      </c>
      <c r="BI32" s="10" t="s">
        <v>80</v>
      </c>
      <c r="BL32" s="1"/>
      <c r="BM32" s="10" t="s">
        <v>80</v>
      </c>
      <c r="BN32" s="2" t="s">
        <v>80</v>
      </c>
      <c r="BO32" s="2" t="s">
        <v>80</v>
      </c>
      <c r="BS32" s="9" t="s">
        <v>72</v>
      </c>
    </row>
    <row r="33" spans="1:73" s="3" customFormat="1" ht="16" customHeight="1">
      <c r="A33" s="3">
        <v>2023202654</v>
      </c>
      <c r="B33" s="3" t="s">
        <v>428</v>
      </c>
      <c r="C33" s="3" t="s">
        <v>82</v>
      </c>
      <c r="D33" s="3" t="s">
        <v>159</v>
      </c>
      <c r="E33" s="3" t="s">
        <v>397</v>
      </c>
      <c r="F33" s="11" t="s">
        <v>312</v>
      </c>
      <c r="G33" s="11" t="s">
        <v>312</v>
      </c>
      <c r="H33" s="11"/>
      <c r="I33" s="11"/>
      <c r="J33" s="11"/>
      <c r="K33" s="11"/>
      <c r="L33" s="11"/>
      <c r="M33" s="11"/>
      <c r="N33" s="11"/>
      <c r="O33" s="11"/>
      <c r="P33" s="11"/>
      <c r="Q33" s="3">
        <v>0.5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H33" s="11"/>
      <c r="AI33" s="11"/>
      <c r="AS33" s="12" t="s">
        <v>42</v>
      </c>
      <c r="BG33" s="12" t="s">
        <v>80</v>
      </c>
      <c r="BH33" s="12" t="s">
        <v>80</v>
      </c>
      <c r="BI33" s="12" t="s">
        <v>80</v>
      </c>
      <c r="BL33" s="11"/>
      <c r="BM33" s="12" t="s">
        <v>80</v>
      </c>
      <c r="BO33" s="3" t="s">
        <v>80</v>
      </c>
      <c r="BS33" s="12" t="s">
        <v>72</v>
      </c>
      <c r="BU33" s="2"/>
    </row>
    <row r="34" spans="1:73" s="2" customFormat="1" ht="16" customHeight="1">
      <c r="A34" s="2">
        <v>2023202659</v>
      </c>
      <c r="B34" s="2" t="s">
        <v>429</v>
      </c>
      <c r="C34" s="2" t="s">
        <v>77</v>
      </c>
      <c r="D34" s="2" t="s">
        <v>159</v>
      </c>
      <c r="E34" s="2" t="s">
        <v>397</v>
      </c>
      <c r="F34" s="1">
        <f>SUM(H34:$XEU34)</f>
        <v>30.5</v>
      </c>
      <c r="G34" s="10">
        <f>COUNT(H34:$XFC34)</f>
        <v>6</v>
      </c>
      <c r="H34" s="1"/>
      <c r="I34" s="1"/>
      <c r="J34" s="1"/>
      <c r="K34" s="1"/>
      <c r="L34" s="1"/>
      <c r="M34" s="1"/>
      <c r="N34" s="1"/>
      <c r="O34" s="1">
        <v>16</v>
      </c>
      <c r="P34" s="1"/>
      <c r="Q34" s="2">
        <v>0.5</v>
      </c>
      <c r="R34" s="1"/>
      <c r="S34" s="1"/>
      <c r="T34" s="1"/>
      <c r="U34" s="1"/>
      <c r="V34" s="1"/>
      <c r="W34" s="1"/>
      <c r="X34" s="1"/>
      <c r="Y34" s="1"/>
      <c r="Z34" s="1"/>
      <c r="AA34" s="1">
        <v>4</v>
      </c>
      <c r="AB34" s="1"/>
      <c r="AF34" s="2">
        <v>4</v>
      </c>
      <c r="AH34" s="1"/>
      <c r="AI34" s="1"/>
      <c r="AM34" s="2">
        <v>4</v>
      </c>
      <c r="AS34" s="9" t="s">
        <v>42</v>
      </c>
      <c r="AW34" s="2">
        <v>2</v>
      </c>
      <c r="BG34" s="10" t="s">
        <v>80</v>
      </c>
      <c r="BH34" s="10" t="s">
        <v>80</v>
      </c>
      <c r="BI34" s="10" t="s">
        <v>80</v>
      </c>
      <c r="BL34" s="1"/>
      <c r="BM34" s="10" t="s">
        <v>80</v>
      </c>
      <c r="BN34" s="2" t="s">
        <v>80</v>
      </c>
      <c r="BO34" s="2" t="s">
        <v>80</v>
      </c>
      <c r="BS34" s="9" t="s">
        <v>72</v>
      </c>
    </row>
    <row r="35" spans="1:73" s="2" customFormat="1" ht="16" customHeight="1">
      <c r="A35" s="2">
        <v>2023202664</v>
      </c>
      <c r="B35" s="13" t="s">
        <v>158</v>
      </c>
      <c r="C35" s="2" t="s">
        <v>82</v>
      </c>
      <c r="D35" s="2" t="s">
        <v>159</v>
      </c>
      <c r="E35" s="2" t="s">
        <v>397</v>
      </c>
      <c r="F35" s="1">
        <f>SUM(H35:$XEU35)</f>
        <v>30.5</v>
      </c>
      <c r="G35" s="10">
        <f>COUNT(H35:$XFC35)</f>
        <v>4</v>
      </c>
      <c r="H35" s="1"/>
      <c r="I35" s="1"/>
      <c r="J35" s="1"/>
      <c r="K35" s="1"/>
      <c r="L35" s="1"/>
      <c r="M35" s="1"/>
      <c r="N35" s="1"/>
      <c r="O35" s="1">
        <v>16</v>
      </c>
      <c r="P35" s="1"/>
      <c r="R35" s="1"/>
      <c r="S35" s="1"/>
      <c r="T35" s="1">
        <v>6.5</v>
      </c>
      <c r="U35" s="1"/>
      <c r="V35" s="1"/>
      <c r="W35" s="1"/>
      <c r="X35" s="1"/>
      <c r="Y35" s="1"/>
      <c r="Z35" s="1"/>
      <c r="AA35" s="1"/>
      <c r="AB35" s="1"/>
      <c r="AF35" s="2">
        <v>4</v>
      </c>
      <c r="AH35" s="1"/>
      <c r="AI35" s="1"/>
      <c r="AM35" s="2">
        <v>4</v>
      </c>
      <c r="AS35" s="9" t="s">
        <v>42</v>
      </c>
      <c r="BG35" s="10" t="s">
        <v>80</v>
      </c>
      <c r="BH35" s="10" t="s">
        <v>80</v>
      </c>
      <c r="BI35" s="10" t="s">
        <v>80</v>
      </c>
      <c r="BL35" s="1"/>
      <c r="BM35" s="10" t="s">
        <v>80</v>
      </c>
      <c r="BN35" s="2" t="s">
        <v>80</v>
      </c>
      <c r="BO35" s="2" t="s">
        <v>80</v>
      </c>
      <c r="BS35" s="9" t="s">
        <v>72</v>
      </c>
    </row>
    <row r="36" spans="1:73" s="2" customFormat="1" ht="16" customHeight="1">
      <c r="A36" s="2">
        <v>2023202666</v>
      </c>
      <c r="B36" s="2" t="s">
        <v>430</v>
      </c>
      <c r="C36" s="2" t="s">
        <v>82</v>
      </c>
      <c r="D36" s="2" t="s">
        <v>159</v>
      </c>
      <c r="E36" s="2" t="s">
        <v>397</v>
      </c>
      <c r="F36" s="1">
        <f>SUM(H36:$XEU36)</f>
        <v>12.5</v>
      </c>
      <c r="G36" s="10">
        <f>COUNT(H36:$XFC36)</f>
        <v>3</v>
      </c>
      <c r="H36" s="1"/>
      <c r="I36" s="1"/>
      <c r="J36" s="1"/>
      <c r="K36" s="1"/>
      <c r="L36" s="1"/>
      <c r="M36" s="1"/>
      <c r="N36" s="1"/>
      <c r="O36" s="1"/>
      <c r="P36" s="1"/>
      <c r="Q36" s="2">
        <v>0.5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H36" s="1"/>
      <c r="AI36" s="1"/>
      <c r="AM36" s="2">
        <v>4</v>
      </c>
      <c r="AP36" s="2">
        <v>8</v>
      </c>
      <c r="AS36" s="9" t="s">
        <v>42</v>
      </c>
      <c r="BG36" s="10" t="s">
        <v>80</v>
      </c>
      <c r="BH36" s="10" t="s">
        <v>80</v>
      </c>
      <c r="BI36" s="10" t="s">
        <v>80</v>
      </c>
      <c r="BL36" s="1"/>
      <c r="BM36" s="10" t="s">
        <v>80</v>
      </c>
      <c r="BN36" s="2" t="s">
        <v>80</v>
      </c>
      <c r="BO36" s="2" t="s">
        <v>80</v>
      </c>
      <c r="BS36" s="9" t="s">
        <v>72</v>
      </c>
    </row>
    <row r="37" spans="1:73" s="2" customFormat="1" ht="16" customHeight="1">
      <c r="A37" s="2">
        <v>2023202667</v>
      </c>
      <c r="B37" s="2" t="s">
        <v>431</v>
      </c>
      <c r="C37" s="2" t="s">
        <v>82</v>
      </c>
      <c r="D37" s="2" t="s">
        <v>159</v>
      </c>
      <c r="E37" s="2" t="s">
        <v>397</v>
      </c>
      <c r="F37" s="1">
        <f>SUM(H37:$XEU37)</f>
        <v>9.5</v>
      </c>
      <c r="G37" s="10">
        <f>COUNT(H37:$XFC37)</f>
        <v>3</v>
      </c>
      <c r="H37" s="1"/>
      <c r="I37" s="1"/>
      <c r="J37" s="1"/>
      <c r="K37" s="1"/>
      <c r="L37" s="1"/>
      <c r="M37" s="1"/>
      <c r="N37" s="1"/>
      <c r="O37" s="1"/>
      <c r="P37" s="1"/>
      <c r="Q37" s="2">
        <v>3.5</v>
      </c>
      <c r="R37" s="1"/>
      <c r="S37" s="1"/>
      <c r="T37" s="1"/>
      <c r="U37" s="1"/>
      <c r="V37" s="1"/>
      <c r="W37" s="1"/>
      <c r="X37" s="1"/>
      <c r="Y37" s="1">
        <v>2</v>
      </c>
      <c r="Z37" s="1"/>
      <c r="AA37" s="1"/>
      <c r="AB37" s="1"/>
      <c r="AH37" s="1"/>
      <c r="AI37" s="1"/>
      <c r="AM37" s="2">
        <v>4</v>
      </c>
      <c r="AS37" s="9" t="s">
        <v>42</v>
      </c>
      <c r="BG37" s="10" t="s">
        <v>80</v>
      </c>
      <c r="BH37" s="10" t="s">
        <v>80</v>
      </c>
      <c r="BI37" s="10" t="s">
        <v>80</v>
      </c>
      <c r="BL37" s="1"/>
      <c r="BM37" s="10" t="s">
        <v>80</v>
      </c>
      <c r="BN37" s="2" t="s">
        <v>80</v>
      </c>
      <c r="BO37" s="2" t="s">
        <v>80</v>
      </c>
      <c r="BS37" s="9" t="s">
        <v>72</v>
      </c>
    </row>
    <row r="38" spans="1:73" s="2" customFormat="1" ht="16" customHeight="1">
      <c r="A38" s="2">
        <v>2023202672</v>
      </c>
      <c r="B38" s="2" t="s">
        <v>432</v>
      </c>
      <c r="C38" s="2" t="s">
        <v>82</v>
      </c>
      <c r="D38" s="2" t="s">
        <v>159</v>
      </c>
      <c r="E38" s="2" t="s">
        <v>397</v>
      </c>
      <c r="F38" s="1">
        <f>SUM(H38:$XEU38)</f>
        <v>8.5</v>
      </c>
      <c r="G38" s="10">
        <f>COUNT(H38:$XFC38)</f>
        <v>3</v>
      </c>
      <c r="H38" s="1"/>
      <c r="I38" s="1"/>
      <c r="J38" s="1"/>
      <c r="K38" s="1"/>
      <c r="L38" s="1"/>
      <c r="M38" s="1"/>
      <c r="N38" s="1"/>
      <c r="O38" s="1"/>
      <c r="P38" s="1"/>
      <c r="Q38" s="2">
        <v>0.5</v>
      </c>
      <c r="R38" s="1"/>
      <c r="S38" s="1"/>
      <c r="T38" s="1"/>
      <c r="U38" s="1"/>
      <c r="V38" s="1">
        <v>4</v>
      </c>
      <c r="W38" s="1"/>
      <c r="X38" s="1"/>
      <c r="Y38" s="1"/>
      <c r="Z38" s="1"/>
      <c r="AA38" s="1"/>
      <c r="AB38" s="1"/>
      <c r="AH38" s="1"/>
      <c r="AI38" s="1"/>
      <c r="AM38" s="2">
        <v>4</v>
      </c>
      <c r="AS38" s="9" t="s">
        <v>42</v>
      </c>
      <c r="BG38" s="10" t="s">
        <v>80</v>
      </c>
      <c r="BH38" s="10" t="s">
        <v>80</v>
      </c>
      <c r="BI38" s="10" t="s">
        <v>80</v>
      </c>
      <c r="BL38" s="1"/>
      <c r="BM38" s="10" t="s">
        <v>80</v>
      </c>
      <c r="BN38" s="2" t="s">
        <v>80</v>
      </c>
      <c r="BO38" s="2" t="s">
        <v>80</v>
      </c>
      <c r="BS38" s="9" t="s">
        <v>72</v>
      </c>
    </row>
    <row r="39" spans="1:73" s="2" customFormat="1" ht="16" customHeight="1">
      <c r="A39" s="2">
        <v>2023202674</v>
      </c>
      <c r="B39" s="2" t="s">
        <v>433</v>
      </c>
      <c r="C39" s="2" t="s">
        <v>77</v>
      </c>
      <c r="D39" s="2" t="s">
        <v>159</v>
      </c>
      <c r="E39" s="2" t="s">
        <v>397</v>
      </c>
      <c r="F39" s="1">
        <f>SUM(H39:$XEU39)</f>
        <v>41.5</v>
      </c>
      <c r="G39" s="10">
        <f>COUNT(H39:$XFC39)</f>
        <v>8</v>
      </c>
      <c r="H39" s="1"/>
      <c r="I39" s="1">
        <v>0.5</v>
      </c>
      <c r="J39" s="1"/>
      <c r="K39" s="1"/>
      <c r="L39" s="1"/>
      <c r="M39" s="1"/>
      <c r="N39" s="1">
        <v>20.5</v>
      </c>
      <c r="O39" s="1"/>
      <c r="P39" s="1"/>
      <c r="Q39" s="2">
        <v>0.5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H39" s="1"/>
      <c r="AI39" s="1">
        <v>4</v>
      </c>
      <c r="AM39" s="2">
        <v>4</v>
      </c>
      <c r="AN39" s="2">
        <v>4</v>
      </c>
      <c r="AS39" s="9" t="s">
        <v>42</v>
      </c>
      <c r="BG39" s="10" t="s">
        <v>80</v>
      </c>
      <c r="BH39" s="10">
        <v>6</v>
      </c>
      <c r="BI39" s="10">
        <v>2</v>
      </c>
      <c r="BL39" s="1"/>
      <c r="BM39" s="10" t="s">
        <v>80</v>
      </c>
      <c r="BN39" s="2" t="s">
        <v>80</v>
      </c>
      <c r="BO39" s="2" t="s">
        <v>80</v>
      </c>
      <c r="BS39" s="9" t="s">
        <v>72</v>
      </c>
    </row>
    <row r="40" spans="1:73" s="2" customFormat="1" ht="16" customHeight="1">
      <c r="A40" s="2">
        <v>2023202676</v>
      </c>
      <c r="B40" s="2" t="s">
        <v>434</v>
      </c>
      <c r="C40" s="2" t="s">
        <v>77</v>
      </c>
      <c r="D40" s="2" t="s">
        <v>159</v>
      </c>
      <c r="E40" s="2" t="s">
        <v>397</v>
      </c>
      <c r="F40" s="1">
        <f>SUM(H40:$XEU40)</f>
        <v>71.5</v>
      </c>
      <c r="G40" s="10">
        <f>COUNT(H40:$XFC40)</f>
        <v>13</v>
      </c>
      <c r="H40" s="1"/>
      <c r="I40" s="1">
        <v>2.5</v>
      </c>
      <c r="J40" s="1">
        <v>12</v>
      </c>
      <c r="K40" s="1">
        <v>2</v>
      </c>
      <c r="L40" s="1"/>
      <c r="M40" s="1"/>
      <c r="N40" s="1"/>
      <c r="O40" s="1"/>
      <c r="P40" s="1"/>
      <c r="Q40" s="2">
        <v>0.5</v>
      </c>
      <c r="R40" s="1"/>
      <c r="S40" s="1"/>
      <c r="T40" s="1"/>
      <c r="U40" s="1"/>
      <c r="V40" s="1"/>
      <c r="W40" s="1">
        <v>3</v>
      </c>
      <c r="X40" s="1"/>
      <c r="Y40" s="1"/>
      <c r="Z40" s="1"/>
      <c r="AA40" s="1">
        <v>4.5</v>
      </c>
      <c r="AB40" s="1"/>
      <c r="AD40" s="2">
        <v>4</v>
      </c>
      <c r="AH40" s="1"/>
      <c r="AI40" s="1"/>
      <c r="AM40" s="2">
        <v>4</v>
      </c>
      <c r="AN40" s="2">
        <v>4</v>
      </c>
      <c r="AO40" s="2">
        <v>4</v>
      </c>
      <c r="AP40" s="2">
        <v>23</v>
      </c>
      <c r="AS40" s="9" t="s">
        <v>42</v>
      </c>
      <c r="BG40" s="10" t="s">
        <v>80</v>
      </c>
      <c r="BH40" s="10" t="s">
        <v>80</v>
      </c>
      <c r="BI40" s="10" t="s">
        <v>80</v>
      </c>
      <c r="BL40" s="1"/>
      <c r="BM40" s="10" t="s">
        <v>80</v>
      </c>
      <c r="BN40" s="2">
        <v>4</v>
      </c>
      <c r="BO40" s="2">
        <v>4</v>
      </c>
      <c r="BS40" s="9" t="s">
        <v>72</v>
      </c>
    </row>
    <row r="41" spans="1:73" s="2" customFormat="1" ht="16" customHeight="1">
      <c r="A41" s="2">
        <v>2023202684</v>
      </c>
      <c r="B41" s="2" t="s">
        <v>435</v>
      </c>
      <c r="C41" s="2" t="s">
        <v>77</v>
      </c>
      <c r="D41" s="2" t="s">
        <v>159</v>
      </c>
      <c r="E41" s="2" t="s">
        <v>397</v>
      </c>
      <c r="F41" s="1">
        <f>SUM(H41:$XEU41)</f>
        <v>10.5</v>
      </c>
      <c r="G41" s="10">
        <f>COUNT(H41:$XFC41)</f>
        <v>4</v>
      </c>
      <c r="H41" s="1"/>
      <c r="I41" s="1"/>
      <c r="J41" s="1"/>
      <c r="K41" s="1"/>
      <c r="L41" s="1"/>
      <c r="M41" s="1"/>
      <c r="N41" s="1"/>
      <c r="O41" s="1"/>
      <c r="P41" s="1"/>
      <c r="Q41" s="2">
        <v>0.5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H41" s="1"/>
      <c r="AI41" s="1"/>
      <c r="AM41" s="2">
        <v>4</v>
      </c>
      <c r="AN41" s="2">
        <v>4</v>
      </c>
      <c r="AO41" s="2">
        <v>2</v>
      </c>
      <c r="AS41" s="9" t="s">
        <v>42</v>
      </c>
      <c r="BG41" s="10" t="s">
        <v>80</v>
      </c>
      <c r="BH41" s="10" t="s">
        <v>80</v>
      </c>
      <c r="BI41" s="10" t="s">
        <v>80</v>
      </c>
      <c r="BL41" s="1"/>
      <c r="BM41" s="10" t="s">
        <v>80</v>
      </c>
      <c r="BN41" s="2" t="s">
        <v>80</v>
      </c>
      <c r="BO41" s="2" t="s">
        <v>80</v>
      </c>
      <c r="BS41" s="9" t="s">
        <v>72</v>
      </c>
    </row>
    <row r="42" spans="1:73" s="2" customFormat="1" ht="16" customHeight="1">
      <c r="A42" s="2">
        <v>2023202686</v>
      </c>
      <c r="B42" s="2" t="s">
        <v>436</v>
      </c>
      <c r="C42" s="2" t="s">
        <v>82</v>
      </c>
      <c r="D42" s="2" t="s">
        <v>159</v>
      </c>
      <c r="E42" s="2" t="s">
        <v>397</v>
      </c>
      <c r="F42" s="1">
        <f>SUM(H42:$XEU42)</f>
        <v>5</v>
      </c>
      <c r="G42" s="10">
        <f>COUNT(H42:$XFC42)</f>
        <v>2</v>
      </c>
      <c r="H42" s="1"/>
      <c r="I42" s="1"/>
      <c r="J42" s="1"/>
      <c r="K42" s="1"/>
      <c r="L42" s="1"/>
      <c r="M42" s="1"/>
      <c r="N42" s="1"/>
      <c r="O42" s="1"/>
      <c r="P42" s="1"/>
      <c r="R42" s="1"/>
      <c r="S42" s="1"/>
      <c r="T42" s="1"/>
      <c r="U42" s="1"/>
      <c r="V42" s="1"/>
      <c r="W42" s="1"/>
      <c r="X42" s="1"/>
      <c r="Y42" s="1">
        <v>1</v>
      </c>
      <c r="Z42" s="1"/>
      <c r="AA42" s="1"/>
      <c r="AB42" s="1"/>
      <c r="AH42" s="1"/>
      <c r="AI42" s="1"/>
      <c r="AM42" s="2">
        <v>4</v>
      </c>
      <c r="AS42" s="9" t="s">
        <v>42</v>
      </c>
      <c r="BG42" s="10" t="s">
        <v>80</v>
      </c>
      <c r="BH42" s="10" t="s">
        <v>80</v>
      </c>
      <c r="BI42" s="10" t="s">
        <v>80</v>
      </c>
      <c r="BL42" s="1"/>
      <c r="BM42" s="10" t="s">
        <v>80</v>
      </c>
      <c r="BN42" s="2" t="s">
        <v>80</v>
      </c>
      <c r="BO42" s="2" t="s">
        <v>80</v>
      </c>
      <c r="BS42" s="9" t="s">
        <v>72</v>
      </c>
    </row>
    <row r="43" spans="1:73" s="2" customFormat="1" ht="16" customHeight="1">
      <c r="A43" s="2">
        <v>2023202688</v>
      </c>
      <c r="B43" s="2" t="s">
        <v>437</v>
      </c>
      <c r="C43" s="2" t="s">
        <v>82</v>
      </c>
      <c r="D43" s="2" t="s">
        <v>159</v>
      </c>
      <c r="E43" s="2" t="s">
        <v>397</v>
      </c>
      <c r="F43" s="1">
        <f>SUM(H43:$XEU43)</f>
        <v>49.5</v>
      </c>
      <c r="G43" s="10">
        <f>COUNT(H43:$XFC43)</f>
        <v>9</v>
      </c>
      <c r="H43" s="1"/>
      <c r="I43" s="1"/>
      <c r="J43" s="1"/>
      <c r="K43" s="1"/>
      <c r="L43" s="1"/>
      <c r="M43" s="1"/>
      <c r="N43" s="1"/>
      <c r="O43" s="1"/>
      <c r="P43" s="1"/>
      <c r="Q43" s="2">
        <v>0.5</v>
      </c>
      <c r="R43" s="1">
        <v>2</v>
      </c>
      <c r="S43" s="1"/>
      <c r="T43" s="1"/>
      <c r="U43" s="1">
        <v>24</v>
      </c>
      <c r="V43" s="1"/>
      <c r="W43" s="1"/>
      <c r="X43" s="1"/>
      <c r="Y43" s="1"/>
      <c r="Z43" s="1"/>
      <c r="AA43" s="1"/>
      <c r="AB43" s="1"/>
      <c r="AF43" s="2">
        <v>4</v>
      </c>
      <c r="AH43" s="1"/>
      <c r="AI43" s="1"/>
      <c r="AJ43" s="2">
        <v>1</v>
      </c>
      <c r="AM43" s="2">
        <v>4</v>
      </c>
      <c r="AN43" s="2">
        <v>4</v>
      </c>
      <c r="AO43" s="2">
        <v>2</v>
      </c>
      <c r="AS43" s="9" t="s">
        <v>42</v>
      </c>
      <c r="BB43" s="2">
        <v>8</v>
      </c>
      <c r="BG43" s="10" t="s">
        <v>80</v>
      </c>
      <c r="BH43" s="10" t="s">
        <v>80</v>
      </c>
      <c r="BI43" s="10" t="s">
        <v>80</v>
      </c>
      <c r="BL43" s="1"/>
      <c r="BM43" s="10" t="s">
        <v>80</v>
      </c>
      <c r="BN43" s="2" t="s">
        <v>80</v>
      </c>
      <c r="BO43" s="2" t="s">
        <v>80</v>
      </c>
      <c r="BS43" s="9" t="s">
        <v>72</v>
      </c>
    </row>
    <row r="44" spans="1:73" s="2" customFormat="1" ht="16" customHeight="1">
      <c r="A44" s="2">
        <v>2023202689</v>
      </c>
      <c r="B44" s="2" t="s">
        <v>438</v>
      </c>
      <c r="C44" s="2" t="s">
        <v>77</v>
      </c>
      <c r="D44" s="2" t="s">
        <v>159</v>
      </c>
      <c r="E44" s="2" t="s">
        <v>397</v>
      </c>
      <c r="F44" s="1">
        <f>SUM(H44:$XEU44)</f>
        <v>25</v>
      </c>
      <c r="G44" s="10">
        <f>COUNT(H44:$XFC44)</f>
        <v>7</v>
      </c>
      <c r="H44" s="1"/>
      <c r="I44" s="1"/>
      <c r="J44" s="1"/>
      <c r="K44" s="1">
        <v>2</v>
      </c>
      <c r="L44" s="1">
        <v>4</v>
      </c>
      <c r="M44" s="1"/>
      <c r="N44" s="1"/>
      <c r="O44" s="1"/>
      <c r="P44" s="1"/>
      <c r="Q44" s="2">
        <v>0.5</v>
      </c>
      <c r="R44" s="1"/>
      <c r="S44" s="1"/>
      <c r="T44" s="1"/>
      <c r="U44" s="1"/>
      <c r="V44" s="1"/>
      <c r="W44" s="1"/>
      <c r="X44" s="1"/>
      <c r="Y44" s="1">
        <v>4</v>
      </c>
      <c r="Z44" s="1"/>
      <c r="AA44" s="1"/>
      <c r="AB44" s="1"/>
      <c r="AF44" s="2">
        <v>4</v>
      </c>
      <c r="AH44" s="1"/>
      <c r="AI44" s="1"/>
      <c r="AO44" s="2">
        <v>2</v>
      </c>
      <c r="AR44" s="2">
        <v>8.5</v>
      </c>
      <c r="AS44" s="9" t="s">
        <v>42</v>
      </c>
      <c r="BG44" s="10" t="s">
        <v>80</v>
      </c>
      <c r="BH44" s="10" t="s">
        <v>80</v>
      </c>
      <c r="BI44" s="10" t="s">
        <v>80</v>
      </c>
      <c r="BL44" s="1"/>
      <c r="BM44" s="10" t="s">
        <v>80</v>
      </c>
      <c r="BN44" s="2" t="s">
        <v>80</v>
      </c>
      <c r="BO44" s="2" t="s">
        <v>80</v>
      </c>
      <c r="BS44" s="9" t="s">
        <v>72</v>
      </c>
    </row>
    <row r="45" spans="1:73" s="2" customFormat="1" ht="16" customHeight="1">
      <c r="A45" s="2">
        <v>2023202691</v>
      </c>
      <c r="B45" s="2" t="s">
        <v>439</v>
      </c>
      <c r="C45" s="2" t="s">
        <v>77</v>
      </c>
      <c r="D45" s="2" t="s">
        <v>159</v>
      </c>
      <c r="E45" s="2" t="s">
        <v>397</v>
      </c>
      <c r="F45" s="1">
        <f>SUM(H45:$XEU45)</f>
        <v>50</v>
      </c>
      <c r="G45" s="10">
        <f>COUNT(H45:$XFC45)</f>
        <v>6</v>
      </c>
      <c r="H45" s="1"/>
      <c r="I45" s="1"/>
      <c r="J45" s="1"/>
      <c r="K45" s="1">
        <v>2</v>
      </c>
      <c r="L45" s="1"/>
      <c r="M45" s="1"/>
      <c r="N45" s="1"/>
      <c r="O45" s="1">
        <v>16</v>
      </c>
      <c r="P45" s="1"/>
      <c r="R45" s="1"/>
      <c r="S45" s="1"/>
      <c r="T45" s="1"/>
      <c r="U45" s="1"/>
      <c r="V45" s="1"/>
      <c r="W45" s="1"/>
      <c r="X45" s="1"/>
      <c r="Y45" s="1"/>
      <c r="Z45" s="1"/>
      <c r="AA45" s="1">
        <v>8</v>
      </c>
      <c r="AB45" s="1"/>
      <c r="AH45" s="1"/>
      <c r="AI45" s="1"/>
      <c r="AM45" s="2">
        <v>4</v>
      </c>
      <c r="AN45" s="2">
        <v>4</v>
      </c>
      <c r="AS45" s="9" t="s">
        <v>42</v>
      </c>
      <c r="BA45" s="2">
        <v>16</v>
      </c>
      <c r="BG45" s="10" t="s">
        <v>80</v>
      </c>
      <c r="BH45" s="10" t="s">
        <v>80</v>
      </c>
      <c r="BI45" s="10" t="s">
        <v>80</v>
      </c>
      <c r="BL45" s="1"/>
      <c r="BM45" s="10" t="s">
        <v>80</v>
      </c>
      <c r="BN45" s="2" t="s">
        <v>80</v>
      </c>
      <c r="BO45" s="2" t="s">
        <v>80</v>
      </c>
      <c r="BS45" s="9" t="s">
        <v>72</v>
      </c>
    </row>
    <row r="46" spans="1:73" s="2" customFormat="1" ht="16" customHeight="1">
      <c r="A46" s="2">
        <v>2023202693</v>
      </c>
      <c r="B46" s="2" t="s">
        <v>440</v>
      </c>
      <c r="C46" s="2" t="s">
        <v>77</v>
      </c>
      <c r="D46" s="2" t="s">
        <v>159</v>
      </c>
      <c r="E46" s="2" t="s">
        <v>397</v>
      </c>
      <c r="F46" s="1">
        <f>SUM(H46:$XEU46)</f>
        <v>28</v>
      </c>
      <c r="G46" s="10">
        <f>COUNT(H46:$XFC46)</f>
        <v>6</v>
      </c>
      <c r="H46" s="1"/>
      <c r="I46" s="1"/>
      <c r="J46" s="1"/>
      <c r="K46" s="1"/>
      <c r="L46" s="1"/>
      <c r="M46" s="1">
        <v>1</v>
      </c>
      <c r="N46" s="1">
        <v>15</v>
      </c>
      <c r="O46" s="1"/>
      <c r="P46" s="1"/>
      <c r="R46" s="1"/>
      <c r="S46" s="1"/>
      <c r="T46" s="1"/>
      <c r="U46" s="1"/>
      <c r="V46" s="1"/>
      <c r="W46" s="1"/>
      <c r="X46" s="1"/>
      <c r="Y46" s="1">
        <v>2</v>
      </c>
      <c r="Z46" s="1"/>
      <c r="AA46" s="1"/>
      <c r="AB46" s="1"/>
      <c r="AH46" s="1"/>
      <c r="AI46" s="1"/>
      <c r="AM46" s="2">
        <v>4</v>
      </c>
      <c r="AN46" s="2">
        <v>4</v>
      </c>
      <c r="AS46" s="9" t="s">
        <v>42</v>
      </c>
      <c r="BG46" s="10" t="s">
        <v>80</v>
      </c>
      <c r="BH46" s="10" t="s">
        <v>80</v>
      </c>
      <c r="BI46" s="10" t="s">
        <v>80</v>
      </c>
      <c r="BL46" s="1"/>
      <c r="BM46" s="10" t="s">
        <v>80</v>
      </c>
      <c r="BN46" s="2" t="s">
        <v>80</v>
      </c>
      <c r="BO46" s="2" t="s">
        <v>80</v>
      </c>
      <c r="BQ46" s="2">
        <v>2</v>
      </c>
      <c r="BS46" s="9" t="s">
        <v>72</v>
      </c>
    </row>
    <row r="47" spans="1:73" s="2" customFormat="1" ht="16" customHeight="1">
      <c r="A47" s="2">
        <v>2023202696</v>
      </c>
      <c r="B47" s="2" t="s">
        <v>441</v>
      </c>
      <c r="C47" s="2" t="s">
        <v>77</v>
      </c>
      <c r="D47" s="2" t="s">
        <v>159</v>
      </c>
      <c r="E47" s="2" t="s">
        <v>397</v>
      </c>
      <c r="F47" s="1">
        <f>SUM(H47:$XEU47)</f>
        <v>0.5</v>
      </c>
      <c r="G47" s="10">
        <f>COUNT(H47:$XFC47)</f>
        <v>1</v>
      </c>
      <c r="H47" s="1"/>
      <c r="I47" s="1"/>
      <c r="J47" s="1"/>
      <c r="K47" s="1"/>
      <c r="L47" s="1"/>
      <c r="M47" s="1"/>
      <c r="N47" s="1"/>
      <c r="O47" s="1"/>
      <c r="P47" s="1"/>
      <c r="Q47" s="2">
        <v>0.5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H47" s="1"/>
      <c r="AI47" s="1"/>
      <c r="AS47" s="9" t="s">
        <v>42</v>
      </c>
      <c r="BG47" s="10" t="s">
        <v>80</v>
      </c>
      <c r="BH47" s="10" t="s">
        <v>80</v>
      </c>
      <c r="BI47" s="10" t="s">
        <v>80</v>
      </c>
      <c r="BL47" s="1"/>
      <c r="BM47" s="10" t="s">
        <v>80</v>
      </c>
      <c r="BN47" s="2" t="s">
        <v>80</v>
      </c>
      <c r="BO47" s="2" t="s">
        <v>80</v>
      </c>
      <c r="BS47" s="9" t="s">
        <v>72</v>
      </c>
    </row>
    <row r="48" spans="1:73" s="2" customFormat="1" ht="16" customHeight="1">
      <c r="A48" s="2">
        <v>2023202699</v>
      </c>
      <c r="B48" s="2" t="s">
        <v>442</v>
      </c>
      <c r="C48" s="2" t="s">
        <v>77</v>
      </c>
      <c r="D48" s="2" t="s">
        <v>159</v>
      </c>
      <c r="E48" s="2" t="s">
        <v>397</v>
      </c>
      <c r="F48" s="1">
        <f>SUM(H48:$XEU48)</f>
        <v>104.5</v>
      </c>
      <c r="G48" s="10">
        <f>COUNT(H48:$XFC48)</f>
        <v>7</v>
      </c>
      <c r="H48" s="1">
        <v>90</v>
      </c>
      <c r="I48" s="1"/>
      <c r="J48" s="1"/>
      <c r="K48" s="1">
        <v>2</v>
      </c>
      <c r="L48" s="1">
        <v>4</v>
      </c>
      <c r="M48" s="1"/>
      <c r="N48" s="1"/>
      <c r="O48" s="1"/>
      <c r="P48" s="1"/>
      <c r="Q48" s="2">
        <v>0.5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H48" s="1"/>
      <c r="AI48" s="1"/>
      <c r="AN48" s="2">
        <v>4</v>
      </c>
      <c r="AS48" s="9" t="s">
        <v>42</v>
      </c>
      <c r="AY48" s="2">
        <v>1</v>
      </c>
      <c r="BG48" s="10" t="s">
        <v>80</v>
      </c>
      <c r="BH48" s="10" t="s">
        <v>80</v>
      </c>
      <c r="BI48" s="10" t="s">
        <v>80</v>
      </c>
      <c r="BK48" s="2">
        <v>3</v>
      </c>
      <c r="BL48" s="1"/>
      <c r="BM48" s="10" t="s">
        <v>80</v>
      </c>
      <c r="BN48" s="2" t="s">
        <v>80</v>
      </c>
      <c r="BO48" s="2" t="s">
        <v>80</v>
      </c>
      <c r="BS48" s="9" t="s">
        <v>72</v>
      </c>
    </row>
    <row r="49" spans="1:71" s="2" customFormat="1" ht="16" customHeight="1">
      <c r="A49" s="2">
        <v>2023202700</v>
      </c>
      <c r="B49" s="2" t="s">
        <v>443</v>
      </c>
      <c r="C49" s="2" t="s">
        <v>82</v>
      </c>
      <c r="D49" s="2" t="s">
        <v>159</v>
      </c>
      <c r="E49" s="2" t="s">
        <v>397</v>
      </c>
      <c r="F49" s="1">
        <f>SUM(H49:$XEU49)</f>
        <v>4.5</v>
      </c>
      <c r="G49" s="10">
        <f>COUNT(H49:$XFC49)</f>
        <v>2</v>
      </c>
      <c r="H49" s="1"/>
      <c r="I49" s="1"/>
      <c r="J49" s="1"/>
      <c r="K49" s="1"/>
      <c r="L49" s="1"/>
      <c r="M49" s="1"/>
      <c r="N49" s="1"/>
      <c r="O49" s="1"/>
      <c r="P49" s="1"/>
      <c r="Q49" s="2">
        <v>0.5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F49" s="2">
        <v>4</v>
      </c>
      <c r="AH49" s="1"/>
      <c r="AI49" s="1"/>
      <c r="AS49" s="9" t="s">
        <v>42</v>
      </c>
      <c r="BG49" s="10" t="s">
        <v>80</v>
      </c>
      <c r="BH49" s="10" t="s">
        <v>80</v>
      </c>
      <c r="BI49" s="10" t="s">
        <v>80</v>
      </c>
      <c r="BL49" s="1"/>
      <c r="BM49" s="10" t="s">
        <v>80</v>
      </c>
      <c r="BN49" s="2" t="s">
        <v>80</v>
      </c>
      <c r="BO49" s="2" t="s">
        <v>80</v>
      </c>
      <c r="BS49" s="9" t="s">
        <v>72</v>
      </c>
    </row>
    <row r="50" spans="1:71" s="2" customFormat="1" ht="16" customHeight="1">
      <c r="A50" s="2">
        <v>2023202703</v>
      </c>
      <c r="B50" s="2" t="s">
        <v>444</v>
      </c>
      <c r="C50" s="2" t="s">
        <v>77</v>
      </c>
      <c r="D50" s="2" t="s">
        <v>159</v>
      </c>
      <c r="E50" s="2" t="s">
        <v>397</v>
      </c>
      <c r="F50" s="1">
        <f>SUM(H50:$XEU50)</f>
        <v>36</v>
      </c>
      <c r="G50" s="10">
        <f>COUNT(H50:$XFC50)</f>
        <v>8</v>
      </c>
      <c r="H50" s="1">
        <v>2</v>
      </c>
      <c r="I50" s="1">
        <v>1.5</v>
      </c>
      <c r="J50" s="1"/>
      <c r="K50" s="1"/>
      <c r="L50" s="1"/>
      <c r="M50" s="1"/>
      <c r="N50" s="1"/>
      <c r="O50" s="1">
        <v>16</v>
      </c>
      <c r="P50" s="1"/>
      <c r="Q50" s="2">
        <v>0.5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F50" s="2">
        <v>4</v>
      </c>
      <c r="AH50" s="1"/>
      <c r="AI50" s="1"/>
      <c r="AM50" s="2">
        <v>4</v>
      </c>
      <c r="AN50" s="2">
        <v>4</v>
      </c>
      <c r="AS50" s="9" t="s">
        <v>42</v>
      </c>
      <c r="BD50" s="2">
        <v>4</v>
      </c>
      <c r="BG50" s="10" t="s">
        <v>80</v>
      </c>
      <c r="BH50" s="10" t="s">
        <v>80</v>
      </c>
      <c r="BI50" s="10" t="s">
        <v>80</v>
      </c>
      <c r="BL50" s="1"/>
      <c r="BM50" s="10" t="s">
        <v>80</v>
      </c>
      <c r="BN50" s="2" t="s">
        <v>80</v>
      </c>
      <c r="BO50" s="2" t="s">
        <v>80</v>
      </c>
      <c r="BS50" s="9" t="s">
        <v>72</v>
      </c>
    </row>
    <row r="51" spans="1:71" s="2" customFormat="1" ht="16" customHeight="1">
      <c r="A51" s="2">
        <v>2023202709</v>
      </c>
      <c r="B51" s="2" t="s">
        <v>445</v>
      </c>
      <c r="C51" s="2" t="s">
        <v>77</v>
      </c>
      <c r="D51" s="2" t="s">
        <v>159</v>
      </c>
      <c r="E51" s="2" t="s">
        <v>397</v>
      </c>
      <c r="F51" s="1">
        <f>SUM(H51:$XEU51)</f>
        <v>118.5</v>
      </c>
      <c r="G51" s="10">
        <f>COUNT(H51:$XFC51)</f>
        <v>9</v>
      </c>
      <c r="H51" s="1"/>
      <c r="I51" s="1"/>
      <c r="J51" s="1"/>
      <c r="K51" s="1"/>
      <c r="L51" s="1"/>
      <c r="M51" s="1"/>
      <c r="N51" s="1"/>
      <c r="O51" s="1">
        <v>16</v>
      </c>
      <c r="P51" s="1"/>
      <c r="Q51" s="2">
        <v>0.5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H51" s="1"/>
      <c r="AI51" s="1"/>
      <c r="AM51" s="2">
        <v>4</v>
      </c>
      <c r="AN51" s="2">
        <v>4</v>
      </c>
      <c r="AS51" s="9" t="s">
        <v>42</v>
      </c>
      <c r="AY51" s="2">
        <v>2</v>
      </c>
      <c r="BA51" s="2">
        <v>16</v>
      </c>
      <c r="BG51" s="10" t="s">
        <v>80</v>
      </c>
      <c r="BH51" s="10" t="s">
        <v>80</v>
      </c>
      <c r="BI51" s="10">
        <v>2</v>
      </c>
      <c r="BL51" s="1"/>
      <c r="BM51" s="10" t="s">
        <v>80</v>
      </c>
      <c r="BN51" s="2" t="s">
        <v>80</v>
      </c>
      <c r="BO51" s="2" t="s">
        <v>80</v>
      </c>
      <c r="BP51" s="2">
        <v>72</v>
      </c>
      <c r="BQ51" s="2">
        <v>2</v>
      </c>
      <c r="BS51" s="9" t="s">
        <v>72</v>
      </c>
    </row>
    <row r="52" spans="1:71" s="2" customFormat="1" ht="16" customHeight="1">
      <c r="A52" s="2">
        <v>2023202714</v>
      </c>
      <c r="B52" s="2" t="s">
        <v>446</v>
      </c>
      <c r="C52" s="2" t="s">
        <v>77</v>
      </c>
      <c r="D52" s="2" t="s">
        <v>159</v>
      </c>
      <c r="E52" s="2" t="s">
        <v>397</v>
      </c>
      <c r="F52" s="1">
        <f>SUM(H52:$XEU52)</f>
        <v>4</v>
      </c>
      <c r="G52" s="10">
        <f>COUNT(H52:$XFC52)</f>
        <v>1</v>
      </c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H52" s="1"/>
      <c r="AI52" s="1"/>
      <c r="AM52" s="2">
        <v>4</v>
      </c>
      <c r="AS52" s="9" t="s">
        <v>42</v>
      </c>
      <c r="BG52" s="10" t="s">
        <v>80</v>
      </c>
      <c r="BH52" s="10" t="s">
        <v>80</v>
      </c>
      <c r="BI52" s="10" t="s">
        <v>80</v>
      </c>
      <c r="BL52" s="1"/>
      <c r="BM52" s="10" t="s">
        <v>80</v>
      </c>
      <c r="BN52" s="2" t="s">
        <v>80</v>
      </c>
      <c r="BO52" s="2" t="s">
        <v>80</v>
      </c>
      <c r="BS52" s="9" t="s">
        <v>72</v>
      </c>
    </row>
    <row r="53" spans="1:71" s="2" customFormat="1" ht="16" customHeight="1">
      <c r="A53" s="2">
        <v>2023202715</v>
      </c>
      <c r="B53" s="2" t="s">
        <v>447</v>
      </c>
      <c r="C53" s="2" t="s">
        <v>82</v>
      </c>
      <c r="D53" s="2" t="s">
        <v>159</v>
      </c>
      <c r="E53" s="2" t="s">
        <v>397</v>
      </c>
      <c r="F53" s="1">
        <f>SUM(H53:$XEU53)</f>
        <v>83</v>
      </c>
      <c r="G53" s="10">
        <f>COUNT(H53:$XFC53)</f>
        <v>8</v>
      </c>
      <c r="H53" s="1"/>
      <c r="I53" s="1">
        <v>0.5</v>
      </c>
      <c r="J53" s="1"/>
      <c r="K53" s="1"/>
      <c r="L53" s="1"/>
      <c r="M53" s="1"/>
      <c r="N53" s="1"/>
      <c r="O53" s="1"/>
      <c r="P53" s="1"/>
      <c r="Q53" s="2">
        <v>0.5</v>
      </c>
      <c r="R53" s="1"/>
      <c r="S53" s="1"/>
      <c r="T53" s="1">
        <v>20</v>
      </c>
      <c r="U53" s="1"/>
      <c r="V53" s="1"/>
      <c r="W53" s="1"/>
      <c r="X53" s="1"/>
      <c r="Y53" s="1"/>
      <c r="Z53" s="1"/>
      <c r="AA53" s="1">
        <v>4</v>
      </c>
      <c r="AB53" s="1"/>
      <c r="AD53" s="2">
        <v>4</v>
      </c>
      <c r="AH53" s="1"/>
      <c r="AI53" s="1"/>
      <c r="AM53" s="2">
        <v>4</v>
      </c>
      <c r="AN53" s="2">
        <v>4</v>
      </c>
      <c r="AP53" s="2">
        <v>46</v>
      </c>
      <c r="AS53" s="9" t="s">
        <v>42</v>
      </c>
      <c r="BG53" s="10" t="s">
        <v>80</v>
      </c>
      <c r="BH53" s="10" t="s">
        <v>80</v>
      </c>
      <c r="BI53" s="10" t="s">
        <v>80</v>
      </c>
      <c r="BL53" s="1"/>
      <c r="BM53" s="10" t="s">
        <v>80</v>
      </c>
      <c r="BN53" s="2" t="s">
        <v>80</v>
      </c>
      <c r="BO53" s="2" t="s">
        <v>80</v>
      </c>
      <c r="BS53" s="9" t="s">
        <v>72</v>
      </c>
    </row>
    <row r="54" spans="1:71" s="2" customFormat="1" ht="16" customHeight="1">
      <c r="A54" s="2">
        <v>2023202718</v>
      </c>
      <c r="B54" s="2" t="s">
        <v>448</v>
      </c>
      <c r="C54" s="2" t="s">
        <v>77</v>
      </c>
      <c r="D54" s="2" t="s">
        <v>159</v>
      </c>
      <c r="E54" s="2" t="s">
        <v>397</v>
      </c>
      <c r="F54" s="1">
        <f>SUM(H54:$XEU54)</f>
        <v>29</v>
      </c>
      <c r="G54" s="10">
        <f>COUNT(H54:$XFC54)</f>
        <v>8</v>
      </c>
      <c r="H54" s="1"/>
      <c r="I54" s="1"/>
      <c r="J54" s="1"/>
      <c r="K54" s="1"/>
      <c r="L54" s="1"/>
      <c r="M54" s="1"/>
      <c r="N54" s="1">
        <v>3.5</v>
      </c>
      <c r="O54" s="1"/>
      <c r="P54" s="1"/>
      <c r="Q54" s="2">
        <v>0.5</v>
      </c>
      <c r="R54" s="1"/>
      <c r="S54" s="1"/>
      <c r="T54" s="1"/>
      <c r="U54" s="1">
        <v>5</v>
      </c>
      <c r="V54" s="1"/>
      <c r="W54" s="1"/>
      <c r="X54" s="1"/>
      <c r="Y54" s="1"/>
      <c r="Z54" s="1"/>
      <c r="AA54" s="1"/>
      <c r="AB54" s="1"/>
      <c r="AH54" s="1"/>
      <c r="AI54" s="1"/>
      <c r="AL54" s="2">
        <v>4</v>
      </c>
      <c r="AM54" s="2">
        <v>4</v>
      </c>
      <c r="AN54" s="2">
        <v>4</v>
      </c>
      <c r="AS54" s="9" t="s">
        <v>42</v>
      </c>
      <c r="BG54" s="10" t="s">
        <v>80</v>
      </c>
      <c r="BH54" s="10" t="s">
        <v>80</v>
      </c>
      <c r="BI54" s="10" t="s">
        <v>80</v>
      </c>
      <c r="BL54" s="1">
        <v>4</v>
      </c>
      <c r="BM54" s="10" t="s">
        <v>80</v>
      </c>
      <c r="BN54" s="2">
        <v>4</v>
      </c>
      <c r="BO54" s="2" t="s">
        <v>80</v>
      </c>
      <c r="BS54" s="9" t="s">
        <v>72</v>
      </c>
    </row>
    <row r="55" spans="1:71" s="2" customFormat="1" ht="16" customHeight="1">
      <c r="A55" s="2">
        <v>2023202719</v>
      </c>
      <c r="B55" s="2" t="s">
        <v>449</v>
      </c>
      <c r="C55" s="2" t="s">
        <v>77</v>
      </c>
      <c r="D55" s="2" t="s">
        <v>159</v>
      </c>
      <c r="E55" s="2" t="s">
        <v>397</v>
      </c>
      <c r="F55" s="1">
        <f>SUM(H55:$XEU55)</f>
        <v>63</v>
      </c>
      <c r="G55" s="10">
        <f>COUNT(H55:$XFC55)</f>
        <v>6</v>
      </c>
      <c r="H55" s="1"/>
      <c r="I55" s="1">
        <v>0.5</v>
      </c>
      <c r="J55" s="1"/>
      <c r="K55" s="1"/>
      <c r="L55" s="1"/>
      <c r="M55" s="1"/>
      <c r="N55" s="1">
        <v>34</v>
      </c>
      <c r="O55" s="1"/>
      <c r="P55" s="1"/>
      <c r="Q55" s="2">
        <v>0.5</v>
      </c>
      <c r="R55" s="1"/>
      <c r="S55" s="1"/>
      <c r="T55" s="1">
        <v>20</v>
      </c>
      <c r="U55" s="1"/>
      <c r="V55" s="1"/>
      <c r="W55" s="1"/>
      <c r="X55" s="1"/>
      <c r="Y55" s="1"/>
      <c r="Z55" s="1"/>
      <c r="AA55" s="1"/>
      <c r="AB55" s="1"/>
      <c r="AH55" s="1"/>
      <c r="AI55" s="1"/>
      <c r="AM55" s="2">
        <v>4</v>
      </c>
      <c r="AN55" s="2">
        <v>4</v>
      </c>
      <c r="AS55" s="9" t="s">
        <v>42</v>
      </c>
      <c r="BG55" s="10" t="s">
        <v>80</v>
      </c>
      <c r="BH55" s="10" t="s">
        <v>80</v>
      </c>
      <c r="BI55" s="10" t="s">
        <v>80</v>
      </c>
      <c r="BL55" s="1"/>
      <c r="BM55" s="10" t="s">
        <v>80</v>
      </c>
      <c r="BN55" s="2" t="s">
        <v>80</v>
      </c>
      <c r="BO55" s="2" t="s">
        <v>80</v>
      </c>
      <c r="BS55" s="9" t="s">
        <v>72</v>
      </c>
    </row>
    <row r="56" spans="1:71" s="2" customFormat="1" ht="16" customHeight="1">
      <c r="A56" s="2">
        <v>2023202739</v>
      </c>
      <c r="B56" s="2" t="s">
        <v>259</v>
      </c>
      <c r="C56" s="2" t="s">
        <v>82</v>
      </c>
      <c r="D56" s="2" t="s">
        <v>247</v>
      </c>
      <c r="E56" s="2" t="s">
        <v>397</v>
      </c>
      <c r="F56" s="1" t="s">
        <v>334</v>
      </c>
      <c r="G56" s="10">
        <f>COUNT(H56:$XFC56)</f>
        <v>0</v>
      </c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H56" s="1"/>
      <c r="AI56" s="1"/>
      <c r="AS56" s="9" t="s">
        <v>42</v>
      </c>
      <c r="BL56" s="1"/>
      <c r="BO56" s="2" t="s">
        <v>80</v>
      </c>
      <c r="BS56" s="9" t="s">
        <v>72</v>
      </c>
    </row>
    <row r="57" spans="1:71" ht="14">
      <c r="BM57" s="4"/>
    </row>
  </sheetData>
  <phoneticPr fontId="13" type="noConversion"/>
  <pageMargins left="0.75" right="0.75" top="1" bottom="1" header="0.5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传播学</vt:lpstr>
      <vt:lpstr>数学</vt:lpstr>
      <vt:lpstr>法语</vt:lpstr>
      <vt:lpstr>国管</vt:lpstr>
      <vt:lpstr>人管</vt:lpstr>
      <vt:lpstr>金融1班</vt:lpstr>
      <vt:lpstr>金融2班</vt:lpstr>
      <vt:lpstr>金融3班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tangjingyi</dc:creator>
  <cp:lastModifiedBy>Marius Li</cp:lastModifiedBy>
  <cp:revision>0</cp:revision>
  <dcterms:created xsi:type="dcterms:W3CDTF">2024-05-31T22:12:00Z</dcterms:created>
  <dcterms:modified xsi:type="dcterms:W3CDTF">2026-03-25T07:00:22Z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1EB79A46BBB244988B834D16B325CD12_13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